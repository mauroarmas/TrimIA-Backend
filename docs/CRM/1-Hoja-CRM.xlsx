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M" sheetId="1" state="visible" r:id="rId3"/>
    <sheet name="CONTEO" sheetId="2" state="visible" r:id="rId4"/>
    <sheet name="PROYECTADO" sheetId="3" state="visible" r:id="rId5"/>
    <sheet name="MARZO 2026" sheetId="4" state="visible" r:id="rId6"/>
    <sheet name="ABRIL 2026" sheetId="5" state="visible" r:id="rId7"/>
    <sheet name="MAYO 2026" sheetId="6" state="visible" r:id="rId8"/>
    <sheet name="PLANTILLA BASE" sheetId="7" state="visible" r:id="rId9"/>
    <sheet name="BD" sheetId="8" state="hidden" r:id="rId10"/>
  </sheets>
  <definedNames>
    <definedName function="false" hidden="true" localSheetId="0" name="_xlnm._FilterDatabase" vbProcedure="false">CRM!$A$1:$Q$387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<sst xmlns="http://schemas.openxmlformats.org/spreadsheetml/2006/main" count="3948" uniqueCount="629">
  <si>
    <t xml:space="preserve">FECHA PRIMER CONTACTO</t>
  </si>
  <si>
    <t xml:space="preserve">NOMBRE / APELLIDO</t>
  </si>
  <si>
    <t xml:space="preserve">TELÉFONO</t>
  </si>
  <si>
    <t xml:space="preserve">COMERCIO</t>
  </si>
  <si>
    <t xml:space="preserve">RUBRO</t>
  </si>
  <si>
    <t xml:space="preserve">LOCALIDAD</t>
  </si>
  <si>
    <t xml:space="preserve">CANAL DE ORIGEN</t>
  </si>
  <si>
    <t xml:space="preserve">PRODUCTO/S</t>
  </si>
  <si>
    <t xml:space="preserve">CONSULTA / VENTA</t>
  </si>
  <si>
    <t xml:space="preserve">MEDIO DE PAGO</t>
  </si>
  <si>
    <t xml:space="preserve">PLANES</t>
  </si>
  <si>
    <t xml:space="preserve">OBJECIONES</t>
  </si>
  <si>
    <t xml:space="preserve">OBSERVACIONES</t>
  </si>
  <si>
    <t xml:space="preserve">REBATIR OBJECIÓN</t>
  </si>
  <si>
    <t xml:space="preserve">SEGUIMIENTO</t>
  </si>
  <si>
    <t xml:space="preserve">FECHA ÚLTIMO CONTACTO</t>
  </si>
  <si>
    <t xml:space="preserve">FECHA PRÓXIMO CONTACTO</t>
  </si>
  <si>
    <t xml:space="preserve">Encina Juan</t>
  </si>
  <si>
    <t xml:space="preserve"> 3765 39-2770</t>
  </si>
  <si>
    <t xml:space="preserve">Sí</t>
  </si>
  <si>
    <t xml:space="preserve">Emprendedor/a</t>
  </si>
  <si>
    <t xml:space="preserve">Posadas</t>
  </si>
  <si>
    <t xml:space="preserve">WhatsApp Directo</t>
  </si>
  <si>
    <t xml:space="preserve">Gaveta para dinero de 4 divisiones</t>
  </si>
  <si>
    <t xml:space="preserve">Venta</t>
  </si>
  <si>
    <t xml:space="preserve">Crédito Personal</t>
  </si>
  <si>
    <t xml:space="preserve">10 semanas</t>
  </si>
  <si>
    <t xml:space="preserve">Sin Objeciones</t>
  </si>
  <si>
    <t xml:space="preserve">Pendiente a verficacion</t>
  </si>
  <si>
    <t xml:space="preserve">Pendiente</t>
  </si>
  <si>
    <t xml:space="preserve">Miguel Gonzalez</t>
  </si>
  <si>
    <t xml:space="preserve">3743 45-2853</t>
  </si>
  <si>
    <t xml:space="preserve">Despensa</t>
  </si>
  <si>
    <t xml:space="preserve">Jardín América</t>
  </si>
  <si>
    <t xml:space="preserve">Campaña</t>
  </si>
  <si>
    <t xml:space="preserve">Multiprocesadora de alimentos y vegetales Santini TA-20</t>
  </si>
  <si>
    <t xml:space="preserve">Consulta</t>
  </si>
  <si>
    <t xml:space="preserve">Combinado</t>
  </si>
  <si>
    <t xml:space="preserve">Sin Respuesta</t>
  </si>
  <si>
    <t xml:space="preserve">Evaluando</t>
  </si>
  <si>
    <t xml:space="preserve">Evaluando plan semanal y con tarjeta</t>
  </si>
  <si>
    <t xml:space="preserve">Esperando Respuesta</t>
  </si>
  <si>
    <t xml:space="preserve">Ruben Cristaldo </t>
  </si>
  <si>
    <t xml:space="preserve">3751 52-8995</t>
  </si>
  <si>
    <t xml:space="preserve">No</t>
  </si>
  <si>
    <t xml:space="preserve">Eldorado</t>
  </si>
  <si>
    <t xml:space="preserve">Seguimiento</t>
  </si>
  <si>
    <t xml:space="preserve">Horno Pizzero 3 moldes Danda Cincalum</t>
  </si>
  <si>
    <t xml:space="preserve">Contado / Efectivo</t>
  </si>
  <si>
    <t xml:space="preserve">Contado</t>
  </si>
  <si>
    <t xml:space="preserve">Pendiente a entrega</t>
  </si>
  <si>
    <t xml:space="preserve">Jesi ByR pizzeria </t>
  </si>
  <si>
    <t xml:space="preserve">3764 24-6523</t>
  </si>
  <si>
    <t xml:space="preserve">Gastronomía</t>
  </si>
  <si>
    <t xml:space="preserve">Garupá</t>
  </si>
  <si>
    <t xml:space="preserve">Marketplace</t>
  </si>
  <si>
    <t xml:space="preserve">Envasadora al vacio TS-2500</t>
  </si>
  <si>
    <t xml:space="preserve">Precio / Presupuesto</t>
  </si>
  <si>
    <t xml:space="preserve">No le convence el precio, esta averiguando en otros lugares </t>
  </si>
  <si>
    <t xml:space="preserve">Le ofreci desc efectivo</t>
  </si>
  <si>
    <t xml:space="preserve">Guada</t>
  </si>
  <si>
    <t xml:space="preserve">3751 25-7037</t>
  </si>
  <si>
    <t xml:space="preserve">Montecarlo</t>
  </si>
  <si>
    <t xml:space="preserve">Freezer Inelro 215 lts </t>
  </si>
  <si>
    <t xml:space="preserve">Consulta con 3ro</t>
  </si>
  <si>
    <t xml:space="preserve">No tiene comercio, pero sus papas si, tiene que consultar con ellos</t>
  </si>
  <si>
    <t xml:space="preserve">Claudio </t>
  </si>
  <si>
    <t xml:space="preserve">3764 62-7200</t>
  </si>
  <si>
    <t xml:space="preserve">Mini Market</t>
  </si>
  <si>
    <t xml:space="preserve">Heladera exhibidora Briket M3030 </t>
  </si>
  <si>
    <t xml:space="preserve">Consiguio a mejor precio en Fravega</t>
  </si>
  <si>
    <t xml:space="preserve">Insatisfecho</t>
  </si>
  <si>
    <t xml:space="preserve">Claudia </t>
  </si>
  <si>
    <t xml:space="preserve">3764 22-3559</t>
  </si>
  <si>
    <t xml:space="preserve">Referidos</t>
  </si>
  <si>
    <t xml:space="preserve">Envasadora al vacio</t>
  </si>
  <si>
    <t xml:space="preserve">Evaluando opciones de equipos y precios </t>
  </si>
  <si>
    <t xml:space="preserve">Cesar Maidana </t>
  </si>
  <si>
    <t xml:space="preserve">3765 39-5560</t>
  </si>
  <si>
    <t xml:space="preserve">Carnicería</t>
  </si>
  <si>
    <t xml:space="preserve">Sierra carnicera de mesa con picadora Seery</t>
  </si>
  <si>
    <t xml:space="preserve">Esta buscando precios y comparando con otros lugares</t>
  </si>
  <si>
    <t xml:space="preserve">Le ofreci descuento abonando en efectivo </t>
  </si>
  <si>
    <t xml:space="preserve">Emanuel Maciel </t>
  </si>
  <si>
    <t xml:space="preserve"> 3794 06-8358</t>
  </si>
  <si>
    <t xml:space="preserve">Envasadora al vacio TS -1400</t>
  </si>
  <si>
    <t xml:space="preserve">Pendiente a Cierre</t>
  </si>
  <si>
    <t xml:space="preserve">No fue aprobado, esta en el veraz</t>
  </si>
  <si>
    <t xml:space="preserve">No Cumple con los Requisitos</t>
  </si>
  <si>
    <t xml:space="preserve">Florencia Montenegro</t>
  </si>
  <si>
    <t xml:space="preserve">3764 58-5991</t>
  </si>
  <si>
    <t xml:space="preserve">Salón</t>
  </si>
  <si>
    <t xml:space="preserve">Panel ranurado 1,30x 1,80 mts</t>
  </si>
  <si>
    <t xml:space="preserve">Entregado</t>
  </si>
  <si>
    <t xml:space="preserve">Sonia Perez</t>
  </si>
  <si>
    <t xml:space="preserve">3764 63-8186</t>
  </si>
  <si>
    <t xml:space="preserve">Envasadora al vacio TS 1200</t>
  </si>
  <si>
    <t xml:space="preserve">Tarjeta de Crédito</t>
  </si>
  <si>
    <t xml:space="preserve">Tarjeta</t>
  </si>
  <si>
    <t xml:space="preserve">Satisfecho</t>
  </si>
  <si>
    <t xml:space="preserve">Diego</t>
  </si>
  <si>
    <t xml:space="preserve">3764 68-1227</t>
  </si>
  <si>
    <t xml:space="preserve">Autoservicio</t>
  </si>
  <si>
    <t xml:space="preserve">Gondolas centrales y contrapared</t>
  </si>
  <si>
    <t xml:space="preserve">Esta comparando precios </t>
  </si>
  <si>
    <t xml:space="preserve">Maria Espinola</t>
  </si>
  <si>
    <t xml:space="preserve">3754 47-5467</t>
  </si>
  <si>
    <t xml:space="preserve">Kiosco</t>
  </si>
  <si>
    <t xml:space="preserve">Leandro N. Alem</t>
  </si>
  <si>
    <t xml:space="preserve">Freezer vidrio curvo Briket 440 lts</t>
  </si>
  <si>
    <t xml:space="preserve">Luzmila Simone</t>
  </si>
  <si>
    <t xml:space="preserve">3764 89-3003</t>
  </si>
  <si>
    <t xml:space="preserve">Cocina Sol Real 4 hornallas 535 VG</t>
  </si>
  <si>
    <t xml:space="preserve">Lo seño para reservar</t>
  </si>
  <si>
    <t xml:space="preserve">Francisco</t>
  </si>
  <si>
    <t xml:space="preserve"> 3764 82-4677</t>
  </si>
  <si>
    <t xml:space="preserve">Panadería</t>
  </si>
  <si>
    <t xml:space="preserve">Cortadora de fiambre Bianchi </t>
  </si>
  <si>
    <t xml:space="preserve">No se es lo que esta buscando</t>
  </si>
  <si>
    <t xml:space="preserve">Le ofreci las opciones que tenemos </t>
  </si>
  <si>
    <t xml:space="preserve">Marcelo BarTolome </t>
  </si>
  <si>
    <t xml:space="preserve">3764 25-8096</t>
  </si>
  <si>
    <t xml:space="preserve">Cortadora de fiambre Santini </t>
  </si>
  <si>
    <t xml:space="preserve">Sin stock, esperara que llegue de paso libera su tarjeta</t>
  </si>
  <si>
    <t xml:space="preserve">Benitez Felipe/ Mariela</t>
  </si>
  <si>
    <t xml:space="preserve"> 3764 17-6182</t>
  </si>
  <si>
    <t xml:space="preserve">Horno 6 pizzas El Gauchito </t>
  </si>
  <si>
    <t xml:space="preserve">Entregado </t>
  </si>
  <si>
    <t xml:space="preserve">Marisa Rivero </t>
  </si>
  <si>
    <t xml:space="preserve">3764 89-7570</t>
  </si>
  <si>
    <t xml:space="preserve">Heladera mostrador equipada Peirano 1,90 mts </t>
  </si>
  <si>
    <t xml:space="preserve">Esta evaluando precios y mas equipos</t>
  </si>
  <si>
    <t xml:space="preserve">Lisandro</t>
  </si>
  <si>
    <t xml:space="preserve">3765 12-0942</t>
  </si>
  <si>
    <t xml:space="preserve">Horno pastelero 24moldes</t>
  </si>
  <si>
    <t xml:space="preserve">Tiene que venir con el suegro, que es el dueño de la tarjeta. Vendria hoy en el trasncurso del dia</t>
  </si>
  <si>
    <t xml:space="preserve">Terminando de Cerrar</t>
  </si>
  <si>
    <t xml:space="preserve">Gustavo Skwarizski</t>
  </si>
  <si>
    <t xml:space="preserve"> 3765 06-1473</t>
  </si>
  <si>
    <t xml:space="preserve">Heladera Mostrador Bestcol Standard 1.60 </t>
  </si>
  <si>
    <t xml:space="preserve">Fatima Gonzalez</t>
  </si>
  <si>
    <t xml:space="preserve">3757 31-0259</t>
  </si>
  <si>
    <t xml:space="preserve">Puerto Iguazú</t>
  </si>
  <si>
    <t xml:space="preserve">Repulgadora cuadruple Ceico </t>
  </si>
  <si>
    <t xml:space="preserve">Agus </t>
  </si>
  <si>
    <t xml:space="preserve">3764 96-5827</t>
  </si>
  <si>
    <t xml:space="preserve">Amasadora rapida mixer 10 lts Moretti </t>
  </si>
  <si>
    <t xml:space="preserve">Estan averiguando precios </t>
  </si>
  <si>
    <t xml:space="preserve">Leandro Foss </t>
  </si>
  <si>
    <t xml:space="preserve">3765 03-4826</t>
  </si>
  <si>
    <t xml:space="preserve">Gancho carnicero </t>
  </si>
  <si>
    <t xml:space="preserve">Contado / Débito</t>
  </si>
  <si>
    <t xml:space="preserve">Juan </t>
  </si>
  <si>
    <t xml:space="preserve">3764 20-1788</t>
  </si>
  <si>
    <t xml:space="preserve">Heladera exhibidora Briket M8000 794 lts </t>
  </si>
  <si>
    <t xml:space="preserve">Inversión a Futuro</t>
  </si>
  <si>
    <t xml:space="preserve">Esta armando su local, todavia no lo abrio </t>
  </si>
  <si>
    <t xml:space="preserve">Lorenzo</t>
  </si>
  <si>
    <t xml:space="preserve"> 3765 22-0306</t>
  </si>
  <si>
    <t xml:space="preserve">Bagueteras lisas perforadas</t>
  </si>
  <si>
    <t xml:space="preserve">Alberto Moreyra</t>
  </si>
  <si>
    <t xml:space="preserve">3764633800</t>
  </si>
  <si>
    <t xml:space="preserve">Ralladora de queso Are 9 kg</t>
  </si>
  <si>
    <t xml:space="preserve">Sol Paraguay </t>
  </si>
  <si>
    <t xml:space="preserve">595 981 064870</t>
  </si>
  <si>
    <t xml:space="preserve">Cuando terminen el local realizara la compra</t>
  </si>
  <si>
    <t xml:space="preserve">Yrma Silva </t>
  </si>
  <si>
    <t xml:space="preserve">3765 20-9194</t>
  </si>
  <si>
    <t xml:space="preserve">6 Moldes pizzeros moldes pan </t>
  </si>
  <si>
    <t xml:space="preserve">Camila Ramirez/Pato M</t>
  </si>
  <si>
    <t xml:space="preserve">3764 28-0347</t>
  </si>
  <si>
    <t xml:space="preserve">Horno 12 pizzas El Gauchito y 30 moldes pizzeros</t>
  </si>
  <si>
    <t xml:space="preserve">Gustavo Montecino </t>
  </si>
  <si>
    <t xml:space="preserve"> 3764 86-2999</t>
  </si>
  <si>
    <t xml:space="preserve">San Vicente</t>
  </si>
  <si>
    <t xml:space="preserve">Heladera exhibidora MT980 Inelro </t>
  </si>
  <si>
    <t xml:space="preserve">Quiere esperar un poco mas, ya que estan bajas sus ventas </t>
  </si>
  <si>
    <t xml:space="preserve">Cristina Alvez</t>
  </si>
  <si>
    <t xml:space="preserve">3764688026</t>
  </si>
  <si>
    <t xml:space="preserve">Horno Sol Real 8 pizzas</t>
  </si>
  <si>
    <t xml:space="preserve">Patricia </t>
  </si>
  <si>
    <t xml:space="preserve">3764 10-0465</t>
  </si>
  <si>
    <t xml:space="preserve">Heladera mostrador Patisserie </t>
  </si>
  <si>
    <t xml:space="preserve">Evaluando precio y opciones</t>
  </si>
  <si>
    <t xml:space="preserve">Fer </t>
  </si>
  <si>
    <t xml:space="preserve">3765 02-1117</t>
  </si>
  <si>
    <t xml:space="preserve">Horno convector electrico Santini 4 bandejas</t>
  </si>
  <si>
    <t xml:space="preserve">Vendra al local </t>
  </si>
  <si>
    <t xml:space="preserve">Angelica</t>
  </si>
  <si>
    <t xml:space="preserve">11 3101-6995</t>
  </si>
  <si>
    <t xml:space="preserve">Garuhapé</t>
  </si>
  <si>
    <t xml:space="preserve">Heladera exhibidora Briket 293 lts M3000</t>
  </si>
  <si>
    <t xml:space="preserve">Esta averiguando precios </t>
  </si>
  <si>
    <t xml:space="preserve">Miguel </t>
  </si>
  <si>
    <t xml:space="preserve"> 3764 86-6909</t>
  </si>
  <si>
    <t xml:space="preserve">Santo Tome</t>
  </si>
  <si>
    <t xml:space="preserve">Freidora electrica doble anion</t>
  </si>
  <si>
    <t xml:space="preserve">Evaluando entre la simple y la doble </t>
  </si>
  <si>
    <t xml:space="preserve">Liset Gomez </t>
  </si>
  <si>
    <t xml:space="preserve"> 3765 12-9304</t>
  </si>
  <si>
    <t xml:space="preserve">Horno convector Santini 4 bandejas</t>
  </si>
  <si>
    <t xml:space="preserve">Lo hara con bienes durables el dia lunes, tiene que charlar con el esposo</t>
  </si>
  <si>
    <t xml:space="preserve">Martin </t>
  </si>
  <si>
    <t xml:space="preserve"> 3764 37-1490</t>
  </si>
  <si>
    <t xml:space="preserve">Heladera exhibidora y freezer</t>
  </si>
  <si>
    <t xml:space="preserve">Compro usadas</t>
  </si>
  <si>
    <t xml:space="preserve">Sol </t>
  </si>
  <si>
    <t xml:space="preserve">3764 27-5778</t>
  </si>
  <si>
    <t xml:space="preserve">Batidora planetaria Santini 7 litros</t>
  </si>
  <si>
    <t xml:space="preserve">Vendra mañana al local </t>
  </si>
  <si>
    <t xml:space="preserve">Jorge </t>
  </si>
  <si>
    <t xml:space="preserve">3751 56-4149</t>
  </si>
  <si>
    <t xml:space="preserve">Envasadora al vacio TS-3500</t>
  </si>
  <si>
    <t xml:space="preserve">Acacio Ayelen </t>
  </si>
  <si>
    <t xml:space="preserve">3764 87-4811</t>
  </si>
  <si>
    <t xml:space="preserve">Hel Mostrador equipada 1,90 mts</t>
  </si>
  <si>
    <t xml:space="preserve">20 semanas</t>
  </si>
  <si>
    <t xml:space="preserve">Se encuentra en el veraz</t>
  </si>
  <si>
    <t xml:space="preserve">Rios Cristian </t>
  </si>
  <si>
    <t xml:space="preserve">3756 49-2643</t>
  </si>
  <si>
    <t xml:space="preserve">Sierra carnicera de mesa</t>
  </si>
  <si>
    <t xml:space="preserve">Sin stock, le ofreci pedirlo con una seña del 30%</t>
  </si>
  <si>
    <t xml:space="preserve">Leandro </t>
  </si>
  <si>
    <t xml:space="preserve"> 3754 46-7873</t>
  </si>
  <si>
    <t xml:space="preserve">Freezer Briket 390 lts + Heladera Exh. Inelro 460 lts</t>
  </si>
  <si>
    <t xml:space="preserve">Maria </t>
  </si>
  <si>
    <t xml:space="preserve"> 3764 85-0551</t>
  </si>
  <si>
    <t xml:space="preserve">Recien para el mes que viene lo quiere </t>
  </si>
  <si>
    <t xml:space="preserve">Le ofreci señarlo y reservar </t>
  </si>
  <si>
    <t xml:space="preserve">Leonardo </t>
  </si>
  <si>
    <t xml:space="preserve"> 362 454-8993</t>
  </si>
  <si>
    <t xml:space="preserve">Cocina semi industrial 2 hornallas Danda </t>
  </si>
  <si>
    <t xml:space="preserve">Vendra al local con su esposa a ver la cocina la semana que viene </t>
  </si>
  <si>
    <t xml:space="preserve">Luis/ Asociacion de la mujer </t>
  </si>
  <si>
    <t xml:space="preserve">3755 44-5907</t>
  </si>
  <si>
    <t xml:space="preserve">Mesa de trabajo Sol Reak 1,50 mts </t>
  </si>
  <si>
    <t xml:space="preserve">Laura </t>
  </si>
  <si>
    <t xml:space="preserve"> 3743 45-2541</t>
  </si>
  <si>
    <t xml:space="preserve">Isla de frio Fam, Heladera exhibidora -18 Briket, pasillo de revision 1,50 mts </t>
  </si>
  <si>
    <t xml:space="preserve">Esta terminando el local, evaluara el metodo de pago </t>
  </si>
  <si>
    <t xml:space="preserve">Le envie las promos del hot sale </t>
  </si>
  <si>
    <t xml:space="preserve">Adolfo </t>
  </si>
  <si>
    <t xml:space="preserve"> 3786 41-3371</t>
  </si>
  <si>
    <t xml:space="preserve">Ituzaingó</t>
  </si>
  <si>
    <t xml:space="preserve">Pasillo de revision 1,50 mts lado izquierdo </t>
  </si>
  <si>
    <t xml:space="preserve">5 semanas</t>
  </si>
  <si>
    <t xml:space="preserve">Evelin Paola</t>
  </si>
  <si>
    <t xml:space="preserve"> 3757 67-0267</t>
  </si>
  <si>
    <t xml:space="preserve">Polirubro</t>
  </si>
  <si>
    <t xml:space="preserve">3 tramos de gondola contrapared </t>
  </si>
  <si>
    <t xml:space="preserve">No tenemos stock de gondolas </t>
  </si>
  <si>
    <t xml:space="preserve">Luis Alberto Gallardo </t>
  </si>
  <si>
    <t xml:space="preserve"> 3764 17-5039</t>
  </si>
  <si>
    <t xml:space="preserve">Tiene que consultarlo con la esposa y ver que metodo de pago les conviene </t>
  </si>
  <si>
    <t xml:space="preserve">Marisa Salvador </t>
  </si>
  <si>
    <t xml:space="preserve"> 3751 20-1007</t>
  </si>
  <si>
    <t xml:space="preserve">Heladera exhibidora -4 Briket </t>
  </si>
  <si>
    <t xml:space="preserve">Evaluando la financiacion y precio de contado </t>
  </si>
  <si>
    <t xml:space="preserve">Quiere analizar un poco mas </t>
  </si>
  <si>
    <t xml:space="preserve">Romina Santana </t>
  </si>
  <si>
    <t xml:space="preserve">3764 63-4869</t>
  </si>
  <si>
    <t xml:space="preserve">Bnadejas aluminizadas y moldes pizzeros </t>
  </si>
  <si>
    <t xml:space="preserve">Guido Martinez</t>
  </si>
  <si>
    <t xml:space="preserve">3764 12-4045</t>
  </si>
  <si>
    <t xml:space="preserve">Freezer Briket 390 lts </t>
  </si>
  <si>
    <t xml:space="preserve">Meli Insaurralde </t>
  </si>
  <si>
    <t xml:space="preserve">3735 44-6535</t>
  </si>
  <si>
    <t xml:space="preserve">Chaco</t>
  </si>
  <si>
    <t xml:space="preserve">2 pasillos de revision 1,50 mts</t>
  </si>
  <si>
    <t xml:space="preserve">Evaluando si pagar el envio o buscarlo </t>
  </si>
  <si>
    <t xml:space="preserve">Gomez de Olivera Angel </t>
  </si>
  <si>
    <t xml:space="preserve">11 6987-7018</t>
  </si>
  <si>
    <t xml:space="preserve">Cerro Azul</t>
  </si>
  <si>
    <t xml:space="preserve">Heladera exhibidora Inelro 460 lts</t>
  </si>
  <si>
    <t xml:space="preserve">Plan diferido. Equipo entregado </t>
  </si>
  <si>
    <t xml:space="preserve">Alexander </t>
  </si>
  <si>
    <t xml:space="preserve">3754 65-9654</t>
  </si>
  <si>
    <t xml:space="preserve">Gondola central, cortadora de fiambre Santini y freezer para helados 279 lts Inelro </t>
  </si>
  <si>
    <t xml:space="preserve">Faltan los requisitos </t>
  </si>
  <si>
    <t xml:space="preserve">Rodolfo Drewanz</t>
  </si>
  <si>
    <t xml:space="preserve">3764 37-7149</t>
  </si>
  <si>
    <t xml:space="preserve">Horno 12 pizzas El Gauchito </t>
  </si>
  <si>
    <t xml:space="preserve">Luisa Frank</t>
  </si>
  <si>
    <t xml:space="preserve"> 3764369042</t>
  </si>
  <si>
    <t xml:space="preserve">Horno Convector Santini 3 bandejas MC-840</t>
  </si>
  <si>
    <t xml:space="preserve">Miguel Diaz</t>
  </si>
  <si>
    <t xml:space="preserve"> 3764 20-3783</t>
  </si>
  <si>
    <t xml:space="preserve">Gondola de frio abierta Frider</t>
  </si>
  <si>
    <t xml:space="preserve">No tenemos stock del modelo que busca el cliente </t>
  </si>
  <si>
    <t xml:space="preserve">Le ofreci traerlo por pedido </t>
  </si>
  <si>
    <t xml:space="preserve">Maria Lujan Fibig</t>
  </si>
  <si>
    <t xml:space="preserve"> 3758 54-4498</t>
  </si>
  <si>
    <t xml:space="preserve">Apóstoles</t>
  </si>
  <si>
    <t xml:space="preserve">No cumple con los requisitos para financiar</t>
  </si>
  <si>
    <t xml:space="preserve">Le ofreci descuento de contado, lo esta evaluando </t>
  </si>
  <si>
    <t xml:space="preserve">Luciana Belling</t>
  </si>
  <si>
    <t xml:space="preserve">3755 45-7708</t>
  </si>
  <si>
    <t xml:space="preserve">Picadora de carne Toppari</t>
  </si>
  <si>
    <t xml:space="preserve">Lo tiene que charlar con el esposo </t>
  </si>
  <si>
    <t xml:space="preserve">Consiguieron a mejor precio en la competencia </t>
  </si>
  <si>
    <t xml:space="preserve">Leandro Bonus </t>
  </si>
  <si>
    <t xml:space="preserve">3764 74-1641</t>
  </si>
  <si>
    <t xml:space="preserve">Envasadora al vacio TS-1400 y dispenser para rollo portafilm</t>
  </si>
  <si>
    <t xml:space="preserve">Consulto por estantes para hel exhibidora y bandejas mc 600</t>
  </si>
  <si>
    <t xml:space="preserve">Melany Acuña</t>
  </si>
  <si>
    <t xml:space="preserve">3765 24-2816</t>
  </si>
  <si>
    <t xml:space="preserve">Freezer Inelro tapa ciega </t>
  </si>
  <si>
    <t xml:space="preserve">Consiguio a mejor precio </t>
  </si>
  <si>
    <t xml:space="preserve">Daniel Mayol</t>
  </si>
  <si>
    <t xml:space="preserve">3764 51-9505</t>
  </si>
  <si>
    <t xml:space="preserve">Amasadora mb 7 kg</t>
  </si>
  <si>
    <t xml:space="preserve">Cuando libere su tarjeta </t>
  </si>
  <si>
    <t xml:space="preserve">Mario Scoccia</t>
  </si>
  <si>
    <t xml:space="preserve">3764 58-5028</t>
  </si>
  <si>
    <t xml:space="preserve">Heladera exhibidora Briket 417 lts </t>
  </si>
  <si>
    <t xml:space="preserve">Abona seña y pasa a abonar el total el 24/04</t>
  </si>
  <si>
    <t xml:space="preserve">Pablo </t>
  </si>
  <si>
    <t xml:space="preserve">3764 10-5656</t>
  </si>
  <si>
    <t xml:space="preserve">Viene mañana </t>
  </si>
  <si>
    <t xml:space="preserve">Noir Marcos </t>
  </si>
  <si>
    <t xml:space="preserve">11 6704-5140</t>
  </si>
  <si>
    <t xml:space="preserve">Envasadora al vacio TS-1200</t>
  </si>
  <si>
    <t xml:space="preserve">David</t>
  </si>
  <si>
    <t xml:space="preserve">3764 58-9912</t>
  </si>
  <si>
    <t xml:space="preserve">Fabricadora de hielo Innova 250 kg </t>
  </si>
  <si>
    <t xml:space="preserve">No le fue aprobado el credito y no cuenta con el dinero </t>
  </si>
  <si>
    <t xml:space="preserve">Lorena </t>
  </si>
  <si>
    <t xml:space="preserve"> 11 3453-0759</t>
  </si>
  <si>
    <t xml:space="preserve">Lo tiene que ver con la familia, ya que es para un emprendimiento familiar </t>
  </si>
  <si>
    <t xml:space="preserve">Le pase la opcion de la Santini</t>
  </si>
  <si>
    <t xml:space="preserve">Vanesa </t>
  </si>
  <si>
    <t xml:space="preserve"> 3764 69-9869</t>
  </si>
  <si>
    <t xml:space="preserve">Horno convector Santini de 4 bandejas </t>
  </si>
  <si>
    <t xml:space="preserve">Lo charlara con el esposo </t>
  </si>
  <si>
    <t xml:space="preserve">Flabia Alvarez</t>
  </si>
  <si>
    <t xml:space="preserve"> 3758 40-0526</t>
  </si>
  <si>
    <t xml:space="preserve">Corrientes</t>
  </si>
  <si>
    <t xml:space="preserve">Batea 1,20 mts </t>
  </si>
  <si>
    <t xml:space="preserve">15 semanas</t>
  </si>
  <si>
    <t xml:space="preserve">Sin respuesta al primer seg. Intentar con llamada</t>
  </si>
  <si>
    <t xml:space="preserve">3764 41-5915</t>
  </si>
  <si>
    <t xml:space="preserve">Amasadora rapida Moretti mixer 10</t>
  </si>
  <si>
    <t xml:space="preserve">Lo tiene que evaluar con la socia </t>
  </si>
  <si>
    <t xml:space="preserve">Lisandro Scarso </t>
  </si>
  <si>
    <t xml:space="preserve">11 5871-7032</t>
  </si>
  <si>
    <t xml:space="preserve">Producto entregado</t>
  </si>
  <si>
    <t xml:space="preserve">Hector </t>
  </si>
  <si>
    <t xml:space="preserve">3765 02-6900</t>
  </si>
  <si>
    <t xml:space="preserve">San Ignacio</t>
  </si>
  <si>
    <t xml:space="preserve">Heladera mostrador equipada 1,60 </t>
  </si>
  <si>
    <t xml:space="preserve">Lo charlara con la esposa, tendria una respuesta para el viernes</t>
  </si>
  <si>
    <t xml:space="preserve">Cristian </t>
  </si>
  <si>
    <t xml:space="preserve"> 3764 73-4789</t>
  </si>
  <si>
    <t xml:space="preserve">Heladera mostrador standard 1,60</t>
  </si>
  <si>
    <t xml:space="preserve">Analia </t>
  </si>
  <si>
    <t xml:space="preserve"> 3764 82-5592</t>
  </si>
  <si>
    <t xml:space="preserve">Candelaria</t>
  </si>
  <si>
    <t xml:space="preserve">Horno Convector Santini 4 bandejas</t>
  </si>
  <si>
    <t xml:space="preserve">Tiene que venir al local para hacer con ahora bienes</t>
  </si>
  <si>
    <t xml:space="preserve">Luli </t>
  </si>
  <si>
    <t xml:space="preserve">3757 55-2054</t>
  </si>
  <si>
    <t xml:space="preserve">Horno Electrico Convector Santini 4 bandejas</t>
  </si>
  <si>
    <t xml:space="preserve">Evaluara si hacerlo de contado o con tarjeta </t>
  </si>
  <si>
    <t xml:space="preserve">Sin respuesta </t>
  </si>
  <si>
    <t xml:space="preserve">Tonarelli Francisco </t>
  </si>
  <si>
    <t xml:space="preserve">Cocina Sol Real Multifuncion 2 hornallas con plancha y carlitero </t>
  </si>
  <si>
    <t xml:space="preserve">Veronica Schiaffino</t>
  </si>
  <si>
    <t xml:space="preserve">3764 69-5387</t>
  </si>
  <si>
    <t xml:space="preserve">Particular</t>
  </si>
  <si>
    <t xml:space="preserve">Heladera exhibidora vertical Inelro 460 lts</t>
  </si>
  <si>
    <t xml:space="preserve">Evaluando cuotas con naranja y macro </t>
  </si>
  <si>
    <t xml:space="preserve">Manuel</t>
  </si>
  <si>
    <t xml:space="preserve"> 3756 51-2484</t>
  </si>
  <si>
    <t xml:space="preserve">Batea 2,40 mts y Sierra carnicera</t>
  </si>
  <si>
    <t xml:space="preserve">No cumple con los requisitos</t>
  </si>
  <si>
    <t xml:space="preserve">Le ofreci pagar, luego retirar</t>
  </si>
  <si>
    <t xml:space="preserve">FECHA</t>
  </si>
  <si>
    <t xml:space="preserve">MES</t>
  </si>
  <si>
    <t xml:space="preserve">MEDIO</t>
  </si>
  <si>
    <t xml:space="preserve">ORIGEN</t>
  </si>
  <si>
    <t xml:space="preserve">VENTA CERRADA</t>
  </si>
  <si>
    <t xml:space="preserve">CRM</t>
  </si>
  <si>
    <t xml:space="preserve">CLIENTE</t>
  </si>
  <si>
    <t xml:space="preserve">Seguimiento WhatsApp</t>
  </si>
  <si>
    <t xml:space="preserve">Existente</t>
  </si>
  <si>
    <t xml:space="preserve">Nuevo</t>
  </si>
  <si>
    <t xml:space="preserve">Online</t>
  </si>
  <si>
    <t xml:space="preserve">Campaña RRSS</t>
  </si>
  <si>
    <t xml:space="preserve">Marketplace Face</t>
  </si>
  <si>
    <t xml:space="preserve">Llamada</t>
  </si>
  <si>
    <t xml:space="preserve">OCTUBRE</t>
  </si>
  <si>
    <t xml:space="preserve">DIA ACTUAL</t>
  </si>
  <si>
    <t xml:space="preserve">SOFIA </t>
  </si>
  <si>
    <t xml:space="preserve">OBJETIVO</t>
  </si>
  <si>
    <t xml:space="preserve">VENDIDO</t>
  </si>
  <si>
    <t xml:space="preserve">% PROYECTADO</t>
  </si>
  <si>
    <t xml:space="preserve">DIF. vs OBJ.</t>
  </si>
  <si>
    <t xml:space="preserve">ARTICULOS</t>
  </si>
  <si>
    <t xml:space="preserve">EFECTIVO</t>
  </si>
  <si>
    <t xml:space="preserve">ARTICULOS:</t>
  </si>
  <si>
    <t xml:space="preserve">MCP</t>
  </si>
  <si>
    <t xml:space="preserve">heladera exhibidora </t>
  </si>
  <si>
    <t xml:space="preserve">freezer 279 lts</t>
  </si>
  <si>
    <t xml:space="preserve">lavarropas 5kg</t>
  </si>
  <si>
    <t xml:space="preserve">freezer 135 lts</t>
  </si>
  <si>
    <t xml:space="preserve">moldes pizza (10)</t>
  </si>
  <si>
    <t xml:space="preserve">multiprocesadora santini</t>
  </si>
  <si>
    <t xml:space="preserve">Hamburguesera facil ceico</t>
  </si>
  <si>
    <t xml:space="preserve">Horno 3 moldes pizzero</t>
  </si>
  <si>
    <t xml:space="preserve">Freezer inelro 455 lts</t>
  </si>
  <si>
    <t xml:space="preserve">balanza Moretti</t>
  </si>
  <si>
    <t xml:space="preserve">Impresora Moretti</t>
  </si>
  <si>
    <t xml:space="preserve">Freezer  helados Inelro</t>
  </si>
  <si>
    <t xml:space="preserve">Moldes pizza (2)</t>
  </si>
  <si>
    <t xml:space="preserve">Freezer Inelro 279 lts</t>
  </si>
  <si>
    <t xml:space="preserve">Batea Frider 1,8 curvo</t>
  </si>
  <si>
    <t xml:space="preserve">Balanza y impresora </t>
  </si>
  <si>
    <t xml:space="preserve">NOVIEMBRE</t>
  </si>
  <si>
    <t xml:space="preserve">DICIEMBRE</t>
  </si>
  <si>
    <t xml:space="preserve">ENERO</t>
  </si>
  <si>
    <t xml:space="preserve">FEBRERO</t>
  </si>
  <si>
    <t xml:space="preserve">Del 31/10 al jueves 27/11</t>
  </si>
  <si>
    <t xml:space="preserve">CANTIDAD </t>
  </si>
  <si>
    <t xml:space="preserve">TOTAL $$</t>
  </si>
  <si>
    <t xml:space="preserve">CLIENTE </t>
  </si>
  <si>
    <t xml:space="preserve">FECHA </t>
  </si>
  <si>
    <t xml:space="preserve">Nestor Peralta</t>
  </si>
  <si>
    <t xml:space="preserve">$934.311.68</t>
  </si>
  <si>
    <t xml:space="preserve">Muy bien sofi :)</t>
  </si>
  <si>
    <t xml:space="preserve">Excelente Sofi vos podes mi chica 10 </t>
  </si>
  <si>
    <t xml:space="preserve">ARTICULOS </t>
  </si>
  <si>
    <t xml:space="preserve">CONTADO</t>
  </si>
  <si>
    <t xml:space="preserve">TARJETA</t>
  </si>
  <si>
    <t xml:space="preserve">FINANCIADO</t>
  </si>
  <si>
    <t xml:space="preserve">CANTIDAD</t>
  </si>
  <si>
    <t xml:space="preserve">TOTAL$$</t>
  </si>
  <si>
    <t xml:space="preserve">TOTAL</t>
  </si>
  <si>
    <t xml:space="preserve"> </t>
  </si>
  <si>
    <t xml:space="preserve">MARZO</t>
  </si>
  <si>
    <t xml:space="preserve">CONTADO </t>
  </si>
  <si>
    <t xml:space="preserve">FINANCIACION</t>
  </si>
  <si>
    <t xml:space="preserve">JUNIO</t>
  </si>
  <si>
    <t xml:space="preserve">1 Freidora Ultrarapida El Gauchito 10 lts </t>
  </si>
  <si>
    <t xml:space="preserve">2 Bandejas hamburgueseras </t>
  </si>
  <si>
    <t xml:space="preserve">1 Envasadora al vacio TS 1200</t>
  </si>
  <si>
    <r>
      <rPr>
        <b val="true"/>
        <sz val="11"/>
        <color theme="1"/>
        <rFont val="DM Sans"/>
        <family val="0"/>
        <charset val="1"/>
      </rPr>
      <t xml:space="preserve">PERÍODO: </t>
    </r>
    <r>
      <rPr>
        <sz val="11"/>
        <color theme="1"/>
        <rFont val="DM Sans"/>
        <family val="0"/>
        <charset val="1"/>
      </rPr>
      <t xml:space="preserve">27/02/26 AL 26/03/26</t>
    </r>
    <r>
      <rPr>
        <b val="true"/>
        <sz val="11"/>
        <color theme="1"/>
        <rFont val="DM Sans"/>
        <family val="0"/>
        <charset val="1"/>
      </rPr>
      <t xml:space="preserve">  |</t>
    </r>
    <r>
      <rPr>
        <sz val="11"/>
        <color theme="1"/>
        <rFont val="DM Sans"/>
        <family val="0"/>
        <charset val="1"/>
      </rPr>
      <t xml:space="preserve"> </t>
    </r>
    <r>
      <rPr>
        <b val="true"/>
        <sz val="11"/>
        <color theme="1"/>
        <rFont val="DM Sans"/>
        <family val="0"/>
        <charset val="1"/>
      </rPr>
      <t xml:space="preserve"> DÍAS HÁBILES: </t>
    </r>
    <r>
      <rPr>
        <sz val="11"/>
        <color theme="1"/>
        <rFont val="DM Sans"/>
        <family val="0"/>
        <charset val="1"/>
      </rPr>
      <t xml:space="preserve">19</t>
    </r>
    <r>
      <rPr>
        <b val="true"/>
        <sz val="11"/>
        <color theme="1"/>
        <rFont val="DM Sans"/>
        <family val="0"/>
        <charset val="1"/>
      </rPr>
      <t xml:space="preserve">  |  SÁBADOS (½): </t>
    </r>
    <r>
      <rPr>
        <sz val="11"/>
        <color theme="1"/>
        <rFont val="DM Sans"/>
        <family val="0"/>
        <charset val="1"/>
      </rPr>
      <t xml:space="preserve">3</t>
    </r>
    <r>
      <rPr>
        <b val="true"/>
        <sz val="11"/>
        <color theme="1"/>
        <rFont val="DM Sans"/>
        <family val="0"/>
        <charset val="1"/>
      </rPr>
      <t xml:space="preserve">  |  FERIADO: </t>
    </r>
    <r>
      <rPr>
        <sz val="11"/>
        <color theme="1"/>
        <rFont val="DM Sans"/>
        <family val="0"/>
        <charset val="1"/>
      </rPr>
      <t xml:space="preserve">1 (24/03)</t>
    </r>
  </si>
  <si>
    <t xml:space="preserve">TOTAL VENDIDO</t>
  </si>
  <si>
    <t xml:space="preserve">TARJETA / CHEQUE</t>
  </si>
  <si>
    <t xml:space="preserve">OBJETIVO MENSUAL</t>
  </si>
  <si>
    <t xml:space="preserve">MÍNIMO A VENDER</t>
  </si>
  <si>
    <t xml:space="preserve">N° DÍA</t>
  </si>
  <si>
    <t xml:space="preserve">FECHA DE VENTA</t>
  </si>
  <si>
    <t xml:space="preserve">APELLIDO Y NOMBRE</t>
  </si>
  <si>
    <t xml:space="preserve">MONTO FICHA</t>
  </si>
  <si>
    <t xml:space="preserve">FORMA</t>
  </si>
  <si>
    <t xml:space="preserve">COMISIÓN (%)</t>
  </si>
  <si>
    <t xml:space="preserve">COMISIÓN ($)</t>
  </si>
  <si>
    <t xml:space="preserve">ENTREGADO</t>
  </si>
  <si>
    <t xml:space="preserve">SISTEMA</t>
  </si>
  <si>
    <t xml:space="preserve">FECHA DE CARGA EN EL SISTEMA</t>
  </si>
  <si>
    <t xml:space="preserve">ANTONIO CORTEZ</t>
  </si>
  <si>
    <t xml:space="preserve">NUEVO</t>
  </si>
  <si>
    <t xml:space="preserve">RESTANTE</t>
  </si>
  <si>
    <t xml:space="preserve">ANTONIO BELFIORE</t>
  </si>
  <si>
    <t xml:space="preserve">GOMEZ DE OLIVERA CARLOS ANGEL </t>
  </si>
  <si>
    <t xml:space="preserve">EXISTENTE</t>
  </si>
  <si>
    <t xml:space="preserve">COBRADOR</t>
  </si>
  <si>
    <t xml:space="preserve">ANTICIPO SI ES NUEVO</t>
  </si>
  <si>
    <t xml:space="preserve">DE OLIVEIRA TERESITA HELENA</t>
  </si>
  <si>
    <t xml:space="preserve">Profundidad</t>
  </si>
  <si>
    <t xml:space="preserve">RICARDO MARTIN SANCHEZ</t>
  </si>
  <si>
    <t xml:space="preserve">OFELIA SOSA</t>
  </si>
  <si>
    <t xml:space="preserve">CORDEIRO RAMON CESAR</t>
  </si>
  <si>
    <t xml:space="preserve">SILVA HECTOR SALVADOR</t>
  </si>
  <si>
    <t xml:space="preserve">CLARISA DRESH</t>
  </si>
  <si>
    <t xml:space="preserve">ACOSTA FABIAN EDUARDO </t>
  </si>
  <si>
    <t xml:space="preserve">JANSAT VICTOR EZEQUIEL </t>
  </si>
  <si>
    <t xml:space="preserve">MARTIN JOSE ROBERTO</t>
  </si>
  <si>
    <t xml:space="preserve">OPICHIANI JONATHAN</t>
  </si>
  <si>
    <t xml:space="preserve">BARON ROCIO ANDREA</t>
  </si>
  <si>
    <t xml:space="preserve">FLEITAS HOMAIRA SOLEDAD</t>
  </si>
  <si>
    <r>
      <rPr>
        <b val="true"/>
        <sz val="11"/>
        <color theme="1"/>
        <rFont val="DM Sans"/>
        <family val="0"/>
        <charset val="1"/>
      </rPr>
      <t xml:space="preserve">PERÍODO: </t>
    </r>
    <r>
      <rPr>
        <sz val="11"/>
        <color theme="1"/>
        <rFont val="DM Sans"/>
        <family val="0"/>
        <charset val="1"/>
      </rPr>
      <t xml:space="preserve">27/03 AL 30/04</t>
    </r>
    <r>
      <rPr>
        <b val="true"/>
        <sz val="11"/>
        <color theme="1"/>
        <rFont val="DM Sans"/>
        <family val="0"/>
        <charset val="1"/>
      </rPr>
      <t xml:space="preserve"> |</t>
    </r>
    <r>
      <rPr>
        <sz val="11"/>
        <color theme="1"/>
        <rFont val="DM Sans"/>
        <family val="0"/>
        <charset val="1"/>
      </rPr>
      <t xml:space="preserve"> </t>
    </r>
    <r>
      <rPr>
        <b val="true"/>
        <sz val="11"/>
        <color theme="1"/>
        <rFont val="DM Sans"/>
        <family val="0"/>
        <charset val="1"/>
      </rPr>
      <t xml:space="preserve"> DÍAS HÁBILES: </t>
    </r>
    <r>
      <rPr>
        <sz val="11"/>
        <color theme="1"/>
        <rFont val="DM Sans"/>
        <family val="0"/>
        <charset val="1"/>
      </rPr>
      <t xml:space="preserve">23</t>
    </r>
    <r>
      <rPr>
        <b val="true"/>
        <sz val="11"/>
        <color theme="1"/>
        <rFont val="DM Sans"/>
        <family val="0"/>
        <charset val="1"/>
      </rPr>
      <t xml:space="preserve">  |  SÁBADOS (½): </t>
    </r>
    <r>
      <rPr>
        <sz val="11"/>
        <color theme="1"/>
        <rFont val="DM Sans"/>
        <family val="0"/>
        <charset val="1"/>
      </rPr>
      <t xml:space="preserve">5</t>
    </r>
    <r>
      <rPr>
        <b val="true"/>
        <sz val="11"/>
        <color theme="1"/>
        <rFont val="DM Sans"/>
        <family val="0"/>
        <charset val="1"/>
      </rPr>
      <t xml:space="preserve">  |  FERIADO:</t>
    </r>
    <r>
      <rPr>
        <sz val="11"/>
        <color theme="1"/>
        <rFont val="DM Sans"/>
        <family val="0"/>
        <charset val="1"/>
      </rPr>
      <t xml:space="preserve"> 1/2 día 02/04 + 1 día 03/04  </t>
    </r>
  </si>
  <si>
    <t xml:space="preserve">Sáb</t>
  </si>
  <si>
    <t xml:space="preserve">MARIA CONCEPCION FERREYRA</t>
  </si>
  <si>
    <t xml:space="preserve">MARIA SOL MACENA</t>
  </si>
  <si>
    <t xml:space="preserve">GUILLERMO BENITEZ</t>
  </si>
  <si>
    <t xml:space="preserve">1/2 día</t>
  </si>
  <si>
    <t xml:space="preserve">FERIADO</t>
  </si>
  <si>
    <t xml:space="preserve">VILLAR EMILIA</t>
  </si>
  <si>
    <t xml:space="preserve">DANIEL ALEJANDRO TINTA</t>
  </si>
  <si>
    <t xml:space="preserve">CRISTIAN ARIEL DE OLIVEIRA</t>
  </si>
  <si>
    <t xml:space="preserve">CARLOS MARIA BLANCO </t>
  </si>
  <si>
    <t xml:space="preserve">MONTENEGRO PATRICIA DEL CARMEN</t>
  </si>
  <si>
    <t xml:space="preserve">HORODYSKI MARIA</t>
  </si>
  <si>
    <t xml:space="preserve">TOMAS AGUSTIN ROJAS</t>
  </si>
  <si>
    <t xml:space="preserve">DANIEL EDUARDO TORREZ</t>
  </si>
  <si>
    <t xml:space="preserve">SHORODER ARIEL HERNAN</t>
  </si>
  <si>
    <t xml:space="preserve">TONARELLI FRANCISCO</t>
  </si>
  <si>
    <t xml:space="preserve">LISANDRO SCARSO </t>
  </si>
  <si>
    <t xml:space="preserve">MARCOS NOIR</t>
  </si>
  <si>
    <t xml:space="preserve">MARIO SCOCCIA</t>
  </si>
  <si>
    <t xml:space="preserve">BONUS LEANDRO</t>
  </si>
  <si>
    <t xml:space="preserve">MIERES MARIANO</t>
  </si>
  <si>
    <t xml:space="preserve">LUISA FRANK</t>
  </si>
  <si>
    <t xml:space="preserve">RODOLFO DREWANZ</t>
  </si>
  <si>
    <t xml:space="preserve">GOMEZ ANGEL </t>
  </si>
  <si>
    <t xml:space="preserve">MARTINEZ GUIDO </t>
  </si>
  <si>
    <t xml:space="preserve">ROMINA SANTANA </t>
  </si>
  <si>
    <t xml:space="preserve">BONUS LEANDRO </t>
  </si>
  <si>
    <t xml:space="preserve">PABLO VELAZQUEZ</t>
  </si>
  <si>
    <t xml:space="preserve">MEAURIO ENZO</t>
  </si>
  <si>
    <r>
      <rPr>
        <b val="true"/>
        <sz val="11"/>
        <color theme="1"/>
        <rFont val="DM Sans"/>
        <family val="0"/>
        <charset val="1"/>
      </rPr>
      <t xml:space="preserve">PERÍODO: </t>
    </r>
    <r>
      <rPr>
        <sz val="11"/>
        <color theme="1"/>
        <rFont val="DM Sans"/>
        <family val="0"/>
        <charset val="1"/>
      </rPr>
      <t xml:space="preserve">04/05 AL 28/05</t>
    </r>
    <r>
      <rPr>
        <b val="true"/>
        <sz val="11"/>
        <color theme="1"/>
        <rFont val="DM Sans"/>
        <family val="0"/>
        <charset val="1"/>
      </rPr>
      <t xml:space="preserve"> |  DÍAS HÁBILES: </t>
    </r>
    <r>
      <rPr>
        <sz val="11"/>
        <color theme="1"/>
        <rFont val="DM Sans"/>
        <family val="0"/>
        <charset val="1"/>
      </rPr>
      <t xml:space="preserve">18</t>
    </r>
    <r>
      <rPr>
        <b val="true"/>
        <sz val="11"/>
        <color theme="1"/>
        <rFont val="DM Sans"/>
        <family val="0"/>
        <charset val="1"/>
      </rPr>
      <t xml:space="preserve">  |  SÁBADOS (½): </t>
    </r>
    <r>
      <rPr>
        <sz val="11"/>
        <color theme="1"/>
        <rFont val="DM Sans"/>
        <family val="0"/>
        <charset val="1"/>
      </rPr>
      <t xml:space="preserve">2</t>
    </r>
    <r>
      <rPr>
        <b val="true"/>
        <sz val="11"/>
        <color theme="1"/>
        <rFont val="DM Sans"/>
        <family val="0"/>
        <charset val="1"/>
      </rPr>
      <t xml:space="preserve">  |  FERIADO:</t>
    </r>
    <r>
      <rPr>
        <sz val="11"/>
        <color theme="1"/>
        <rFont val="DM Sans"/>
        <family val="0"/>
        <charset val="1"/>
      </rPr>
      <t xml:space="preserve"> 1 día 25/05 </t>
    </r>
  </si>
  <si>
    <t xml:space="preserve">Sábado</t>
  </si>
  <si>
    <t xml:space="preserve">Zdanovich Alexander José</t>
  </si>
  <si>
    <t xml:space="preserve">Jansat Victor Ezequiel</t>
  </si>
  <si>
    <t xml:space="preserve">sábado</t>
  </si>
  <si>
    <t xml:space="preserve">ASOCIACION DE LA MUJER</t>
  </si>
  <si>
    <t xml:space="preserve">ADOLFO SCHWEIG</t>
  </si>
  <si>
    <t xml:space="preserve">JORGE AGUILAR POZZER</t>
  </si>
  <si>
    <t xml:space="preserve">ALTAMIRANO CLAUDIO</t>
  </si>
  <si>
    <t xml:space="preserve">RIOS JORGE DANIEL </t>
  </si>
  <si>
    <t xml:space="preserve">CRISTINA ALVEZ</t>
  </si>
  <si>
    <t xml:space="preserve">YRMA SILVA</t>
  </si>
  <si>
    <t xml:space="preserve">RAMIREZ CAMILA</t>
  </si>
  <si>
    <t xml:space="preserve">BRUNO BADARACCO </t>
  </si>
  <si>
    <t xml:space="preserve">ALBERTO MOREYRA</t>
  </si>
  <si>
    <t xml:space="preserve">PATRICIA MONTENEGRO</t>
  </si>
  <si>
    <t xml:space="preserve">BORDON JULIA </t>
  </si>
  <si>
    <t xml:space="preserve">LEANDRO FOSS</t>
  </si>
  <si>
    <t xml:space="preserve">FATIMA GONZALEZ</t>
  </si>
  <si>
    <t xml:space="preserve">feriado</t>
  </si>
  <si>
    <t xml:space="preserve">RAUL RODRIGUEZ</t>
  </si>
  <si>
    <t xml:space="preserve">BENITEZ DOS SANTOS FELIPE</t>
  </si>
  <si>
    <t xml:space="preserve">GUSTAVO SKWARIZSKI</t>
  </si>
  <si>
    <t xml:space="preserve">LUZMILA SIMONE</t>
  </si>
  <si>
    <t xml:space="preserve">MARIA ESPINOLA</t>
  </si>
  <si>
    <t xml:space="preserve">AYALA RAQUEL </t>
  </si>
  <si>
    <t xml:space="preserve">BEATRIZ LAPIEVE</t>
  </si>
  <si>
    <t xml:space="preserve">LEOPOLDINO ARIEL </t>
  </si>
  <si>
    <r>
      <rPr>
        <b val="true"/>
        <sz val="10"/>
        <color rgb="FFCC0000"/>
        <rFont val="DM Sans"/>
        <family val="0"/>
        <charset val="1"/>
      </rPr>
      <t xml:space="preserve">PERÍODO:</t>
    </r>
    <r>
      <rPr>
        <sz val="10"/>
        <color rgb="FF1155CC"/>
        <rFont val="DM Sans"/>
        <family val="0"/>
        <charset val="1"/>
      </rPr>
      <t xml:space="preserve"> </t>
    </r>
    <r>
      <rPr>
        <sz val="10"/>
        <color theme="1"/>
        <rFont val="DM Sans"/>
        <family val="0"/>
        <charset val="1"/>
      </rPr>
      <t xml:space="preserve">29/05 AL 25/06</t>
    </r>
    <r>
      <rPr>
        <b val="true"/>
        <sz val="10"/>
        <color theme="1"/>
        <rFont val="DM Sans"/>
        <family val="0"/>
        <charset val="1"/>
      </rPr>
      <t xml:space="preserve"> |  </t>
    </r>
    <r>
      <rPr>
        <b val="true"/>
        <sz val="10"/>
        <color rgb="FFCC0000"/>
        <rFont val="DM Sans"/>
        <family val="0"/>
        <charset val="1"/>
      </rPr>
      <t xml:space="preserve">DÍAS HÁBILES: </t>
    </r>
    <r>
      <rPr>
        <sz val="10"/>
        <color theme="1"/>
        <rFont val="DM Sans"/>
        <family val="0"/>
        <charset val="1"/>
      </rPr>
      <t xml:space="preserve">19</t>
    </r>
    <r>
      <rPr>
        <b val="true"/>
        <sz val="10"/>
        <color theme="1"/>
        <rFont val="DM Sans"/>
        <family val="0"/>
        <charset val="1"/>
      </rPr>
      <t xml:space="preserve">  |  </t>
    </r>
    <r>
      <rPr>
        <b val="true"/>
        <sz val="10"/>
        <color rgb="FFCC0000"/>
        <rFont val="DM Sans"/>
        <family val="0"/>
        <charset val="1"/>
      </rPr>
      <t xml:space="preserve">SÁBADOS (½): </t>
    </r>
    <r>
      <rPr>
        <sz val="10"/>
        <color theme="1"/>
        <rFont val="DM Sans"/>
        <family val="0"/>
        <charset val="1"/>
      </rPr>
      <t xml:space="preserve">0</t>
    </r>
    <r>
      <rPr>
        <b val="true"/>
        <sz val="10"/>
        <color theme="1"/>
        <rFont val="DM Sans"/>
        <family val="0"/>
        <charset val="1"/>
      </rPr>
      <t xml:space="preserve">  |  </t>
    </r>
    <r>
      <rPr>
        <b val="true"/>
        <sz val="10"/>
        <color rgb="FFCC0000"/>
        <rFont val="DM Sans"/>
        <family val="0"/>
        <charset val="1"/>
      </rPr>
      <t xml:space="preserve">FERIADO:</t>
    </r>
    <r>
      <rPr>
        <sz val="10"/>
        <color rgb="FFCC0000"/>
        <rFont val="DM Sans"/>
        <family val="0"/>
        <charset val="1"/>
      </rPr>
      <t xml:space="preserve"> </t>
    </r>
    <r>
      <rPr>
        <sz val="10"/>
        <color theme="1"/>
        <rFont val="DM Sans"/>
        <family val="0"/>
        <charset val="1"/>
      </rPr>
      <t xml:space="preserve">1 día 15/06 </t>
    </r>
  </si>
  <si>
    <t xml:space="preserve">MARIANO MIERES</t>
  </si>
  <si>
    <t xml:space="preserve">SONIA PEREZ</t>
  </si>
  <si>
    <t xml:space="preserve">Santo Tomé (Corrientes)</t>
  </si>
  <si>
    <t xml:space="preserve">FLORENCIA MONTENEGRO</t>
  </si>
  <si>
    <t xml:space="preserve">MARCELINO CRISTALDO</t>
  </si>
  <si>
    <t xml:space="preserve">AGUSTIN ANZUTE</t>
  </si>
  <si>
    <t xml:space="preserve">ENCINA JUAN PABLO</t>
  </si>
  <si>
    <t xml:space="preserve">Medio</t>
  </si>
  <si>
    <t xml:space="preserve">Origen</t>
  </si>
  <si>
    <t xml:space="preserve">Venta Cerrada</t>
  </si>
  <si>
    <t xml:space="preserve">Cliente</t>
  </si>
  <si>
    <t xml:space="preserve">LOCALIDADES</t>
  </si>
  <si>
    <t xml:space="preserve">ANTICIPO SI NO ES CLIENTE</t>
  </si>
  <si>
    <t xml:space="preserve">25 de mayo</t>
  </si>
  <si>
    <t xml:space="preserve">Online - ZONA 20</t>
  </si>
  <si>
    <t xml:space="preserve">30%</t>
  </si>
  <si>
    <t xml:space="preserve">2 de mayo</t>
  </si>
  <si>
    <t xml:space="preserve">9 de julio</t>
  </si>
  <si>
    <t xml:space="preserve">Alba Posse</t>
  </si>
  <si>
    <t xml:space="preserve">Almafuerte</t>
  </si>
  <si>
    <t xml:space="preserve">Instagram Asesor</t>
  </si>
  <si>
    <t xml:space="preserve">Andresito</t>
  </si>
  <si>
    <t xml:space="preserve">Hernán González - ZONA 2</t>
  </si>
  <si>
    <t xml:space="preserve">1ER CUOTA</t>
  </si>
  <si>
    <t xml:space="preserve">Google</t>
  </si>
  <si>
    <t xml:space="preserve">Aristóbulo del Valle</t>
  </si>
  <si>
    <t xml:space="preserve">Azara</t>
  </si>
  <si>
    <t xml:space="preserve">Bernardo de Irigoyen</t>
  </si>
  <si>
    <t xml:space="preserve">Bonpland</t>
  </si>
  <si>
    <t xml:space="preserve">Campo Grande</t>
  </si>
  <si>
    <t xml:space="preserve">Campo Ramón</t>
  </si>
  <si>
    <t xml:space="preserve">Campo Viera</t>
  </si>
  <si>
    <t xml:space="preserve">Capioví</t>
  </si>
  <si>
    <t xml:space="preserve">Marcelo Herrera - ZONA 4</t>
  </si>
  <si>
    <t xml:space="preserve">Caraguatay</t>
  </si>
  <si>
    <t xml:space="preserve">Centinela</t>
  </si>
  <si>
    <t xml:space="preserve">Cerro Corá</t>
  </si>
  <si>
    <t xml:space="preserve">Colonia Alberdi</t>
  </si>
  <si>
    <t xml:space="preserve">Colonia Aurora</t>
  </si>
  <si>
    <t xml:space="preserve">Colonia Victoria</t>
  </si>
  <si>
    <t xml:space="preserve">Comandante Andresito</t>
  </si>
  <si>
    <t xml:space="preserve">Concepción de la Sierra</t>
  </si>
  <si>
    <t xml:space="preserve">Corpus</t>
  </si>
  <si>
    <t xml:space="preserve">Dos Arroyos</t>
  </si>
  <si>
    <t xml:space="preserve">El Alcázar</t>
  </si>
  <si>
    <t xml:space="preserve">El Soberbio</t>
  </si>
  <si>
    <t xml:space="preserve">Nahuel Arrúa - ZONA 3</t>
  </si>
  <si>
    <t xml:space="preserve">Gobernador López</t>
  </si>
  <si>
    <t xml:space="preserve">Gobernador Roca</t>
  </si>
  <si>
    <t xml:space="preserve">Guaraní</t>
  </si>
  <si>
    <t xml:space="preserve">Hipólito Yrigoyen</t>
  </si>
  <si>
    <t xml:space="preserve">Itacaruaré</t>
  </si>
  <si>
    <t xml:space="preserve">Loreto</t>
  </si>
  <si>
    <t xml:space="preserve">Los Helechos</t>
  </si>
  <si>
    <t xml:space="preserve">Mártires</t>
  </si>
  <si>
    <t xml:space="preserve">José De Lima - ZONA 9</t>
  </si>
  <si>
    <t xml:space="preserve">Mojón Grande</t>
  </si>
  <si>
    <t xml:space="preserve">Oberá</t>
  </si>
  <si>
    <t xml:space="preserve">Olegario Víctor Andrade</t>
  </si>
  <si>
    <t xml:space="preserve">Panambí</t>
  </si>
  <si>
    <t xml:space="preserve">Posadas (Ruta 12 - Río Paraná - Itaembé Guazú)</t>
  </si>
  <si>
    <t xml:space="preserve">Carlos Jiménez - ZONA 1</t>
  </si>
  <si>
    <t xml:space="preserve">Posadas (Ruta 12 hacia Porvenir-A32-Miguel Lanús)</t>
  </si>
  <si>
    <t xml:space="preserve">Puerto Esperanza</t>
  </si>
  <si>
    <t xml:space="preserve">Puerto Leoni</t>
  </si>
  <si>
    <t xml:space="preserve">Puerto Libertad</t>
  </si>
  <si>
    <t xml:space="preserve">Puerto Piray</t>
  </si>
  <si>
    <t xml:space="preserve">Puerto Rico</t>
  </si>
  <si>
    <t xml:space="preserve">Ruiz de Montoya</t>
  </si>
  <si>
    <t xml:space="preserve">Salto Encantado</t>
  </si>
  <si>
    <t xml:space="preserve">San Antonio</t>
  </si>
  <si>
    <t xml:space="preserve">San Carlos</t>
  </si>
  <si>
    <t xml:space="preserve">San Javier</t>
  </si>
  <si>
    <t xml:space="preserve">San José</t>
  </si>
  <si>
    <t xml:space="preserve">San Martín</t>
  </si>
  <si>
    <t xml:space="preserve">San Pedro</t>
  </si>
  <si>
    <t xml:space="preserve">Santa Ana</t>
  </si>
  <si>
    <t xml:space="preserve">Santa María</t>
  </si>
  <si>
    <t xml:space="preserve">Santiago de Liniers</t>
  </si>
  <si>
    <t xml:space="preserve">Santo Pipó</t>
  </si>
  <si>
    <t xml:space="preserve">Tres Capones</t>
  </si>
  <si>
    <t xml:space="preserve">Wanda</t>
  </si>
  <si>
    <t xml:space="preserve">Ituzaingó (Corrientes)</t>
  </si>
  <si>
    <t xml:space="preserve">Roberto Areyú - ZONA 5</t>
  </si>
  <si>
    <t xml:space="preserve">Ita Ibaté (Corrientes)</t>
  </si>
  <si>
    <t xml:space="preserve">Virasoro (Corrientes)</t>
  </si>
  <si>
    <t xml:space="preserve">San Carlos (Corrientes)</t>
  </si>
  <si>
    <t xml:space="preserve">Arroyo del Medio</t>
  </si>
  <si>
    <t xml:space="preserve">Colonia Liebig (Corrientes)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</si>
</sst>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/m/yyyy"/>
    <numFmt numFmtId="166" formatCode="dd/mm/yyyy"/>
    <numFmt numFmtId="167" formatCode="mmmm\ yyyy"/>
    <numFmt numFmtId="168" formatCode="\$#,##0"/>
    <numFmt numFmtId="169" formatCode="\$#,##0.00"/>
    <numFmt numFmtId="170" formatCode="0\ %"/>
    <numFmt numFmtId="171" formatCode="d/m"/>
    <numFmt numFmtId="172" formatCode="dd/mm"/>
    <numFmt numFmtId="173" formatCode="#,##0"/>
    <numFmt numFmtId="174" formatCode="dd/mm/yy"/>
    <numFmt numFmtId="175" formatCode="d/m/yy"/>
    <numFmt numFmtId="176" formatCode="[$ $]#,##0.00"/>
    <numFmt numFmtId="177" formatCode="[$ $]#,##0"/>
    <numFmt numFmtId="178" formatCode="0.00\ %"/>
    <numFmt numFmtId="179" formatCode="dd\/mm\/yyyy"/>
    <numFmt numFmtId="180" formatCode="@"/>
  </numFmts>
  <fonts count="2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FFFFFF"/>
      <name val="Calibri"/>
      <family val="0"/>
      <charset val="1"/>
    </font>
    <font>
      <sz val="12"/>
      <color theme="1"/>
      <name val="DM Sans"/>
      <family val="0"/>
      <charset val="1"/>
    </font>
    <font>
      <sz val="15"/>
      <color rgb="FFFFFFFF"/>
      <name val="Trebuchet MS"/>
      <family val="0"/>
      <charset val="1"/>
    </font>
    <font>
      <sz val="11"/>
      <color theme="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9"/>
      <color theme="1"/>
      <name val="DM Sans"/>
      <family val="0"/>
      <charset val="1"/>
    </font>
    <font>
      <b val="true"/>
      <sz val="11"/>
      <color theme="1"/>
      <name val="DM Sans"/>
      <family val="0"/>
      <charset val="1"/>
    </font>
    <font>
      <sz val="11"/>
      <color theme="1"/>
      <name val="DM Sans"/>
      <family val="0"/>
      <charset val="1"/>
    </font>
    <font>
      <b val="true"/>
      <sz val="10"/>
      <color theme="1"/>
      <name val="DM Sans"/>
      <family val="0"/>
      <charset val="1"/>
    </font>
    <font>
      <sz val="10"/>
      <color theme="1"/>
      <name val="DM Sans"/>
      <family val="0"/>
      <charset val="1"/>
    </font>
    <font>
      <sz val="12"/>
      <color theme="7"/>
      <name val="DM Sans"/>
      <family val="0"/>
      <charset val="1"/>
    </font>
    <font>
      <sz val="12"/>
      <color rgb="FF000000"/>
      <name val="DM Sans"/>
      <family val="0"/>
      <charset val="1"/>
    </font>
    <font>
      <b val="true"/>
      <i val="true"/>
      <sz val="11"/>
      <color theme="1"/>
      <name val="DM Sans"/>
      <family val="0"/>
      <charset val="1"/>
    </font>
    <font>
      <sz val="10"/>
      <color theme="7"/>
      <name val="DM Sans"/>
      <family val="0"/>
      <charset val="1"/>
    </font>
    <font>
      <sz val="10"/>
      <color rgb="FF000000"/>
      <name val="DM Sans"/>
      <family val="0"/>
      <charset val="1"/>
    </font>
    <font>
      <b val="true"/>
      <sz val="9"/>
      <color theme="1"/>
      <name val="DM Sans"/>
      <family val="0"/>
      <charset val="1"/>
    </font>
    <font>
      <b val="true"/>
      <sz val="10"/>
      <color rgb="FFCC0000"/>
      <name val="DM Sans"/>
      <family val="0"/>
      <charset val="1"/>
    </font>
    <font>
      <sz val="10"/>
      <color rgb="FF1155CC"/>
      <name val="DM Sans"/>
      <family val="0"/>
      <charset val="1"/>
    </font>
    <font>
      <sz val="10"/>
      <color rgb="FFCC0000"/>
      <name val="DM Sans"/>
      <family val="0"/>
      <charset val="1"/>
    </font>
  </fonts>
  <fills count="42">
    <fill>
      <patternFill patternType="none"/>
    </fill>
    <fill>
      <patternFill patternType="gray125"/>
    </fill>
    <fill>
      <patternFill patternType="solid">
        <fgColor rgb="FFE70030"/>
        <bgColor rgb="FFFF0000"/>
      </patternFill>
    </fill>
    <fill>
      <patternFill patternType="solid">
        <fgColor theme="0"/>
        <bgColor rgb="FFF3F3F3"/>
      </patternFill>
    </fill>
    <fill>
      <patternFill patternType="solid">
        <fgColor rgb="FFFF1B5D"/>
        <bgColor rgb="FFE70030"/>
      </patternFill>
    </fill>
    <fill>
      <patternFill patternType="solid">
        <fgColor rgb="FFF3F3F3"/>
        <bgColor rgb="FFEFEFEF"/>
      </patternFill>
    </fill>
    <fill>
      <patternFill patternType="solid">
        <fgColor rgb="FF00B0F0"/>
        <bgColor rgb="FF3D85C6"/>
      </patternFill>
    </fill>
    <fill>
      <patternFill patternType="solid">
        <fgColor rgb="FFBDD7EE"/>
        <bgColor rgb="FFC9DAF8"/>
      </patternFill>
    </fill>
    <fill>
      <patternFill patternType="solid">
        <fgColor rgb="FFE7E6E6"/>
        <bgColor rgb="FFEFEFEF"/>
      </patternFill>
    </fill>
    <fill>
      <patternFill patternType="solid">
        <fgColor rgb="FFFFFF00"/>
        <bgColor rgb="FFF1C232"/>
      </patternFill>
    </fill>
    <fill>
      <patternFill patternType="solid">
        <fgColor rgb="FFFF0000"/>
        <bgColor rgb="FFE70030"/>
      </patternFill>
    </fill>
    <fill>
      <patternFill patternType="solid">
        <fgColor rgb="FFFF9900"/>
        <bgColor rgb="FFFBBC04"/>
      </patternFill>
    </fill>
    <fill>
      <patternFill patternType="solid">
        <fgColor rgb="FF00FF00"/>
        <bgColor rgb="FF34A853"/>
      </patternFill>
    </fill>
    <fill>
      <patternFill patternType="solid">
        <fgColor rgb="FFFFE599"/>
        <bgColor rgb="FFFCE5CD"/>
      </patternFill>
    </fill>
    <fill>
      <patternFill patternType="solid">
        <fgColor rgb="FFFFF2CC"/>
        <bgColor rgb="FFFCE5CD"/>
      </patternFill>
    </fill>
    <fill>
      <patternFill patternType="solid">
        <fgColor rgb="FF00FFFF"/>
        <bgColor rgb="FF00B0F0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EAD1DC"/>
      </patternFill>
    </fill>
    <fill>
      <patternFill patternType="solid">
        <fgColor rgb="FF999999"/>
        <bgColor rgb="FFB7B7B7"/>
      </patternFill>
    </fill>
    <fill>
      <patternFill patternType="solid">
        <fgColor rgb="FFA4C2F4"/>
        <bgColor rgb="FFBDD7EE"/>
      </patternFill>
    </fill>
    <fill>
      <patternFill patternType="solid">
        <fgColor rgb="FF6AA84F"/>
        <bgColor rgb="FF34A853"/>
      </patternFill>
    </fill>
    <fill>
      <patternFill patternType="solid">
        <fgColor rgb="FFEA9999"/>
        <bgColor rgb="FFE6B8AF"/>
      </patternFill>
    </fill>
    <fill>
      <patternFill patternType="solid">
        <fgColor rgb="FFDD7E6B"/>
        <bgColor rgb="FFE06666"/>
      </patternFill>
    </fill>
    <fill>
      <patternFill patternType="solid">
        <fgColor rgb="FFEAD1DC"/>
        <bgColor rgb="FFF4CCCC"/>
      </patternFill>
    </fill>
    <fill>
      <patternFill patternType="solid">
        <fgColor rgb="FFE6B8AF"/>
        <bgColor rgb="FFF9CB9C"/>
      </patternFill>
    </fill>
    <fill>
      <patternFill patternType="solid">
        <fgColor rgb="FFFF00FF"/>
        <bgColor rgb="FF9900FF"/>
      </patternFill>
    </fill>
    <fill>
      <patternFill patternType="solid">
        <fgColor rgb="FFF1C232"/>
        <bgColor rgb="FFFBBC04"/>
      </patternFill>
    </fill>
    <fill>
      <patternFill patternType="solid">
        <fgColor rgb="FFB7B7B7"/>
        <bgColor rgb="FFBDBDBD"/>
      </patternFill>
    </fill>
    <fill>
      <patternFill patternType="solid">
        <fgColor rgb="FF93C47D"/>
        <bgColor rgb="FFB6D7A8"/>
      </patternFill>
    </fill>
    <fill>
      <patternFill patternType="solid">
        <fgColor rgb="FFF9CB9C"/>
        <bgColor rgb="FFF4CCCC"/>
      </patternFill>
    </fill>
    <fill>
      <patternFill patternType="solid">
        <fgColor rgb="FFCFE2F3"/>
        <bgColor rgb="FFC9DAF8"/>
      </patternFill>
    </fill>
    <fill>
      <patternFill patternType="solid">
        <fgColor theme="7"/>
        <bgColor rgb="FF6AA84F"/>
      </patternFill>
    </fill>
    <fill>
      <patternFill patternType="solid">
        <fgColor rgb="FF6FA8DC"/>
        <bgColor rgb="FF999999"/>
      </patternFill>
    </fill>
    <fill>
      <patternFill patternType="solid">
        <fgColor rgb="FFE06666"/>
        <bgColor rgb="FFDD7E6B"/>
      </patternFill>
    </fill>
    <fill>
      <patternFill patternType="solid">
        <fgColor rgb="FF9900FF"/>
        <bgColor rgb="FF800080"/>
      </patternFill>
    </fill>
    <fill>
      <patternFill patternType="solid">
        <fgColor theme="6"/>
        <bgColor rgb="FFF1C232"/>
      </patternFill>
    </fill>
    <fill>
      <patternFill patternType="solid">
        <fgColor rgb="FF3D85C6"/>
        <bgColor rgb="FF6FA8DC"/>
      </patternFill>
    </fill>
    <fill>
      <patternFill patternType="solid">
        <fgColor rgb="FFEFEFEF"/>
        <bgColor rgb="FFF3F3F3"/>
      </patternFill>
    </fill>
    <fill>
      <patternFill patternType="solid">
        <fgColor rgb="FFB6D7A8"/>
        <bgColor rgb="FFBDBDBD"/>
      </patternFill>
    </fill>
    <fill>
      <patternFill patternType="solid">
        <fgColor rgb="FFC9DAF8"/>
        <bgColor rgb="FFCFE2F3"/>
      </patternFill>
    </fill>
    <fill>
      <patternFill patternType="solid">
        <fgColor rgb="FFD9D9D9"/>
        <bgColor rgb="FFEAD1DC"/>
      </patternFill>
    </fill>
    <fill>
      <patternFill patternType="solid">
        <fgColor rgb="FFBDBDBD"/>
        <bgColor rgb="FFB7B7B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5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4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4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7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3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9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E700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1B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3F3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E6B8AF"/>
      <rgbColor rgb="FF9900FF"/>
      <rgbColor rgb="FFFCE5CD"/>
      <rgbColor rgb="FFBDBDBD"/>
      <rgbColor rgb="FF6AA84F"/>
      <rgbColor rgb="FF6FA8DC"/>
      <rgbColor rgb="FFF4CCCC"/>
      <rgbColor rgb="FFFFF2CC"/>
      <rgbColor rgb="FFCFE2F3"/>
      <rgbColor rgb="FF4C1130"/>
      <rgbColor rgb="FFDD7E6B"/>
      <rgbColor rgb="FF1155CC"/>
      <rgbColor rgb="FFC9DAF8"/>
      <rgbColor rgb="FF000080"/>
      <rgbColor rgb="FFFF1B5D"/>
      <rgbColor rgb="FFF1C232"/>
      <rgbColor rgb="FFD9D9D9"/>
      <rgbColor rgb="FF800080"/>
      <rgbColor rgb="FFE70030"/>
      <rgbColor rgb="FFF3F3F3"/>
      <rgbColor rgb="FF0000FF"/>
      <rgbColor rgb="FF00B0F0"/>
      <rgbColor rgb="FFEFEFEF"/>
      <rgbColor rgb="FFE7E6E6"/>
      <rgbColor rgb="FFFFE599"/>
      <rgbColor rgb="FFA4C2F4"/>
      <rgbColor rgb="FFEA9999"/>
      <rgbColor rgb="FFB7B7B7"/>
      <rgbColor rgb="FFF9CB9C"/>
      <rgbColor rgb="FF3D85C6"/>
      <rgbColor rgb="FFB6D7A8"/>
      <rgbColor rgb="FF93C47D"/>
      <rgbColor rgb="FFFBBC04"/>
      <rgbColor rgb="FFFF9900"/>
      <rgbColor rgb="FFE06666"/>
      <rgbColor rgb="FFBDD7EE"/>
      <rgbColor rgb="FF999999"/>
      <rgbColor rgb="FF003366"/>
      <rgbColor rgb="FF34A853"/>
      <rgbColor rgb="FF003300"/>
      <rgbColor rgb="FF333300"/>
      <rgbColor rgb="FF993300"/>
      <rgbColor rgb="FFEAD1DC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2:G1314" headerRowCount="1" totalsRowCount="0" totalsRowShown="0">
  <tableColumns count="7">
    <tableColumn id="1" name="FECHA"/>
    <tableColumn id="2" name="MES"/>
    <tableColumn id="3" name="MEDIO"/>
    <tableColumn id="4" name="ORIGEN"/>
    <tableColumn id="5" name="VENTA CERRADA"/>
    <tableColumn id="6" name="CRM"/>
    <tableColumn id="7" name="CLIENTE"/>
  </tableColumns>
</table>
</file>

<file path=xl/tables/table2.xml><?xml version="1.0" encoding="utf-8"?>
<table xmlns="http://schemas.openxmlformats.org/spreadsheetml/2006/main" id="2" name="Table_2" displayName="Table_2" ref="H1:J80" headerRowCount="0" totalsRowCount="0" totalsRowShown="0">
  <tableColumns count="3">
    <tableColumn id="1" name="Column1"/>
    <tableColumn id="2" name="Column2"/>
    <tableColumn id="3" name="Column3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60" activePane="bottomLeft" state="frozen"/>
      <selection pane="topLeft" activeCell="A1" activeCellId="0" sqref="A1"/>
      <selection pane="bottomLeft" activeCell="H82" activeCellId="0" sqref="H82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15.38"/>
    <col collapsed="false" customWidth="true" hidden="false" outlineLevel="0" max="2" min="2" style="0" width="25.12"/>
    <col collapsed="false" customWidth="true" hidden="false" outlineLevel="0" max="3" min="3" style="0" width="22"/>
    <col collapsed="false" customWidth="true" hidden="false" outlineLevel="0" max="4" min="4" style="0" width="12.5"/>
    <col collapsed="false" customWidth="true" hidden="false" outlineLevel="0" max="5" min="5" style="0" width="22.63"/>
    <col collapsed="false" customWidth="true" hidden="false" outlineLevel="0" max="6" min="6" style="0" width="25.63"/>
    <col collapsed="false" customWidth="true" hidden="false" outlineLevel="0" max="7" min="7" style="0" width="21.5"/>
    <col collapsed="false" customWidth="true" hidden="false" outlineLevel="0" max="8" min="8" style="0" width="42.75"/>
    <col collapsed="false" customWidth="true" hidden="false" outlineLevel="0" max="9" min="9" style="0" width="19.25"/>
    <col collapsed="false" customWidth="true" hidden="false" outlineLevel="0" max="11" min="10" style="0" width="23.5"/>
    <col collapsed="false" customWidth="true" hidden="false" outlineLevel="0" max="12" min="12" style="0" width="22.63"/>
    <col collapsed="false" customWidth="true" hidden="false" outlineLevel="0" max="13" min="13" style="0" width="60.63"/>
    <col collapsed="false" customWidth="true" hidden="false" outlineLevel="0" max="14" min="14" style="0" width="46.13"/>
    <col collapsed="false" customWidth="true" hidden="false" outlineLevel="0" max="15" min="15" style="0" width="26.63"/>
    <col collapsed="false" customWidth="true" hidden="false" outlineLevel="0" max="16" min="16" style="0" width="22.63"/>
    <col collapsed="false" customWidth="true" hidden="false" outlineLevel="0" max="17" min="17" style="0" width="18.75"/>
  </cols>
  <sheetData>
    <row r="1" customFormat="false" ht="48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.75" hidden="false" customHeight="false" outlineLevel="0" collapsed="false">
      <c r="A2" s="3" t="n">
        <v>46179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  <c r="O2" s="4" t="s">
        <v>29</v>
      </c>
      <c r="P2" s="3" t="n">
        <v>46179</v>
      </c>
      <c r="Q2" s="3" t="n">
        <v>46181</v>
      </c>
    </row>
    <row r="3" customFormat="false" ht="15.75" hidden="false" customHeight="false" outlineLevel="0" collapsed="false">
      <c r="A3" s="3" t="n">
        <v>46179</v>
      </c>
      <c r="B3" s="4" t="s">
        <v>30</v>
      </c>
      <c r="C3" s="4" t="s">
        <v>31</v>
      </c>
      <c r="D3" s="4" t="s">
        <v>19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/>
      <c r="O3" s="4" t="s">
        <v>41</v>
      </c>
      <c r="P3" s="3" t="n">
        <v>46179</v>
      </c>
      <c r="Q3" s="3" t="n">
        <v>46181</v>
      </c>
    </row>
    <row r="4" customFormat="false" ht="15.75" hidden="false" customHeight="false" outlineLevel="0" collapsed="false">
      <c r="A4" s="3" t="n">
        <v>46178</v>
      </c>
      <c r="B4" s="4" t="s">
        <v>42</v>
      </c>
      <c r="C4" s="4" t="s">
        <v>43</v>
      </c>
      <c r="D4" s="4" t="s">
        <v>44</v>
      </c>
      <c r="E4" s="4" t="s">
        <v>20</v>
      </c>
      <c r="F4" s="4" t="s">
        <v>45</v>
      </c>
      <c r="G4" s="4" t="s">
        <v>46</v>
      </c>
      <c r="H4" s="4" t="s">
        <v>47</v>
      </c>
      <c r="I4" s="4" t="s">
        <v>24</v>
      </c>
      <c r="J4" s="4" t="s">
        <v>48</v>
      </c>
      <c r="K4" s="4" t="s">
        <v>49</v>
      </c>
      <c r="L4" s="4" t="s">
        <v>27</v>
      </c>
      <c r="M4" s="4" t="s">
        <v>50</v>
      </c>
      <c r="N4" s="4"/>
      <c r="O4" s="4" t="s">
        <v>29</v>
      </c>
      <c r="P4" s="3" t="n">
        <v>46178</v>
      </c>
      <c r="Q4" s="3" t="n">
        <v>46179</v>
      </c>
    </row>
    <row r="5" customFormat="false" ht="15.75" hidden="false" customHeight="false" outlineLevel="0" collapsed="false">
      <c r="A5" s="3" t="n">
        <v>46176</v>
      </c>
      <c r="B5" s="4" t="s">
        <v>51</v>
      </c>
      <c r="C5" s="4" t="s">
        <v>52</v>
      </c>
      <c r="D5" s="4" t="s">
        <v>19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36</v>
      </c>
      <c r="J5" s="4" t="s">
        <v>48</v>
      </c>
      <c r="K5" s="4" t="s">
        <v>49</v>
      </c>
      <c r="L5" s="4" t="s">
        <v>57</v>
      </c>
      <c r="M5" s="4" t="s">
        <v>58</v>
      </c>
      <c r="N5" s="4" t="s">
        <v>59</v>
      </c>
      <c r="O5" s="4" t="s">
        <v>41</v>
      </c>
      <c r="P5" s="3" t="n">
        <v>46177</v>
      </c>
      <c r="Q5" s="3" t="n">
        <v>46178</v>
      </c>
    </row>
    <row r="6" customFormat="false" ht="15.75" hidden="false" customHeight="false" outlineLevel="0" collapsed="false">
      <c r="A6" s="3" t="n">
        <v>46176</v>
      </c>
      <c r="B6" s="4" t="s">
        <v>60</v>
      </c>
      <c r="C6" s="4" t="s">
        <v>61</v>
      </c>
      <c r="D6" s="4" t="s">
        <v>44</v>
      </c>
      <c r="E6" s="4"/>
      <c r="F6" s="4" t="s">
        <v>62</v>
      </c>
      <c r="G6" s="4" t="s">
        <v>55</v>
      </c>
      <c r="H6" s="4" t="s">
        <v>63</v>
      </c>
      <c r="I6" s="4" t="s">
        <v>36</v>
      </c>
      <c r="J6" s="4" t="s">
        <v>25</v>
      </c>
      <c r="K6" s="4" t="s">
        <v>26</v>
      </c>
      <c r="L6" s="4" t="s">
        <v>64</v>
      </c>
      <c r="M6" s="4" t="s">
        <v>65</v>
      </c>
      <c r="N6" s="4"/>
      <c r="O6" s="4" t="s">
        <v>41</v>
      </c>
      <c r="P6" s="3" t="n">
        <v>46177</v>
      </c>
      <c r="Q6" s="3" t="n">
        <v>46178</v>
      </c>
    </row>
    <row r="7" customFormat="false" ht="15.75" hidden="false" customHeight="false" outlineLevel="0" collapsed="false">
      <c r="A7" s="3" t="n">
        <v>46175</v>
      </c>
      <c r="B7" s="4" t="s">
        <v>66</v>
      </c>
      <c r="C7" s="4" t="s">
        <v>67</v>
      </c>
      <c r="D7" s="4" t="s">
        <v>19</v>
      </c>
      <c r="E7" s="4" t="s">
        <v>68</v>
      </c>
      <c r="F7" s="4" t="s">
        <v>21</v>
      </c>
      <c r="G7" s="4" t="s">
        <v>55</v>
      </c>
      <c r="H7" s="4" t="s">
        <v>69</v>
      </c>
      <c r="I7" s="4" t="s">
        <v>36</v>
      </c>
      <c r="J7" s="4" t="s">
        <v>48</v>
      </c>
      <c r="K7" s="4" t="s">
        <v>49</v>
      </c>
      <c r="L7" s="4" t="s">
        <v>57</v>
      </c>
      <c r="M7" s="4" t="s">
        <v>70</v>
      </c>
      <c r="N7" s="4"/>
      <c r="O7" s="4" t="s">
        <v>71</v>
      </c>
      <c r="P7" s="3" t="n">
        <v>46176</v>
      </c>
      <c r="Q7" s="3" t="n">
        <v>46204</v>
      </c>
    </row>
    <row r="8" customFormat="false" ht="15.75" hidden="false" customHeight="false" outlineLevel="0" collapsed="false">
      <c r="A8" s="3" t="n">
        <v>46175</v>
      </c>
      <c r="B8" s="4" t="s">
        <v>72</v>
      </c>
      <c r="C8" s="4" t="s">
        <v>73</v>
      </c>
      <c r="D8" s="4" t="s">
        <v>19</v>
      </c>
      <c r="E8" s="4" t="s">
        <v>20</v>
      </c>
      <c r="F8" s="4" t="s">
        <v>21</v>
      </c>
      <c r="G8" s="4" t="s">
        <v>74</v>
      </c>
      <c r="H8" s="4" t="s">
        <v>75</v>
      </c>
      <c r="I8" s="4" t="s">
        <v>36</v>
      </c>
      <c r="J8" s="4" t="s">
        <v>48</v>
      </c>
      <c r="K8" s="4" t="s">
        <v>49</v>
      </c>
      <c r="L8" s="4" t="s">
        <v>39</v>
      </c>
      <c r="M8" s="4" t="s">
        <v>76</v>
      </c>
      <c r="N8" s="4"/>
      <c r="O8" s="4" t="s">
        <v>41</v>
      </c>
      <c r="P8" s="3" t="n">
        <v>46175</v>
      </c>
      <c r="Q8" s="3" t="n">
        <v>46176</v>
      </c>
    </row>
    <row r="9" customFormat="false" ht="15.75" hidden="false" customHeight="false" outlineLevel="0" collapsed="false">
      <c r="A9" s="3" t="n">
        <v>46175</v>
      </c>
      <c r="B9" s="4" t="s">
        <v>77</v>
      </c>
      <c r="C9" s="4" t="s">
        <v>78</v>
      </c>
      <c r="D9" s="4" t="s">
        <v>19</v>
      </c>
      <c r="E9" s="4" t="s">
        <v>79</v>
      </c>
      <c r="F9" s="4" t="s">
        <v>21</v>
      </c>
      <c r="G9" s="4" t="s">
        <v>55</v>
      </c>
      <c r="H9" s="4" t="s">
        <v>80</v>
      </c>
      <c r="I9" s="4" t="s">
        <v>36</v>
      </c>
      <c r="J9" s="4" t="s">
        <v>48</v>
      </c>
      <c r="K9" s="4" t="s">
        <v>49</v>
      </c>
      <c r="L9" s="4" t="s">
        <v>39</v>
      </c>
      <c r="M9" s="4" t="s">
        <v>81</v>
      </c>
      <c r="N9" s="4" t="s">
        <v>82</v>
      </c>
      <c r="O9" s="4" t="s">
        <v>41</v>
      </c>
      <c r="P9" s="3" t="n">
        <v>46176</v>
      </c>
      <c r="Q9" s="3" t="n">
        <v>46179</v>
      </c>
    </row>
    <row r="10" customFormat="false" ht="15.75" hidden="false" customHeight="false" outlineLevel="0" collapsed="false">
      <c r="A10" s="3" t="n">
        <v>46175</v>
      </c>
      <c r="B10" s="4" t="s">
        <v>83</v>
      </c>
      <c r="C10" s="4" t="s">
        <v>84</v>
      </c>
      <c r="D10" s="4" t="s">
        <v>19</v>
      </c>
      <c r="E10" s="4" t="s">
        <v>68</v>
      </c>
      <c r="F10" s="4" t="s">
        <v>21</v>
      </c>
      <c r="G10" s="4" t="s">
        <v>55</v>
      </c>
      <c r="H10" s="4" t="s">
        <v>85</v>
      </c>
      <c r="I10" s="4" t="s">
        <v>86</v>
      </c>
      <c r="J10" s="4" t="s">
        <v>25</v>
      </c>
      <c r="K10" s="4" t="s">
        <v>26</v>
      </c>
      <c r="L10" s="4" t="s">
        <v>27</v>
      </c>
      <c r="M10" s="4" t="s">
        <v>87</v>
      </c>
      <c r="N10" s="3"/>
      <c r="O10" s="4" t="s">
        <v>88</v>
      </c>
      <c r="P10" s="3" t="n">
        <v>46175</v>
      </c>
      <c r="Q10" s="3" t="n">
        <v>46175</v>
      </c>
    </row>
    <row r="11" customFormat="false" ht="15.75" hidden="false" customHeight="false" outlineLevel="0" collapsed="false">
      <c r="A11" s="3" t="n">
        <v>46174</v>
      </c>
      <c r="B11" s="4" t="s">
        <v>89</v>
      </c>
      <c r="C11" s="4" t="s">
        <v>90</v>
      </c>
      <c r="D11" s="4" t="s">
        <v>19</v>
      </c>
      <c r="E11" s="4" t="s">
        <v>20</v>
      </c>
      <c r="F11" s="4" t="s">
        <v>21</v>
      </c>
      <c r="G11" s="4" t="s">
        <v>91</v>
      </c>
      <c r="H11" s="4" t="s">
        <v>92</v>
      </c>
      <c r="I11" s="4" t="s">
        <v>24</v>
      </c>
      <c r="J11" s="4" t="s">
        <v>48</v>
      </c>
      <c r="K11" s="4" t="s">
        <v>49</v>
      </c>
      <c r="L11" s="4" t="s">
        <v>27</v>
      </c>
      <c r="M11" s="4" t="s">
        <v>93</v>
      </c>
      <c r="N11" s="3"/>
      <c r="O11" s="4" t="s">
        <v>93</v>
      </c>
      <c r="P11" s="3" t="n">
        <v>46175</v>
      </c>
      <c r="Q11" s="3" t="n">
        <v>46176</v>
      </c>
    </row>
    <row r="12" customFormat="false" ht="15.75" hidden="false" customHeight="false" outlineLevel="0" collapsed="false">
      <c r="A12" s="3" t="n">
        <v>46170</v>
      </c>
      <c r="B12" s="3" t="s">
        <v>94</v>
      </c>
      <c r="C12" s="3" t="s">
        <v>95</v>
      </c>
      <c r="D12" s="3" t="s">
        <v>44</v>
      </c>
      <c r="E12" s="3" t="s">
        <v>20</v>
      </c>
      <c r="F12" s="3" t="s">
        <v>21</v>
      </c>
      <c r="G12" s="3" t="s">
        <v>55</v>
      </c>
      <c r="H12" s="3" t="s">
        <v>96</v>
      </c>
      <c r="I12" s="3" t="s">
        <v>24</v>
      </c>
      <c r="J12" s="3" t="s">
        <v>97</v>
      </c>
      <c r="K12" s="3" t="s">
        <v>98</v>
      </c>
      <c r="L12" s="3" t="s">
        <v>27</v>
      </c>
      <c r="M12" s="3" t="s">
        <v>93</v>
      </c>
      <c r="N12" s="3"/>
      <c r="O12" s="3" t="s">
        <v>99</v>
      </c>
      <c r="P12" s="3" t="n">
        <v>46172</v>
      </c>
      <c r="Q12" s="3" t="n">
        <v>46179</v>
      </c>
    </row>
    <row r="13" customFormat="false" ht="15.75" hidden="false" customHeight="false" outlineLevel="0" collapsed="false">
      <c r="A13" s="3" t="n">
        <v>46170</v>
      </c>
      <c r="B13" s="3" t="s">
        <v>100</v>
      </c>
      <c r="C13" s="3" t="s">
        <v>101</v>
      </c>
      <c r="D13" s="3" t="s">
        <v>19</v>
      </c>
      <c r="E13" s="3" t="s">
        <v>102</v>
      </c>
      <c r="F13" s="3" t="s">
        <v>21</v>
      </c>
      <c r="G13" s="3" t="s">
        <v>55</v>
      </c>
      <c r="H13" s="3" t="s">
        <v>103</v>
      </c>
      <c r="I13" s="3" t="s">
        <v>36</v>
      </c>
      <c r="J13" s="3" t="s">
        <v>48</v>
      </c>
      <c r="K13" s="3" t="s">
        <v>49</v>
      </c>
      <c r="L13" s="3" t="s">
        <v>39</v>
      </c>
      <c r="M13" s="3" t="s">
        <v>104</v>
      </c>
      <c r="N13" s="3"/>
      <c r="O13" s="3" t="s">
        <v>41</v>
      </c>
      <c r="P13" s="3" t="n">
        <v>46170</v>
      </c>
      <c r="Q13" s="3" t="n">
        <v>46171</v>
      </c>
    </row>
    <row r="14" customFormat="false" ht="15.75" hidden="false" customHeight="false" outlineLevel="0" collapsed="false">
      <c r="A14" s="3" t="n">
        <v>46170</v>
      </c>
      <c r="B14" s="3" t="s">
        <v>105</v>
      </c>
      <c r="C14" s="3" t="s">
        <v>106</v>
      </c>
      <c r="D14" s="3" t="s">
        <v>19</v>
      </c>
      <c r="E14" s="3" t="s">
        <v>107</v>
      </c>
      <c r="F14" s="3" t="s">
        <v>108</v>
      </c>
      <c r="G14" s="3" t="s">
        <v>74</v>
      </c>
      <c r="H14" s="3" t="s">
        <v>109</v>
      </c>
      <c r="I14" s="3" t="s">
        <v>24</v>
      </c>
      <c r="J14" s="3" t="s">
        <v>48</v>
      </c>
      <c r="K14" s="3" t="s">
        <v>49</v>
      </c>
      <c r="L14" s="3" t="s">
        <v>27</v>
      </c>
      <c r="M14" s="3" t="s">
        <v>93</v>
      </c>
      <c r="N14" s="3"/>
      <c r="O14" s="3" t="s">
        <v>99</v>
      </c>
      <c r="P14" s="3" t="n">
        <v>46170</v>
      </c>
      <c r="Q14" s="3" t="n">
        <v>46171</v>
      </c>
    </row>
    <row r="15" customFormat="false" ht="15.75" hidden="false" customHeight="false" outlineLevel="0" collapsed="false">
      <c r="A15" s="3" t="n">
        <v>46170</v>
      </c>
      <c r="B15" s="3" t="s">
        <v>110</v>
      </c>
      <c r="C15" s="3" t="s">
        <v>111</v>
      </c>
      <c r="D15" s="3" t="s">
        <v>44</v>
      </c>
      <c r="E15" s="3"/>
      <c r="F15" s="3" t="s">
        <v>21</v>
      </c>
      <c r="G15" s="3" t="s">
        <v>55</v>
      </c>
      <c r="H15" s="3" t="s">
        <v>112</v>
      </c>
      <c r="I15" s="3" t="s">
        <v>24</v>
      </c>
      <c r="J15" s="3" t="s">
        <v>48</v>
      </c>
      <c r="K15" s="3" t="s">
        <v>49</v>
      </c>
      <c r="L15" s="3" t="s">
        <v>27</v>
      </c>
      <c r="M15" s="3" t="s">
        <v>113</v>
      </c>
      <c r="N15" s="3"/>
      <c r="O15" s="3" t="s">
        <v>29</v>
      </c>
      <c r="P15" s="3" t="n">
        <v>46170</v>
      </c>
      <c r="Q15" s="3" t="n">
        <v>46179</v>
      </c>
    </row>
    <row r="16" customFormat="false" ht="15.75" hidden="false" customHeight="false" outlineLevel="0" collapsed="false">
      <c r="A16" s="3" t="n">
        <v>46169</v>
      </c>
      <c r="B16" s="3" t="s">
        <v>114</v>
      </c>
      <c r="C16" s="3" t="s">
        <v>115</v>
      </c>
      <c r="D16" s="3" t="s">
        <v>19</v>
      </c>
      <c r="E16" s="3" t="s">
        <v>116</v>
      </c>
      <c r="F16" s="3" t="s">
        <v>21</v>
      </c>
      <c r="G16" s="3" t="s">
        <v>91</v>
      </c>
      <c r="H16" s="3" t="s">
        <v>117</v>
      </c>
      <c r="I16" s="3" t="s">
        <v>36</v>
      </c>
      <c r="J16" s="3" t="s">
        <v>48</v>
      </c>
      <c r="K16" s="3" t="s">
        <v>49</v>
      </c>
      <c r="L16" s="3" t="s">
        <v>39</v>
      </c>
      <c r="M16" s="3" t="s">
        <v>118</v>
      </c>
      <c r="N16" s="3" t="s">
        <v>119</v>
      </c>
      <c r="O16" s="3" t="s">
        <v>41</v>
      </c>
      <c r="P16" s="3" t="n">
        <v>46169</v>
      </c>
      <c r="Q16" s="3" t="n">
        <v>46170</v>
      </c>
    </row>
    <row r="17" customFormat="false" ht="15.75" hidden="false" customHeight="false" outlineLevel="0" collapsed="false">
      <c r="A17" s="3" t="n">
        <v>46169</v>
      </c>
      <c r="B17" s="3" t="s">
        <v>120</v>
      </c>
      <c r="C17" s="3" t="s">
        <v>121</v>
      </c>
      <c r="D17" s="3" t="s">
        <v>19</v>
      </c>
      <c r="E17" s="3" t="s">
        <v>53</v>
      </c>
      <c r="F17" s="3" t="s">
        <v>21</v>
      </c>
      <c r="G17" s="3" t="s">
        <v>91</v>
      </c>
      <c r="H17" s="3" t="s">
        <v>122</v>
      </c>
      <c r="I17" s="3" t="s">
        <v>36</v>
      </c>
      <c r="J17" s="3" t="s">
        <v>25</v>
      </c>
      <c r="K17" s="3" t="s">
        <v>98</v>
      </c>
      <c r="L17" s="3" t="s">
        <v>39</v>
      </c>
      <c r="M17" s="3" t="s">
        <v>123</v>
      </c>
      <c r="N17" s="3"/>
      <c r="O17" s="3" t="s">
        <v>29</v>
      </c>
      <c r="P17" s="3" t="n">
        <v>46172</v>
      </c>
      <c r="Q17" s="3" t="n">
        <v>46179</v>
      </c>
    </row>
    <row r="18" customFormat="false" ht="15.75" hidden="false" customHeight="false" outlineLevel="0" collapsed="false">
      <c r="A18" s="3" t="n">
        <v>46169</v>
      </c>
      <c r="B18" s="3" t="s">
        <v>124</v>
      </c>
      <c r="C18" s="3" t="s">
        <v>125</v>
      </c>
      <c r="D18" s="3" t="s">
        <v>44</v>
      </c>
      <c r="E18" s="3" t="s">
        <v>20</v>
      </c>
      <c r="F18" s="3" t="s">
        <v>21</v>
      </c>
      <c r="G18" s="3" t="s">
        <v>91</v>
      </c>
      <c r="H18" s="3" t="s">
        <v>126</v>
      </c>
      <c r="I18" s="3" t="s">
        <v>24</v>
      </c>
      <c r="J18" s="3" t="s">
        <v>97</v>
      </c>
      <c r="K18" s="3" t="s">
        <v>98</v>
      </c>
      <c r="L18" s="3" t="s">
        <v>27</v>
      </c>
      <c r="M18" s="3" t="s">
        <v>127</v>
      </c>
      <c r="N18" s="3"/>
      <c r="O18" s="3" t="s">
        <v>93</v>
      </c>
      <c r="P18" s="3" t="n">
        <v>46169</v>
      </c>
      <c r="Q18" s="3" t="n">
        <v>46174</v>
      </c>
    </row>
    <row r="19" customFormat="false" ht="15.75" hidden="false" customHeight="false" outlineLevel="0" collapsed="false">
      <c r="A19" s="3" t="n">
        <v>46168</v>
      </c>
      <c r="B19" s="3" t="s">
        <v>128</v>
      </c>
      <c r="C19" s="3" t="s">
        <v>129</v>
      </c>
      <c r="D19" s="3" t="s">
        <v>19</v>
      </c>
      <c r="E19" s="3" t="s">
        <v>107</v>
      </c>
      <c r="F19" s="3" t="s">
        <v>21</v>
      </c>
      <c r="G19" s="3" t="s">
        <v>34</v>
      </c>
      <c r="H19" s="3" t="s">
        <v>130</v>
      </c>
      <c r="I19" s="3" t="s">
        <v>36</v>
      </c>
      <c r="J19" s="3" t="s">
        <v>25</v>
      </c>
      <c r="K19" s="3" t="s">
        <v>26</v>
      </c>
      <c r="L19" s="3" t="s">
        <v>39</v>
      </c>
      <c r="M19" s="3" t="s">
        <v>131</v>
      </c>
      <c r="N19" s="3"/>
      <c r="O19" s="3" t="s">
        <v>41</v>
      </c>
      <c r="P19" s="3" t="n">
        <v>46168</v>
      </c>
      <c r="Q19" s="3" t="n">
        <v>46169</v>
      </c>
    </row>
    <row r="20" customFormat="false" ht="15.75" hidden="false" customHeight="false" outlineLevel="0" collapsed="false">
      <c r="A20" s="3" t="n">
        <v>46168</v>
      </c>
      <c r="B20" s="3" t="s">
        <v>132</v>
      </c>
      <c r="C20" s="3" t="s">
        <v>133</v>
      </c>
      <c r="D20" s="3" t="s">
        <v>19</v>
      </c>
      <c r="E20" s="3" t="s">
        <v>116</v>
      </c>
      <c r="F20" s="3" t="s">
        <v>21</v>
      </c>
      <c r="G20" s="3" t="s">
        <v>22</v>
      </c>
      <c r="H20" s="3" t="s">
        <v>134</v>
      </c>
      <c r="I20" s="3" t="s">
        <v>86</v>
      </c>
      <c r="J20" s="3" t="s">
        <v>97</v>
      </c>
      <c r="K20" s="3" t="s">
        <v>98</v>
      </c>
      <c r="L20" s="3" t="s">
        <v>64</v>
      </c>
      <c r="M20" s="3" t="s">
        <v>135</v>
      </c>
      <c r="N20" s="3"/>
      <c r="O20" s="3" t="s">
        <v>136</v>
      </c>
      <c r="P20" s="3" t="n">
        <v>46169</v>
      </c>
      <c r="Q20" s="3" t="n">
        <v>46170</v>
      </c>
    </row>
    <row r="21" customFormat="false" ht="15.75" hidden="false" customHeight="false" outlineLevel="0" collapsed="false">
      <c r="A21" s="3" t="n">
        <v>46168</v>
      </c>
      <c r="B21" s="3" t="s">
        <v>137</v>
      </c>
      <c r="C21" s="3" t="s">
        <v>138</v>
      </c>
      <c r="D21" s="3" t="s">
        <v>19</v>
      </c>
      <c r="E21" s="3" t="s">
        <v>53</v>
      </c>
      <c r="F21" s="3" t="s">
        <v>54</v>
      </c>
      <c r="G21" s="3" t="s">
        <v>91</v>
      </c>
      <c r="H21" s="3" t="s">
        <v>139</v>
      </c>
      <c r="I21" s="3" t="s">
        <v>24</v>
      </c>
      <c r="J21" s="3" t="s">
        <v>97</v>
      </c>
      <c r="K21" s="3" t="s">
        <v>98</v>
      </c>
      <c r="L21" s="3" t="s">
        <v>27</v>
      </c>
      <c r="M21" s="3" t="s">
        <v>127</v>
      </c>
      <c r="N21" s="3"/>
      <c r="O21" s="3" t="s">
        <v>93</v>
      </c>
      <c r="P21" s="3" t="n">
        <v>46169</v>
      </c>
      <c r="Q21" s="3" t="n">
        <v>46174</v>
      </c>
    </row>
    <row r="22" customFormat="false" ht="15.75" hidden="false" customHeight="false" outlineLevel="0" collapsed="false">
      <c r="A22" s="3" t="n">
        <v>46164</v>
      </c>
      <c r="B22" s="3" t="s">
        <v>140</v>
      </c>
      <c r="C22" s="3" t="s">
        <v>141</v>
      </c>
      <c r="D22" s="3" t="s">
        <v>19</v>
      </c>
      <c r="E22" s="3" t="s">
        <v>20</v>
      </c>
      <c r="F22" s="3" t="s">
        <v>142</v>
      </c>
      <c r="G22" s="3" t="s">
        <v>22</v>
      </c>
      <c r="H22" s="3" t="s">
        <v>143</v>
      </c>
      <c r="I22" s="3" t="s">
        <v>24</v>
      </c>
      <c r="J22" s="3" t="s">
        <v>48</v>
      </c>
      <c r="K22" s="3" t="s">
        <v>49</v>
      </c>
      <c r="L22" s="3" t="s">
        <v>27</v>
      </c>
      <c r="M22" s="3" t="s">
        <v>93</v>
      </c>
      <c r="N22" s="3"/>
      <c r="O22" s="3" t="s">
        <v>99</v>
      </c>
      <c r="P22" s="3" t="n">
        <v>46171</v>
      </c>
      <c r="Q22" s="3" t="n">
        <v>46182</v>
      </c>
    </row>
    <row r="23" customFormat="false" ht="15.75" hidden="false" customHeight="false" outlineLevel="0" collapsed="false">
      <c r="A23" s="3" t="n">
        <v>46164</v>
      </c>
      <c r="B23" s="3" t="s">
        <v>144</v>
      </c>
      <c r="C23" s="3" t="s">
        <v>145</v>
      </c>
      <c r="D23" s="3" t="s">
        <v>19</v>
      </c>
      <c r="E23" s="3" t="s">
        <v>53</v>
      </c>
      <c r="F23" s="3" t="s">
        <v>21</v>
      </c>
      <c r="G23" s="3" t="s">
        <v>74</v>
      </c>
      <c r="H23" s="3" t="s">
        <v>146</v>
      </c>
      <c r="I23" s="3" t="s">
        <v>36</v>
      </c>
      <c r="J23" s="3" t="s">
        <v>48</v>
      </c>
      <c r="K23" s="3" t="s">
        <v>49</v>
      </c>
      <c r="L23" s="3" t="s">
        <v>64</v>
      </c>
      <c r="M23" s="3" t="s">
        <v>147</v>
      </c>
      <c r="N23" s="3"/>
      <c r="O23" s="3" t="s">
        <v>41</v>
      </c>
      <c r="P23" s="3" t="n">
        <v>46164</v>
      </c>
      <c r="Q23" s="3" t="n">
        <v>46165</v>
      </c>
    </row>
    <row r="24" customFormat="false" ht="15.75" hidden="false" customHeight="false" outlineLevel="0" collapsed="false">
      <c r="A24" s="3" t="n">
        <v>46164</v>
      </c>
      <c r="B24" s="3" t="s">
        <v>148</v>
      </c>
      <c r="C24" s="3" t="s">
        <v>149</v>
      </c>
      <c r="D24" s="3" t="s">
        <v>19</v>
      </c>
      <c r="E24" s="3" t="s">
        <v>79</v>
      </c>
      <c r="F24" s="3" t="s">
        <v>21</v>
      </c>
      <c r="G24" s="3" t="s">
        <v>22</v>
      </c>
      <c r="H24" s="3" t="s">
        <v>150</v>
      </c>
      <c r="I24" s="3" t="s">
        <v>24</v>
      </c>
      <c r="J24" s="3" t="s">
        <v>151</v>
      </c>
      <c r="K24" s="3" t="s">
        <v>49</v>
      </c>
      <c r="L24" s="3" t="s">
        <v>27</v>
      </c>
      <c r="M24" s="3" t="s">
        <v>93</v>
      </c>
      <c r="N24" s="3"/>
      <c r="O24" s="3" t="s">
        <v>99</v>
      </c>
      <c r="P24" s="3" t="n">
        <v>46165</v>
      </c>
      <c r="Q24" s="3"/>
    </row>
    <row r="25" customFormat="false" ht="15.75" hidden="false" customHeight="false" outlineLevel="0" collapsed="false">
      <c r="A25" s="3" t="n">
        <v>46164</v>
      </c>
      <c r="B25" s="3" t="s">
        <v>152</v>
      </c>
      <c r="C25" s="3" t="s">
        <v>153</v>
      </c>
      <c r="D25" s="3" t="s">
        <v>19</v>
      </c>
      <c r="E25" s="3" t="s">
        <v>68</v>
      </c>
      <c r="F25" s="3" t="s">
        <v>21</v>
      </c>
      <c r="G25" s="3" t="s">
        <v>55</v>
      </c>
      <c r="H25" s="3" t="s">
        <v>154</v>
      </c>
      <c r="I25" s="3" t="s">
        <v>36</v>
      </c>
      <c r="J25" s="3" t="s">
        <v>25</v>
      </c>
      <c r="K25" s="3"/>
      <c r="L25" s="3" t="s">
        <v>155</v>
      </c>
      <c r="M25" s="3" t="s">
        <v>156</v>
      </c>
      <c r="N25" s="3"/>
      <c r="O25" s="3" t="s">
        <v>41</v>
      </c>
      <c r="P25" s="3" t="n">
        <v>46164</v>
      </c>
      <c r="Q25" s="3" t="n">
        <v>46165</v>
      </c>
    </row>
    <row r="26" customFormat="false" ht="15.75" hidden="false" customHeight="false" outlineLevel="0" collapsed="false">
      <c r="A26" s="3" t="n">
        <v>46163</v>
      </c>
      <c r="B26" s="3" t="s">
        <v>157</v>
      </c>
      <c r="C26" s="3" t="s">
        <v>158</v>
      </c>
      <c r="D26" s="3" t="s">
        <v>19</v>
      </c>
      <c r="E26" s="3" t="s">
        <v>116</v>
      </c>
      <c r="F26" s="3" t="s">
        <v>21</v>
      </c>
      <c r="G26" s="3" t="s">
        <v>91</v>
      </c>
      <c r="H26" s="3" t="s">
        <v>159</v>
      </c>
      <c r="I26" s="3" t="s">
        <v>24</v>
      </c>
      <c r="J26" s="3" t="s">
        <v>25</v>
      </c>
      <c r="K26" s="3" t="s">
        <v>26</v>
      </c>
      <c r="L26" s="3" t="s">
        <v>27</v>
      </c>
      <c r="M26" s="3" t="s">
        <v>93</v>
      </c>
      <c r="N26" s="3"/>
      <c r="O26" s="3" t="s">
        <v>99</v>
      </c>
      <c r="P26" s="3" t="n">
        <v>46171</v>
      </c>
      <c r="Q26" s="3" t="n">
        <v>46213</v>
      </c>
    </row>
    <row r="27" customFormat="false" ht="15.75" hidden="false" customHeight="false" outlineLevel="0" collapsed="false">
      <c r="A27" s="3" t="n">
        <v>46163</v>
      </c>
      <c r="B27" s="3" t="s">
        <v>160</v>
      </c>
      <c r="C27" s="3" t="s">
        <v>161</v>
      </c>
      <c r="D27" s="3" t="s">
        <v>19</v>
      </c>
      <c r="E27" s="3" t="s">
        <v>53</v>
      </c>
      <c r="F27" s="3" t="s">
        <v>21</v>
      </c>
      <c r="G27" s="3" t="s">
        <v>74</v>
      </c>
      <c r="H27" s="3" t="s">
        <v>162</v>
      </c>
      <c r="I27" s="3" t="s">
        <v>24</v>
      </c>
      <c r="J27" s="3" t="s">
        <v>97</v>
      </c>
      <c r="K27" s="3" t="s">
        <v>98</v>
      </c>
      <c r="L27" s="3" t="s">
        <v>27</v>
      </c>
      <c r="M27" s="3" t="s">
        <v>127</v>
      </c>
      <c r="N27" s="3"/>
      <c r="O27" s="3" t="s">
        <v>99</v>
      </c>
      <c r="P27" s="3" t="n">
        <v>46163</v>
      </c>
      <c r="Q27" s="3" t="n">
        <v>46174</v>
      </c>
    </row>
    <row r="28" customFormat="false" ht="15.75" hidden="false" customHeight="false" outlineLevel="0" collapsed="false">
      <c r="A28" s="3" t="n">
        <v>46162</v>
      </c>
      <c r="B28" s="3" t="s">
        <v>163</v>
      </c>
      <c r="C28" s="3" t="s">
        <v>164</v>
      </c>
      <c r="D28" s="3" t="s">
        <v>19</v>
      </c>
      <c r="E28" s="3" t="s">
        <v>53</v>
      </c>
      <c r="F28" s="3" t="s">
        <v>21</v>
      </c>
      <c r="G28" s="3" t="s">
        <v>55</v>
      </c>
      <c r="H28" s="3" t="s">
        <v>35</v>
      </c>
      <c r="I28" s="3" t="s">
        <v>36</v>
      </c>
      <c r="J28" s="3" t="s">
        <v>25</v>
      </c>
      <c r="K28" s="3" t="s">
        <v>26</v>
      </c>
      <c r="L28" s="3" t="s">
        <v>155</v>
      </c>
      <c r="M28" s="3" t="s">
        <v>165</v>
      </c>
      <c r="N28" s="3"/>
      <c r="O28" s="3" t="s">
        <v>41</v>
      </c>
      <c r="P28" s="3" t="n">
        <v>46162</v>
      </c>
      <c r="Q28" s="3" t="n">
        <v>46174</v>
      </c>
    </row>
    <row r="29" customFormat="false" ht="15.75" hidden="false" customHeight="false" outlineLevel="0" collapsed="false">
      <c r="A29" s="3" t="n">
        <v>46161</v>
      </c>
      <c r="B29" s="3" t="s">
        <v>166</v>
      </c>
      <c r="C29" s="3" t="s">
        <v>167</v>
      </c>
      <c r="D29" s="3" t="s">
        <v>44</v>
      </c>
      <c r="E29" s="3" t="s">
        <v>20</v>
      </c>
      <c r="F29" s="3" t="s">
        <v>54</v>
      </c>
      <c r="G29" s="3" t="s">
        <v>74</v>
      </c>
      <c r="H29" s="3" t="s">
        <v>168</v>
      </c>
      <c r="I29" s="3" t="s">
        <v>24</v>
      </c>
      <c r="J29" s="3" t="s">
        <v>48</v>
      </c>
      <c r="K29" s="3" t="s">
        <v>49</v>
      </c>
      <c r="L29" s="3" t="s">
        <v>27</v>
      </c>
      <c r="M29" s="3" t="s">
        <v>50</v>
      </c>
      <c r="N29" s="3"/>
      <c r="O29" s="3" t="s">
        <v>29</v>
      </c>
      <c r="P29" s="3" t="n">
        <v>46161</v>
      </c>
      <c r="Q29" s="3" t="n">
        <v>46162</v>
      </c>
    </row>
    <row r="30" customFormat="false" ht="15.75" hidden="false" customHeight="false" outlineLevel="0" collapsed="false">
      <c r="A30" s="3" t="n">
        <v>46161</v>
      </c>
      <c r="B30" s="3" t="s">
        <v>169</v>
      </c>
      <c r="C30" s="3" t="s">
        <v>170</v>
      </c>
      <c r="D30" s="3" t="s">
        <v>19</v>
      </c>
      <c r="E30" s="3" t="s">
        <v>20</v>
      </c>
      <c r="F30" s="3" t="s">
        <v>21</v>
      </c>
      <c r="G30" s="3" t="s">
        <v>22</v>
      </c>
      <c r="H30" s="3" t="s">
        <v>171</v>
      </c>
      <c r="I30" s="3" t="s">
        <v>24</v>
      </c>
      <c r="J30" s="3" t="s">
        <v>48</v>
      </c>
      <c r="K30" s="3" t="s">
        <v>49</v>
      </c>
      <c r="L30" s="3" t="s">
        <v>27</v>
      </c>
      <c r="M30" s="3" t="s">
        <v>93</v>
      </c>
      <c r="N30" s="3"/>
      <c r="O30" s="3" t="s">
        <v>99</v>
      </c>
      <c r="P30" s="3" t="n">
        <v>46162</v>
      </c>
      <c r="Q30" s="3" t="n">
        <v>46162</v>
      </c>
    </row>
    <row r="31" customFormat="false" ht="15.75" hidden="false" customHeight="false" outlineLevel="0" collapsed="false">
      <c r="A31" s="3" t="n">
        <v>46161</v>
      </c>
      <c r="B31" s="3" t="s">
        <v>172</v>
      </c>
      <c r="C31" s="3" t="s">
        <v>173</v>
      </c>
      <c r="D31" s="3" t="s">
        <v>19</v>
      </c>
      <c r="E31" s="3" t="s">
        <v>32</v>
      </c>
      <c r="F31" s="3" t="s">
        <v>174</v>
      </c>
      <c r="G31" s="3" t="s">
        <v>46</v>
      </c>
      <c r="H31" s="3" t="s">
        <v>175</v>
      </c>
      <c r="I31" s="3" t="s">
        <v>36</v>
      </c>
      <c r="J31" s="3" t="s">
        <v>25</v>
      </c>
      <c r="K31" s="3" t="s">
        <v>26</v>
      </c>
      <c r="L31" s="3" t="s">
        <v>155</v>
      </c>
      <c r="M31" s="3" t="s">
        <v>176</v>
      </c>
      <c r="N31" s="3"/>
      <c r="O31" s="3" t="s">
        <v>41</v>
      </c>
      <c r="P31" s="3" t="n">
        <v>46161</v>
      </c>
      <c r="Q31" s="3" t="n">
        <v>46174</v>
      </c>
    </row>
    <row r="32" customFormat="false" ht="15.75" hidden="false" customHeight="false" outlineLevel="0" collapsed="false">
      <c r="A32" s="3" t="n">
        <v>46161</v>
      </c>
      <c r="B32" s="3" t="s">
        <v>177</v>
      </c>
      <c r="C32" s="3" t="s">
        <v>178</v>
      </c>
      <c r="D32" s="3" t="s">
        <v>19</v>
      </c>
      <c r="E32" s="3" t="s">
        <v>20</v>
      </c>
      <c r="F32" s="3" t="s">
        <v>54</v>
      </c>
      <c r="G32" s="3" t="s">
        <v>91</v>
      </c>
      <c r="H32" s="3" t="s">
        <v>179</v>
      </c>
      <c r="I32" s="3" t="s">
        <v>24</v>
      </c>
      <c r="J32" s="3" t="s">
        <v>97</v>
      </c>
      <c r="K32" s="3" t="s">
        <v>98</v>
      </c>
      <c r="L32" s="3" t="s">
        <v>27</v>
      </c>
      <c r="M32" s="3" t="s">
        <v>93</v>
      </c>
      <c r="N32" s="3"/>
      <c r="O32" s="3" t="s">
        <v>99</v>
      </c>
      <c r="P32" s="3" t="n">
        <v>46162</v>
      </c>
      <c r="Q32" s="3" t="n">
        <v>46162</v>
      </c>
    </row>
    <row r="33" customFormat="false" ht="15.75" hidden="false" customHeight="false" outlineLevel="0" collapsed="false">
      <c r="A33" s="3" t="n">
        <v>46160</v>
      </c>
      <c r="B33" s="3" t="s">
        <v>180</v>
      </c>
      <c r="C33" s="3" t="s">
        <v>181</v>
      </c>
      <c r="D33" s="3" t="s">
        <v>19</v>
      </c>
      <c r="E33" s="3" t="s">
        <v>116</v>
      </c>
      <c r="F33" s="3" t="s">
        <v>21</v>
      </c>
      <c r="G33" s="3" t="s">
        <v>55</v>
      </c>
      <c r="H33" s="3" t="s">
        <v>182</v>
      </c>
      <c r="I33" s="3" t="s">
        <v>36</v>
      </c>
      <c r="J33" s="3" t="s">
        <v>97</v>
      </c>
      <c r="K33" s="3" t="s">
        <v>98</v>
      </c>
      <c r="L33" s="3" t="s">
        <v>39</v>
      </c>
      <c r="M33" s="3" t="s">
        <v>183</v>
      </c>
      <c r="N33" s="3"/>
      <c r="O33" s="3" t="s">
        <v>41</v>
      </c>
      <c r="P33" s="3" t="n">
        <v>46161</v>
      </c>
      <c r="Q33" s="3" t="n">
        <v>46161</v>
      </c>
    </row>
    <row r="34" customFormat="false" ht="15.75" hidden="false" customHeight="false" outlineLevel="0" collapsed="false">
      <c r="A34" s="3" t="n">
        <v>46160</v>
      </c>
      <c r="B34" s="3" t="s">
        <v>184</v>
      </c>
      <c r="C34" s="3" t="s">
        <v>185</v>
      </c>
      <c r="D34" s="3" t="s">
        <v>44</v>
      </c>
      <c r="E34" s="3"/>
      <c r="F34" s="3" t="s">
        <v>21</v>
      </c>
      <c r="G34" s="3" t="s">
        <v>22</v>
      </c>
      <c r="H34" s="3" t="s">
        <v>186</v>
      </c>
      <c r="I34" s="3" t="s">
        <v>36</v>
      </c>
      <c r="J34" s="3" t="s">
        <v>48</v>
      </c>
      <c r="K34" s="3" t="s">
        <v>49</v>
      </c>
      <c r="L34" s="3" t="s">
        <v>39</v>
      </c>
      <c r="M34" s="3" t="s">
        <v>187</v>
      </c>
      <c r="N34" s="3"/>
      <c r="O34" s="3" t="s">
        <v>41</v>
      </c>
      <c r="P34" s="3" t="n">
        <v>46160</v>
      </c>
      <c r="Q34" s="3" t="n">
        <v>46161</v>
      </c>
    </row>
    <row r="35" customFormat="false" ht="15.75" hidden="false" customHeight="false" outlineLevel="0" collapsed="false">
      <c r="A35" s="3" t="n">
        <v>46160</v>
      </c>
      <c r="B35" s="3" t="s">
        <v>188</v>
      </c>
      <c r="C35" s="3" t="s">
        <v>189</v>
      </c>
      <c r="D35" s="3" t="s">
        <v>44</v>
      </c>
      <c r="E35" s="3" t="s">
        <v>20</v>
      </c>
      <c r="F35" s="3" t="s">
        <v>190</v>
      </c>
      <c r="G35" s="3" t="s">
        <v>34</v>
      </c>
      <c r="H35" s="3" t="s">
        <v>191</v>
      </c>
      <c r="I35" s="3" t="s">
        <v>36</v>
      </c>
      <c r="J35" s="3" t="s">
        <v>48</v>
      </c>
      <c r="K35" s="3" t="s">
        <v>49</v>
      </c>
      <c r="L35" s="3" t="s">
        <v>39</v>
      </c>
      <c r="M35" s="3" t="s">
        <v>192</v>
      </c>
      <c r="N35" s="3"/>
      <c r="O35" s="3" t="s">
        <v>41</v>
      </c>
      <c r="P35" s="3" t="n">
        <v>46160</v>
      </c>
      <c r="Q35" s="3" t="n">
        <v>46161</v>
      </c>
    </row>
    <row r="36" customFormat="false" ht="15.75" hidden="false" customHeight="false" outlineLevel="0" collapsed="false">
      <c r="A36" s="3" t="n">
        <v>46160</v>
      </c>
      <c r="B36" s="3" t="s">
        <v>193</v>
      </c>
      <c r="C36" s="3" t="s">
        <v>194</v>
      </c>
      <c r="D36" s="3" t="s">
        <v>19</v>
      </c>
      <c r="E36" s="3" t="s">
        <v>20</v>
      </c>
      <c r="F36" s="3" t="s">
        <v>195</v>
      </c>
      <c r="G36" s="3" t="s">
        <v>22</v>
      </c>
      <c r="H36" s="3" t="s">
        <v>196</v>
      </c>
      <c r="I36" s="3" t="s">
        <v>36</v>
      </c>
      <c r="J36" s="3" t="s">
        <v>25</v>
      </c>
      <c r="K36" s="3" t="s">
        <v>26</v>
      </c>
      <c r="L36" s="3" t="s">
        <v>39</v>
      </c>
      <c r="M36" s="3" t="s">
        <v>197</v>
      </c>
      <c r="N36" s="3"/>
      <c r="O36" s="3" t="s">
        <v>41</v>
      </c>
      <c r="P36" s="3" t="n">
        <v>46160</v>
      </c>
      <c r="Q36" s="3" t="n">
        <v>46161</v>
      </c>
    </row>
    <row r="37" customFormat="false" ht="15.75" hidden="false" customHeight="false" outlineLevel="0" collapsed="false">
      <c r="A37" s="3" t="n">
        <v>46158</v>
      </c>
      <c r="B37" s="3" t="s">
        <v>198</v>
      </c>
      <c r="C37" s="3" t="s">
        <v>199</v>
      </c>
      <c r="D37" s="3" t="s">
        <v>44</v>
      </c>
      <c r="E37" s="3"/>
      <c r="F37" s="3" t="s">
        <v>21</v>
      </c>
      <c r="G37" s="3" t="s">
        <v>34</v>
      </c>
      <c r="H37" s="3" t="s">
        <v>200</v>
      </c>
      <c r="I37" s="3" t="s">
        <v>36</v>
      </c>
      <c r="J37" s="3" t="s">
        <v>97</v>
      </c>
      <c r="K37" s="3" t="s">
        <v>98</v>
      </c>
      <c r="L37" s="3" t="s">
        <v>64</v>
      </c>
      <c r="M37" s="3" t="s">
        <v>201</v>
      </c>
      <c r="N37" s="3"/>
      <c r="O37" s="3" t="s">
        <v>41</v>
      </c>
      <c r="P37" s="3" t="n">
        <v>46158</v>
      </c>
      <c r="Q37" s="3" t="n">
        <v>46160</v>
      </c>
    </row>
    <row r="38" customFormat="false" ht="15.75" hidden="false" customHeight="false" outlineLevel="0" collapsed="false">
      <c r="A38" s="3" t="n">
        <v>46157</v>
      </c>
      <c r="B38" s="3" t="s">
        <v>202</v>
      </c>
      <c r="C38" s="3" t="s">
        <v>203</v>
      </c>
      <c r="D38" s="3" t="s">
        <v>19</v>
      </c>
      <c r="E38" s="3" t="s">
        <v>20</v>
      </c>
      <c r="F38" s="3" t="s">
        <v>21</v>
      </c>
      <c r="G38" s="3" t="s">
        <v>34</v>
      </c>
      <c r="H38" s="3" t="s">
        <v>204</v>
      </c>
      <c r="I38" s="3" t="s">
        <v>36</v>
      </c>
      <c r="J38" s="3" t="s">
        <v>48</v>
      </c>
      <c r="K38" s="3" t="s">
        <v>49</v>
      </c>
      <c r="L38" s="3" t="s">
        <v>39</v>
      </c>
      <c r="M38" s="3" t="s">
        <v>205</v>
      </c>
      <c r="N38" s="3"/>
      <c r="O38" s="3" t="s">
        <v>71</v>
      </c>
      <c r="P38" s="3" t="n">
        <v>46161</v>
      </c>
      <c r="Q38" s="3" t="n">
        <v>46161</v>
      </c>
    </row>
    <row r="39" customFormat="false" ht="15.75" hidden="false" customHeight="false" outlineLevel="0" collapsed="false">
      <c r="A39" s="3" t="n">
        <v>46157</v>
      </c>
      <c r="B39" s="3" t="s">
        <v>206</v>
      </c>
      <c r="C39" s="3" t="s">
        <v>207</v>
      </c>
      <c r="D39" s="3" t="s">
        <v>44</v>
      </c>
      <c r="E39" s="3"/>
      <c r="F39" s="3" t="s">
        <v>21</v>
      </c>
      <c r="G39" s="3" t="s">
        <v>55</v>
      </c>
      <c r="H39" s="3" t="s">
        <v>208</v>
      </c>
      <c r="I39" s="3" t="s">
        <v>36</v>
      </c>
      <c r="J39" s="3" t="s">
        <v>48</v>
      </c>
      <c r="K39" s="3" t="s">
        <v>49</v>
      </c>
      <c r="L39" s="3" t="s">
        <v>39</v>
      </c>
      <c r="M39" s="3" t="s">
        <v>209</v>
      </c>
      <c r="N39" s="3"/>
      <c r="O39" s="3" t="s">
        <v>136</v>
      </c>
      <c r="P39" s="3" t="n">
        <v>46157</v>
      </c>
      <c r="Q39" s="3" t="n">
        <v>46158</v>
      </c>
    </row>
    <row r="40" customFormat="false" ht="15.75" hidden="false" customHeight="false" outlineLevel="0" collapsed="false">
      <c r="A40" s="3" t="n">
        <v>46157</v>
      </c>
      <c r="B40" s="3" t="s">
        <v>210</v>
      </c>
      <c r="C40" s="3" t="s">
        <v>211</v>
      </c>
      <c r="D40" s="3" t="s">
        <v>19</v>
      </c>
      <c r="E40" s="3" t="s">
        <v>79</v>
      </c>
      <c r="F40" s="3" t="s">
        <v>45</v>
      </c>
      <c r="G40" s="3" t="s">
        <v>55</v>
      </c>
      <c r="H40" s="3" t="s">
        <v>212</v>
      </c>
      <c r="I40" s="3" t="s">
        <v>24</v>
      </c>
      <c r="J40" s="3" t="s">
        <v>97</v>
      </c>
      <c r="K40" s="3" t="s">
        <v>98</v>
      </c>
      <c r="L40" s="3" t="s">
        <v>27</v>
      </c>
      <c r="M40" s="3" t="s">
        <v>93</v>
      </c>
      <c r="N40" s="3"/>
      <c r="O40" s="3" t="s">
        <v>99</v>
      </c>
      <c r="P40" s="3" t="n">
        <v>46175</v>
      </c>
      <c r="Q40" s="3" t="n">
        <v>46209</v>
      </c>
    </row>
    <row r="41" customFormat="false" ht="15.75" hidden="false" customHeight="false" outlineLevel="0" collapsed="false">
      <c r="A41" s="3" t="n">
        <v>46157</v>
      </c>
      <c r="B41" s="3" t="s">
        <v>213</v>
      </c>
      <c r="C41" s="3" t="s">
        <v>214</v>
      </c>
      <c r="D41" s="3" t="s">
        <v>19</v>
      </c>
      <c r="E41" s="3" t="s">
        <v>107</v>
      </c>
      <c r="F41" s="3" t="s">
        <v>21</v>
      </c>
      <c r="G41" s="3" t="s">
        <v>34</v>
      </c>
      <c r="H41" s="3" t="s">
        <v>215</v>
      </c>
      <c r="I41" s="3" t="s">
        <v>36</v>
      </c>
      <c r="J41" s="3" t="s">
        <v>25</v>
      </c>
      <c r="K41" s="3" t="s">
        <v>216</v>
      </c>
      <c r="L41" s="3" t="s">
        <v>27</v>
      </c>
      <c r="M41" s="3" t="s">
        <v>217</v>
      </c>
      <c r="N41" s="3"/>
      <c r="O41" s="3" t="s">
        <v>88</v>
      </c>
      <c r="P41" s="3" t="n">
        <v>46157</v>
      </c>
      <c r="Q41" s="3" t="n">
        <v>46157</v>
      </c>
    </row>
    <row r="42" customFormat="false" ht="15.75" hidden="false" customHeight="false" outlineLevel="0" collapsed="false">
      <c r="A42" s="3" t="n">
        <v>46157</v>
      </c>
      <c r="B42" s="3" t="s">
        <v>218</v>
      </c>
      <c r="C42" s="3" t="s">
        <v>219</v>
      </c>
      <c r="D42" s="3" t="s">
        <v>19</v>
      </c>
      <c r="E42" s="3" t="s">
        <v>32</v>
      </c>
      <c r="F42" s="3" t="s">
        <v>195</v>
      </c>
      <c r="G42" s="3" t="s">
        <v>22</v>
      </c>
      <c r="H42" s="3" t="s">
        <v>220</v>
      </c>
      <c r="I42" s="3" t="s">
        <v>36</v>
      </c>
      <c r="J42" s="3" t="s">
        <v>25</v>
      </c>
      <c r="K42" s="3" t="s">
        <v>26</v>
      </c>
      <c r="L42" s="3" t="s">
        <v>39</v>
      </c>
      <c r="M42" s="3" t="s">
        <v>221</v>
      </c>
      <c r="N42" s="3"/>
      <c r="O42" s="3" t="s">
        <v>41</v>
      </c>
      <c r="P42" s="3" t="n">
        <v>46157</v>
      </c>
      <c r="Q42" s="3" t="n">
        <v>46160</v>
      </c>
    </row>
    <row r="43" customFormat="false" ht="15.75" hidden="false" customHeight="false" outlineLevel="0" collapsed="false">
      <c r="A43" s="3" t="n">
        <v>46155</v>
      </c>
      <c r="B43" s="3" t="s">
        <v>222</v>
      </c>
      <c r="C43" s="3" t="s">
        <v>223</v>
      </c>
      <c r="D43" s="3" t="s">
        <v>19</v>
      </c>
      <c r="E43" s="3" t="s">
        <v>107</v>
      </c>
      <c r="F43" s="3" t="s">
        <v>108</v>
      </c>
      <c r="G43" s="3" t="s">
        <v>34</v>
      </c>
      <c r="H43" s="3" t="s">
        <v>224</v>
      </c>
      <c r="I43" s="3" t="s">
        <v>36</v>
      </c>
      <c r="J43" s="3" t="s">
        <v>48</v>
      </c>
      <c r="K43" s="3" t="s">
        <v>49</v>
      </c>
      <c r="L43" s="3" t="s">
        <v>39</v>
      </c>
      <c r="M43" s="3" t="s">
        <v>76</v>
      </c>
      <c r="N43" s="3"/>
      <c r="O43" s="3" t="s">
        <v>41</v>
      </c>
      <c r="P43" s="3" t="n">
        <v>46155</v>
      </c>
      <c r="Q43" s="3" t="n">
        <v>46156</v>
      </c>
    </row>
    <row r="44" customFormat="false" ht="15.75" hidden="false" customHeight="false" outlineLevel="0" collapsed="false">
      <c r="A44" s="3" t="n">
        <v>46155</v>
      </c>
      <c r="B44" s="3" t="s">
        <v>225</v>
      </c>
      <c r="C44" s="3" t="s">
        <v>226</v>
      </c>
      <c r="D44" s="3" t="s">
        <v>19</v>
      </c>
      <c r="E44" s="3" t="s">
        <v>20</v>
      </c>
      <c r="F44" s="3" t="s">
        <v>54</v>
      </c>
      <c r="G44" s="3" t="s">
        <v>55</v>
      </c>
      <c r="H44" s="3" t="s">
        <v>186</v>
      </c>
      <c r="I44" s="3" t="s">
        <v>36</v>
      </c>
      <c r="J44" s="3" t="s">
        <v>48</v>
      </c>
      <c r="K44" s="3" t="s">
        <v>49</v>
      </c>
      <c r="L44" s="3" t="s">
        <v>155</v>
      </c>
      <c r="M44" s="3" t="s">
        <v>227</v>
      </c>
      <c r="N44" s="3" t="s">
        <v>228</v>
      </c>
      <c r="O44" s="3" t="s">
        <v>41</v>
      </c>
      <c r="P44" s="3" t="n">
        <v>46155</v>
      </c>
      <c r="Q44" s="3" t="n">
        <v>46172</v>
      </c>
    </row>
    <row r="45" customFormat="false" ht="15.75" hidden="false" customHeight="false" outlineLevel="0" collapsed="false">
      <c r="A45" s="3" t="n">
        <v>46154</v>
      </c>
      <c r="B45" s="3" t="s">
        <v>229</v>
      </c>
      <c r="C45" s="3" t="s">
        <v>230</v>
      </c>
      <c r="D45" s="3" t="s">
        <v>44</v>
      </c>
      <c r="E45" s="3"/>
      <c r="F45" s="3" t="s">
        <v>108</v>
      </c>
      <c r="G45" s="3" t="s">
        <v>55</v>
      </c>
      <c r="H45" s="3" t="s">
        <v>231</v>
      </c>
      <c r="I45" s="3" t="s">
        <v>36</v>
      </c>
      <c r="J45" s="3" t="s">
        <v>48</v>
      </c>
      <c r="K45" s="3" t="s">
        <v>49</v>
      </c>
      <c r="L45" s="3" t="s">
        <v>64</v>
      </c>
      <c r="M45" s="3" t="s">
        <v>232</v>
      </c>
      <c r="N45" s="3"/>
      <c r="O45" s="3" t="s">
        <v>41</v>
      </c>
      <c r="P45" s="3" t="n">
        <v>46160</v>
      </c>
      <c r="Q45" s="3" t="n">
        <v>46161</v>
      </c>
    </row>
    <row r="46" customFormat="false" ht="15.75" hidden="false" customHeight="false" outlineLevel="0" collapsed="false">
      <c r="A46" s="3" t="n">
        <v>46154</v>
      </c>
      <c r="B46" s="3" t="s">
        <v>233</v>
      </c>
      <c r="C46" s="3" t="s">
        <v>234</v>
      </c>
      <c r="D46" s="3" t="s">
        <v>19</v>
      </c>
      <c r="E46" s="3" t="s">
        <v>20</v>
      </c>
      <c r="F46" s="3" t="s">
        <v>21</v>
      </c>
      <c r="G46" s="3" t="s">
        <v>22</v>
      </c>
      <c r="H46" s="3" t="s">
        <v>235</v>
      </c>
      <c r="I46" s="3" t="s">
        <v>24</v>
      </c>
      <c r="J46" s="3" t="s">
        <v>151</v>
      </c>
      <c r="K46" s="3" t="s">
        <v>49</v>
      </c>
      <c r="L46" s="3" t="s">
        <v>27</v>
      </c>
      <c r="M46" s="3" t="s">
        <v>127</v>
      </c>
      <c r="N46" s="3"/>
      <c r="O46" s="3" t="s">
        <v>99</v>
      </c>
      <c r="P46" s="3" t="n">
        <v>46158</v>
      </c>
      <c r="Q46" s="3" t="n">
        <v>46158</v>
      </c>
    </row>
    <row r="47" customFormat="false" ht="15.75" hidden="false" customHeight="false" outlineLevel="0" collapsed="false">
      <c r="A47" s="3" t="n">
        <v>46154</v>
      </c>
      <c r="B47" s="3" t="s">
        <v>236</v>
      </c>
      <c r="C47" s="3" t="s">
        <v>237</v>
      </c>
      <c r="D47" s="3" t="s">
        <v>19</v>
      </c>
      <c r="E47" s="3" t="s">
        <v>102</v>
      </c>
      <c r="F47" s="3" t="s">
        <v>33</v>
      </c>
      <c r="G47" s="3" t="s">
        <v>55</v>
      </c>
      <c r="H47" s="3" t="s">
        <v>238</v>
      </c>
      <c r="I47" s="3" t="s">
        <v>86</v>
      </c>
      <c r="J47" s="3" t="s">
        <v>37</v>
      </c>
      <c r="K47" s="3" t="s">
        <v>49</v>
      </c>
      <c r="L47" s="3" t="s">
        <v>155</v>
      </c>
      <c r="M47" s="3" t="s">
        <v>239</v>
      </c>
      <c r="N47" s="3" t="s">
        <v>240</v>
      </c>
      <c r="O47" s="3" t="s">
        <v>41</v>
      </c>
      <c r="P47" s="3" t="n">
        <v>46155</v>
      </c>
      <c r="Q47" s="3" t="n">
        <v>46158</v>
      </c>
    </row>
    <row r="48" customFormat="false" ht="15.75" hidden="false" customHeight="false" outlineLevel="0" collapsed="false">
      <c r="A48" s="3" t="n">
        <v>46153</v>
      </c>
      <c r="B48" s="3" t="s">
        <v>241</v>
      </c>
      <c r="C48" s="3" t="s">
        <v>242</v>
      </c>
      <c r="D48" s="3" t="s">
        <v>19</v>
      </c>
      <c r="E48" s="3" t="s">
        <v>102</v>
      </c>
      <c r="F48" s="3" t="s">
        <v>243</v>
      </c>
      <c r="G48" s="3" t="s">
        <v>55</v>
      </c>
      <c r="H48" s="3" t="s">
        <v>244</v>
      </c>
      <c r="I48" s="3" t="s">
        <v>24</v>
      </c>
      <c r="J48" s="3" t="s">
        <v>25</v>
      </c>
      <c r="K48" s="3" t="s">
        <v>245</v>
      </c>
      <c r="L48" s="3" t="s">
        <v>27</v>
      </c>
      <c r="M48" s="3" t="s">
        <v>50</v>
      </c>
      <c r="N48" s="3"/>
      <c r="O48" s="3" t="s">
        <v>29</v>
      </c>
      <c r="P48" s="3" t="n">
        <v>46155</v>
      </c>
      <c r="Q48" s="3" t="n">
        <v>46156</v>
      </c>
    </row>
    <row r="49" customFormat="false" ht="15.75" hidden="false" customHeight="false" outlineLevel="0" collapsed="false">
      <c r="A49" s="3" t="n">
        <v>46153</v>
      </c>
      <c r="B49" s="3" t="s">
        <v>246</v>
      </c>
      <c r="C49" s="3" t="s">
        <v>247</v>
      </c>
      <c r="D49" s="3" t="s">
        <v>19</v>
      </c>
      <c r="E49" s="3" t="s">
        <v>248</v>
      </c>
      <c r="F49" s="3" t="s">
        <v>21</v>
      </c>
      <c r="G49" s="3" t="s">
        <v>55</v>
      </c>
      <c r="H49" s="3" t="s">
        <v>249</v>
      </c>
      <c r="I49" s="3" t="s">
        <v>36</v>
      </c>
      <c r="J49" s="3" t="s">
        <v>25</v>
      </c>
      <c r="K49" s="3" t="s">
        <v>26</v>
      </c>
      <c r="L49" s="3" t="s">
        <v>39</v>
      </c>
      <c r="M49" s="3" t="s">
        <v>250</v>
      </c>
      <c r="N49" s="3"/>
      <c r="O49" s="3" t="s">
        <v>41</v>
      </c>
      <c r="P49" s="3" t="n">
        <v>46175</v>
      </c>
      <c r="Q49" s="3" t="n">
        <v>46181</v>
      </c>
    </row>
    <row r="50" customFormat="false" ht="15.75" hidden="false" customHeight="false" outlineLevel="0" collapsed="false">
      <c r="A50" s="3" t="n">
        <v>46153</v>
      </c>
      <c r="B50" s="3" t="s">
        <v>251</v>
      </c>
      <c r="C50" s="3" t="s">
        <v>252</v>
      </c>
      <c r="D50" s="3" t="s">
        <v>19</v>
      </c>
      <c r="E50" s="3" t="s">
        <v>20</v>
      </c>
      <c r="F50" s="3" t="s">
        <v>21</v>
      </c>
      <c r="G50" s="3" t="s">
        <v>55</v>
      </c>
      <c r="H50" s="3" t="s">
        <v>231</v>
      </c>
      <c r="I50" s="3" t="s">
        <v>36</v>
      </c>
      <c r="J50" s="3" t="s">
        <v>48</v>
      </c>
      <c r="K50" s="3" t="s">
        <v>49</v>
      </c>
      <c r="L50" s="3" t="s">
        <v>64</v>
      </c>
      <c r="M50" s="3" t="s">
        <v>253</v>
      </c>
      <c r="N50" s="3"/>
      <c r="O50" s="3" t="s">
        <v>41</v>
      </c>
      <c r="P50" s="3" t="n">
        <v>46153</v>
      </c>
      <c r="Q50" s="3" t="n">
        <v>46154</v>
      </c>
    </row>
    <row r="51" customFormat="false" ht="15.75" hidden="false" customHeight="false" outlineLevel="0" collapsed="false">
      <c r="A51" s="3" t="n">
        <v>46153</v>
      </c>
      <c r="B51" s="3" t="s">
        <v>254</v>
      </c>
      <c r="C51" s="3" t="s">
        <v>255</v>
      </c>
      <c r="D51" s="3" t="s">
        <v>19</v>
      </c>
      <c r="E51" s="3" t="s">
        <v>32</v>
      </c>
      <c r="F51" s="3" t="s">
        <v>45</v>
      </c>
      <c r="G51" s="3" t="s">
        <v>34</v>
      </c>
      <c r="H51" s="3" t="s">
        <v>256</v>
      </c>
      <c r="I51" s="3" t="s">
        <v>36</v>
      </c>
      <c r="J51" s="3" t="s">
        <v>25</v>
      </c>
      <c r="K51" s="3" t="s">
        <v>26</v>
      </c>
      <c r="L51" s="3" t="s">
        <v>39</v>
      </c>
      <c r="M51" s="3" t="s">
        <v>257</v>
      </c>
      <c r="N51" s="3" t="s">
        <v>258</v>
      </c>
      <c r="O51" s="3" t="s">
        <v>41</v>
      </c>
      <c r="P51" s="3" t="n">
        <v>46154</v>
      </c>
      <c r="Q51" s="3" t="n">
        <v>46161</v>
      </c>
    </row>
    <row r="52" customFormat="false" ht="15.75" hidden="false" customHeight="false" outlineLevel="0" collapsed="false">
      <c r="A52" s="3" t="n">
        <v>46141</v>
      </c>
      <c r="B52" s="3" t="s">
        <v>259</v>
      </c>
      <c r="C52" s="3" t="s">
        <v>260</v>
      </c>
      <c r="D52" s="3" t="s">
        <v>19</v>
      </c>
      <c r="E52" s="3" t="s">
        <v>53</v>
      </c>
      <c r="F52" s="3" t="s">
        <v>21</v>
      </c>
      <c r="G52" s="3" t="s">
        <v>74</v>
      </c>
      <c r="H52" s="3" t="s">
        <v>261</v>
      </c>
      <c r="I52" s="3" t="s">
        <v>24</v>
      </c>
      <c r="J52" s="3" t="s">
        <v>97</v>
      </c>
      <c r="K52" s="3" t="s">
        <v>98</v>
      </c>
      <c r="L52" s="3" t="s">
        <v>27</v>
      </c>
      <c r="M52" s="3" t="s">
        <v>50</v>
      </c>
      <c r="N52" s="3"/>
      <c r="O52" s="3" t="s">
        <v>29</v>
      </c>
      <c r="P52" s="3" t="n">
        <v>46141</v>
      </c>
      <c r="Q52" s="3" t="n">
        <v>46142</v>
      </c>
    </row>
    <row r="53" customFormat="false" ht="15.75" hidden="false" customHeight="false" outlineLevel="0" collapsed="false">
      <c r="A53" s="3" t="n">
        <v>46140</v>
      </c>
      <c r="B53" s="3" t="s">
        <v>262</v>
      </c>
      <c r="C53" s="3" t="s">
        <v>263</v>
      </c>
      <c r="D53" s="3" t="s">
        <v>19</v>
      </c>
      <c r="E53" s="3" t="s">
        <v>32</v>
      </c>
      <c r="F53" s="3" t="s">
        <v>21</v>
      </c>
      <c r="G53" s="3" t="s">
        <v>91</v>
      </c>
      <c r="H53" s="3" t="s">
        <v>264</v>
      </c>
      <c r="I53" s="3" t="s">
        <v>24</v>
      </c>
      <c r="J53" s="3" t="s">
        <v>25</v>
      </c>
      <c r="K53" s="3" t="s">
        <v>26</v>
      </c>
      <c r="L53" s="3" t="s">
        <v>27</v>
      </c>
      <c r="M53" s="3" t="s">
        <v>50</v>
      </c>
      <c r="N53" s="3"/>
      <c r="O53" s="3" t="s">
        <v>29</v>
      </c>
      <c r="P53" s="3" t="n">
        <v>46141</v>
      </c>
      <c r="Q53" s="3" t="n">
        <v>46141</v>
      </c>
    </row>
    <row r="54" customFormat="false" ht="15.75" hidden="false" customHeight="false" outlineLevel="0" collapsed="false">
      <c r="A54" s="3" t="n">
        <v>46140</v>
      </c>
      <c r="B54" s="3" t="s">
        <v>265</v>
      </c>
      <c r="C54" s="3" t="s">
        <v>266</v>
      </c>
      <c r="D54" s="3" t="s">
        <v>19</v>
      </c>
      <c r="E54" s="3" t="s">
        <v>68</v>
      </c>
      <c r="F54" s="3" t="s">
        <v>267</v>
      </c>
      <c r="G54" s="3" t="s">
        <v>55</v>
      </c>
      <c r="H54" s="3" t="s">
        <v>268</v>
      </c>
      <c r="I54" s="3" t="s">
        <v>36</v>
      </c>
      <c r="J54" s="3" t="s">
        <v>151</v>
      </c>
      <c r="K54" s="3" t="s">
        <v>49</v>
      </c>
      <c r="L54" s="3" t="s">
        <v>39</v>
      </c>
      <c r="M54" s="3" t="s">
        <v>269</v>
      </c>
      <c r="N54" s="3"/>
      <c r="O54" s="3" t="s">
        <v>41</v>
      </c>
      <c r="P54" s="3" t="n">
        <v>46154</v>
      </c>
      <c r="Q54" s="3" t="n">
        <v>46161</v>
      </c>
    </row>
    <row r="55" customFormat="false" ht="15.75" hidden="false" customHeight="false" outlineLevel="0" collapsed="false">
      <c r="A55" s="3" t="n">
        <v>46140</v>
      </c>
      <c r="B55" s="3" t="s">
        <v>270</v>
      </c>
      <c r="C55" s="3" t="s">
        <v>271</v>
      </c>
      <c r="D55" s="3" t="s">
        <v>19</v>
      </c>
      <c r="E55" s="3" t="s">
        <v>102</v>
      </c>
      <c r="F55" s="3" t="s">
        <v>272</v>
      </c>
      <c r="G55" s="3" t="s">
        <v>46</v>
      </c>
      <c r="H55" s="3" t="s">
        <v>273</v>
      </c>
      <c r="I55" s="3" t="s">
        <v>24</v>
      </c>
      <c r="J55" s="3" t="s">
        <v>25</v>
      </c>
      <c r="K55" s="3" t="s">
        <v>245</v>
      </c>
      <c r="L55" s="3" t="s">
        <v>27</v>
      </c>
      <c r="M55" s="3" t="s">
        <v>274</v>
      </c>
      <c r="N55" s="3"/>
      <c r="O55" s="3" t="s">
        <v>99</v>
      </c>
      <c r="P55" s="3" t="n">
        <v>46154</v>
      </c>
      <c r="Q55" s="3" t="n">
        <v>46177</v>
      </c>
    </row>
    <row r="56" customFormat="false" ht="15.75" hidden="false" customHeight="false" outlineLevel="0" collapsed="false">
      <c r="A56" s="3" t="n">
        <v>46140</v>
      </c>
      <c r="B56" s="3" t="s">
        <v>275</v>
      </c>
      <c r="C56" s="3" t="s">
        <v>276</v>
      </c>
      <c r="D56" s="3" t="s">
        <v>19</v>
      </c>
      <c r="E56" s="3" t="s">
        <v>102</v>
      </c>
      <c r="F56" s="3" t="s">
        <v>108</v>
      </c>
      <c r="G56" s="3" t="s">
        <v>74</v>
      </c>
      <c r="H56" s="3" t="s">
        <v>277</v>
      </c>
      <c r="I56" s="3" t="s">
        <v>36</v>
      </c>
      <c r="J56" s="3" t="s">
        <v>25</v>
      </c>
      <c r="K56" s="3" t="s">
        <v>26</v>
      </c>
      <c r="L56" s="3" t="s">
        <v>39</v>
      </c>
      <c r="M56" s="3" t="s">
        <v>278</v>
      </c>
      <c r="N56" s="3"/>
      <c r="O56" s="3" t="s">
        <v>41</v>
      </c>
      <c r="P56" s="3" t="n">
        <v>46141</v>
      </c>
      <c r="Q56" s="3" t="n">
        <v>46141</v>
      </c>
    </row>
    <row r="57" customFormat="false" ht="15.75" hidden="false" customHeight="false" outlineLevel="0" collapsed="false">
      <c r="A57" s="3" t="n">
        <v>46140</v>
      </c>
      <c r="B57" s="3" t="s">
        <v>279</v>
      </c>
      <c r="C57" s="3" t="s">
        <v>280</v>
      </c>
      <c r="D57" s="3" t="s">
        <v>19</v>
      </c>
      <c r="E57" s="3" t="s">
        <v>53</v>
      </c>
      <c r="F57" s="3" t="s">
        <v>54</v>
      </c>
      <c r="G57" s="3" t="s">
        <v>91</v>
      </c>
      <c r="H57" s="3" t="s">
        <v>281</v>
      </c>
      <c r="I57" s="3" t="s">
        <v>24</v>
      </c>
      <c r="J57" s="3" t="s">
        <v>97</v>
      </c>
      <c r="K57" s="3" t="s">
        <v>98</v>
      </c>
      <c r="L57" s="3" t="s">
        <v>27</v>
      </c>
      <c r="M57" s="3" t="s">
        <v>127</v>
      </c>
      <c r="N57" s="3"/>
      <c r="O57" s="3" t="s">
        <v>99</v>
      </c>
      <c r="P57" s="3" t="n">
        <v>46140</v>
      </c>
      <c r="Q57" s="3" t="n">
        <v>46142</v>
      </c>
    </row>
    <row r="58" customFormat="false" ht="15.75" hidden="false" customHeight="false" outlineLevel="0" collapsed="false">
      <c r="A58" s="3" t="n">
        <v>46139</v>
      </c>
      <c r="B58" s="3" t="s">
        <v>282</v>
      </c>
      <c r="C58" s="3" t="s">
        <v>283</v>
      </c>
      <c r="D58" s="3" t="s">
        <v>19</v>
      </c>
      <c r="E58" s="3" t="s">
        <v>53</v>
      </c>
      <c r="F58" s="3" t="s">
        <v>54</v>
      </c>
      <c r="G58" s="3" t="s">
        <v>91</v>
      </c>
      <c r="H58" s="3" t="s">
        <v>284</v>
      </c>
      <c r="I58" s="3" t="s">
        <v>24</v>
      </c>
      <c r="J58" s="3" t="s">
        <v>48</v>
      </c>
      <c r="K58" s="3" t="s">
        <v>49</v>
      </c>
      <c r="L58" s="3" t="s">
        <v>27</v>
      </c>
      <c r="M58" s="3" t="s">
        <v>93</v>
      </c>
      <c r="N58" s="3"/>
      <c r="O58" s="3" t="s">
        <v>99</v>
      </c>
      <c r="P58" s="3" t="n">
        <v>46140</v>
      </c>
      <c r="Q58" s="3" t="n">
        <v>46141</v>
      </c>
    </row>
    <row r="59" customFormat="false" ht="15.75" hidden="false" customHeight="false" outlineLevel="0" collapsed="false">
      <c r="A59" s="3" t="n">
        <v>46137</v>
      </c>
      <c r="B59" s="3" t="s">
        <v>285</v>
      </c>
      <c r="C59" s="3" t="s">
        <v>286</v>
      </c>
      <c r="D59" s="3" t="s">
        <v>19</v>
      </c>
      <c r="E59" s="3" t="s">
        <v>68</v>
      </c>
      <c r="F59" s="3" t="s">
        <v>21</v>
      </c>
      <c r="G59" s="3" t="s">
        <v>55</v>
      </c>
      <c r="H59" s="3" t="s">
        <v>287</v>
      </c>
      <c r="I59" s="3" t="s">
        <v>36</v>
      </c>
      <c r="J59" s="3" t="s">
        <v>48</v>
      </c>
      <c r="K59" s="3" t="s">
        <v>49</v>
      </c>
      <c r="L59" s="3" t="s">
        <v>39</v>
      </c>
      <c r="M59" s="3" t="s">
        <v>288</v>
      </c>
      <c r="N59" s="3" t="s">
        <v>289</v>
      </c>
      <c r="O59" s="3" t="s">
        <v>41</v>
      </c>
      <c r="P59" s="3" t="n">
        <v>46139</v>
      </c>
      <c r="Q59" s="3" t="n">
        <v>46140</v>
      </c>
    </row>
    <row r="60" customFormat="false" ht="15.75" hidden="false" customHeight="false" outlineLevel="0" collapsed="false">
      <c r="A60" s="3" t="n">
        <v>46136</v>
      </c>
      <c r="B60" s="3" t="s">
        <v>290</v>
      </c>
      <c r="C60" s="3" t="s">
        <v>291</v>
      </c>
      <c r="D60" s="3" t="s">
        <v>19</v>
      </c>
      <c r="E60" s="3" t="s">
        <v>107</v>
      </c>
      <c r="F60" s="3" t="s">
        <v>292</v>
      </c>
      <c r="G60" s="3" t="s">
        <v>22</v>
      </c>
      <c r="H60" s="3" t="s">
        <v>191</v>
      </c>
      <c r="I60" s="3" t="s">
        <v>36</v>
      </c>
      <c r="J60" s="3" t="s">
        <v>25</v>
      </c>
      <c r="K60" s="3" t="s">
        <v>26</v>
      </c>
      <c r="L60" s="3" t="s">
        <v>39</v>
      </c>
      <c r="M60" s="3" t="s">
        <v>293</v>
      </c>
      <c r="N60" s="3" t="s">
        <v>294</v>
      </c>
      <c r="O60" s="3" t="s">
        <v>88</v>
      </c>
      <c r="P60" s="3" t="n">
        <v>46136</v>
      </c>
      <c r="Q60" s="3" t="n">
        <v>46146</v>
      </c>
    </row>
    <row r="61" customFormat="false" ht="15.75" hidden="false" customHeight="false" outlineLevel="0" collapsed="false">
      <c r="A61" s="3" t="n">
        <v>46135</v>
      </c>
      <c r="B61" s="3" t="s">
        <v>295</v>
      </c>
      <c r="C61" s="3" t="s">
        <v>296</v>
      </c>
      <c r="D61" s="3" t="s">
        <v>44</v>
      </c>
      <c r="E61" s="3"/>
      <c r="F61" s="3" t="s">
        <v>174</v>
      </c>
      <c r="G61" s="3" t="s">
        <v>34</v>
      </c>
      <c r="H61" s="3" t="s">
        <v>297</v>
      </c>
      <c r="I61" s="3" t="s">
        <v>36</v>
      </c>
      <c r="J61" s="3" t="s">
        <v>48</v>
      </c>
      <c r="K61" s="3" t="s">
        <v>49</v>
      </c>
      <c r="L61" s="3" t="s">
        <v>64</v>
      </c>
      <c r="M61" s="3" t="s">
        <v>298</v>
      </c>
      <c r="N61" s="3" t="s">
        <v>299</v>
      </c>
      <c r="O61" s="3" t="s">
        <v>41</v>
      </c>
      <c r="P61" s="3" t="n">
        <v>46139</v>
      </c>
      <c r="Q61" s="3" t="n">
        <v>46153</v>
      </c>
    </row>
    <row r="62" customFormat="false" ht="15.75" hidden="false" customHeight="false" outlineLevel="0" collapsed="false">
      <c r="A62" s="3" t="n">
        <v>46135</v>
      </c>
      <c r="B62" s="3" t="s">
        <v>300</v>
      </c>
      <c r="C62" s="3" t="s">
        <v>301</v>
      </c>
      <c r="D62" s="3" t="s">
        <v>19</v>
      </c>
      <c r="E62" s="3" t="s">
        <v>53</v>
      </c>
      <c r="F62" s="3" t="s">
        <v>21</v>
      </c>
      <c r="G62" s="3" t="s">
        <v>22</v>
      </c>
      <c r="H62" s="3" t="s">
        <v>302</v>
      </c>
      <c r="I62" s="3" t="s">
        <v>24</v>
      </c>
      <c r="J62" s="3" t="s">
        <v>97</v>
      </c>
      <c r="K62" s="3" t="s">
        <v>98</v>
      </c>
      <c r="L62" s="3" t="s">
        <v>27</v>
      </c>
      <c r="M62" s="3" t="s">
        <v>127</v>
      </c>
      <c r="N62" s="3" t="s">
        <v>303</v>
      </c>
      <c r="O62" s="3" t="s">
        <v>99</v>
      </c>
      <c r="P62" s="3" t="n">
        <v>46135</v>
      </c>
      <c r="Q62" s="3" t="n">
        <v>46136</v>
      </c>
    </row>
    <row r="63" customFormat="false" ht="15.75" hidden="false" customHeight="false" outlineLevel="0" collapsed="false">
      <c r="A63" s="3" t="n">
        <v>46135</v>
      </c>
      <c r="B63" s="3" t="s">
        <v>304</v>
      </c>
      <c r="C63" s="3" t="s">
        <v>305</v>
      </c>
      <c r="D63" s="3" t="s">
        <v>19</v>
      </c>
      <c r="E63" s="3" t="s">
        <v>53</v>
      </c>
      <c r="F63" s="3" t="s">
        <v>21</v>
      </c>
      <c r="G63" s="3" t="s">
        <v>74</v>
      </c>
      <c r="H63" s="3" t="s">
        <v>306</v>
      </c>
      <c r="I63" s="3" t="s">
        <v>36</v>
      </c>
      <c r="J63" s="3" t="s">
        <v>151</v>
      </c>
      <c r="K63" s="3" t="s">
        <v>49</v>
      </c>
      <c r="L63" s="3" t="s">
        <v>39</v>
      </c>
      <c r="M63" s="3" t="s">
        <v>307</v>
      </c>
      <c r="N63" s="3"/>
      <c r="O63" s="3" t="s">
        <v>71</v>
      </c>
      <c r="P63" s="3" t="n">
        <v>46139</v>
      </c>
      <c r="Q63" s="3" t="n">
        <v>46140</v>
      </c>
    </row>
    <row r="64" customFormat="false" ht="15.75" hidden="false" customHeight="false" outlineLevel="0" collapsed="false">
      <c r="A64" s="3" t="n">
        <v>46134</v>
      </c>
      <c r="B64" s="3" t="s">
        <v>308</v>
      </c>
      <c r="C64" s="3" t="s">
        <v>309</v>
      </c>
      <c r="D64" s="3" t="s">
        <v>19</v>
      </c>
      <c r="E64" s="3" t="s">
        <v>53</v>
      </c>
      <c r="F64" s="3" t="s">
        <v>21</v>
      </c>
      <c r="G64" s="3" t="s">
        <v>74</v>
      </c>
      <c r="H64" s="3" t="s">
        <v>310</v>
      </c>
      <c r="I64" s="3" t="s">
        <v>36</v>
      </c>
      <c r="J64" s="3" t="s">
        <v>97</v>
      </c>
      <c r="K64" s="3" t="s">
        <v>98</v>
      </c>
      <c r="L64" s="3" t="s">
        <v>155</v>
      </c>
      <c r="M64" s="3" t="s">
        <v>311</v>
      </c>
      <c r="N64" s="3"/>
      <c r="O64" s="3" t="s">
        <v>41</v>
      </c>
      <c r="P64" s="3" t="n">
        <v>46135</v>
      </c>
      <c r="Q64" s="3" t="n">
        <v>46139</v>
      </c>
    </row>
    <row r="65" customFormat="false" ht="15.75" hidden="false" customHeight="false" outlineLevel="0" collapsed="false">
      <c r="A65" s="3" t="n">
        <v>46134</v>
      </c>
      <c r="B65" s="3" t="s">
        <v>312</v>
      </c>
      <c r="C65" s="3" t="s">
        <v>313</v>
      </c>
      <c r="D65" s="3" t="s">
        <v>19</v>
      </c>
      <c r="E65" s="3" t="s">
        <v>53</v>
      </c>
      <c r="F65" s="3" t="s">
        <v>21</v>
      </c>
      <c r="G65" s="3" t="s">
        <v>22</v>
      </c>
      <c r="H65" s="3" t="s">
        <v>314</v>
      </c>
      <c r="I65" s="3" t="s">
        <v>24</v>
      </c>
      <c r="J65" s="3" t="s">
        <v>48</v>
      </c>
      <c r="K65" s="3" t="s">
        <v>49</v>
      </c>
      <c r="L65" s="3" t="s">
        <v>27</v>
      </c>
      <c r="M65" s="3" t="s">
        <v>315</v>
      </c>
      <c r="N65" s="3"/>
      <c r="O65" s="3" t="s">
        <v>29</v>
      </c>
      <c r="P65" s="3" t="n">
        <v>46134</v>
      </c>
      <c r="Q65" s="3" t="n">
        <v>46136</v>
      </c>
    </row>
    <row r="66" customFormat="false" ht="15.75" hidden="false" customHeight="false" outlineLevel="0" collapsed="false">
      <c r="A66" s="3" t="n">
        <v>46134</v>
      </c>
      <c r="B66" s="3" t="s">
        <v>316</v>
      </c>
      <c r="C66" s="3" t="s">
        <v>317</v>
      </c>
      <c r="D66" s="3" t="s">
        <v>19</v>
      </c>
      <c r="E66" s="3" t="s">
        <v>20</v>
      </c>
      <c r="F66" s="3" t="s">
        <v>21</v>
      </c>
      <c r="G66" s="3" t="s">
        <v>22</v>
      </c>
      <c r="H66" s="3" t="s">
        <v>196</v>
      </c>
      <c r="I66" s="3" t="s">
        <v>86</v>
      </c>
      <c r="J66" s="3" t="s">
        <v>97</v>
      </c>
      <c r="K66" s="3" t="s">
        <v>98</v>
      </c>
      <c r="L66" s="3" t="s">
        <v>39</v>
      </c>
      <c r="M66" s="3" t="s">
        <v>318</v>
      </c>
      <c r="N66" s="3"/>
      <c r="O66" s="3" t="s">
        <v>136</v>
      </c>
      <c r="P66" s="3" t="n">
        <v>46141</v>
      </c>
      <c r="Q66" s="3" t="n">
        <v>46142</v>
      </c>
    </row>
    <row r="67" customFormat="false" ht="15.75" hidden="false" customHeight="false" outlineLevel="0" collapsed="false">
      <c r="A67" s="3" t="n">
        <v>46132</v>
      </c>
      <c r="B67" s="3" t="s">
        <v>319</v>
      </c>
      <c r="C67" s="3" t="s">
        <v>320</v>
      </c>
      <c r="D67" s="3" t="s">
        <v>19</v>
      </c>
      <c r="E67" s="3" t="s">
        <v>20</v>
      </c>
      <c r="F67" s="3" t="s">
        <v>21</v>
      </c>
      <c r="G67" s="3" t="s">
        <v>55</v>
      </c>
      <c r="H67" s="3" t="s">
        <v>321</v>
      </c>
      <c r="I67" s="3" t="s">
        <v>24</v>
      </c>
      <c r="J67" s="3" t="s">
        <v>48</v>
      </c>
      <c r="K67" s="3" t="s">
        <v>49</v>
      </c>
      <c r="L67" s="3" t="s">
        <v>27</v>
      </c>
      <c r="M67" s="3" t="s">
        <v>127</v>
      </c>
      <c r="N67" s="3"/>
      <c r="O67" s="3" t="s">
        <v>99</v>
      </c>
      <c r="P67" s="3" t="n">
        <v>46134</v>
      </c>
      <c r="Q67" s="3" t="n">
        <v>46135</v>
      </c>
    </row>
    <row r="68" customFormat="false" ht="15.75" hidden="false" customHeight="false" outlineLevel="0" collapsed="false">
      <c r="A68" s="3" t="n">
        <v>46133</v>
      </c>
      <c r="B68" s="3" t="s">
        <v>322</v>
      </c>
      <c r="C68" s="3" t="s">
        <v>323</v>
      </c>
      <c r="D68" s="3" t="s">
        <v>19</v>
      </c>
      <c r="E68" s="3" t="s">
        <v>20</v>
      </c>
      <c r="F68" s="3" t="s">
        <v>21</v>
      </c>
      <c r="G68" s="3" t="s">
        <v>55</v>
      </c>
      <c r="H68" s="3" t="s">
        <v>324</v>
      </c>
      <c r="I68" s="3" t="s">
        <v>36</v>
      </c>
      <c r="J68" s="3" t="s">
        <v>48</v>
      </c>
      <c r="K68" s="3" t="s">
        <v>49</v>
      </c>
      <c r="L68" s="3" t="s">
        <v>39</v>
      </c>
      <c r="M68" s="3" t="s">
        <v>325</v>
      </c>
      <c r="N68" s="3"/>
      <c r="O68" s="3" t="s">
        <v>88</v>
      </c>
      <c r="P68" s="3" t="n">
        <v>46134</v>
      </c>
      <c r="Q68" s="3" t="n">
        <v>46134</v>
      </c>
    </row>
    <row r="69" customFormat="false" ht="15.75" hidden="false" customHeight="false" outlineLevel="0" collapsed="false">
      <c r="A69" s="3" t="n">
        <v>46133</v>
      </c>
      <c r="B69" s="3" t="s">
        <v>326</v>
      </c>
      <c r="C69" s="3" t="s">
        <v>327</v>
      </c>
      <c r="D69" s="3" t="s">
        <v>44</v>
      </c>
      <c r="E69" s="3"/>
      <c r="F69" s="3" t="s">
        <v>292</v>
      </c>
      <c r="G69" s="3" t="s">
        <v>34</v>
      </c>
      <c r="H69" s="3" t="s">
        <v>117</v>
      </c>
      <c r="I69" s="3" t="s">
        <v>36</v>
      </c>
      <c r="J69" s="3" t="s">
        <v>48</v>
      </c>
      <c r="K69" s="3" t="s">
        <v>49</v>
      </c>
      <c r="L69" s="3" t="s">
        <v>64</v>
      </c>
      <c r="M69" s="3" t="s">
        <v>328</v>
      </c>
      <c r="N69" s="3" t="s">
        <v>329</v>
      </c>
      <c r="O69" s="3" t="s">
        <v>41</v>
      </c>
      <c r="P69" s="3" t="n">
        <v>46136</v>
      </c>
      <c r="Q69" s="3" t="n">
        <v>46139</v>
      </c>
    </row>
    <row r="70" customFormat="false" ht="15.75" hidden="false" customHeight="false" outlineLevel="0" collapsed="false">
      <c r="A70" s="3" t="n">
        <v>46133</v>
      </c>
      <c r="B70" s="3" t="s">
        <v>330</v>
      </c>
      <c r="C70" s="3" t="s">
        <v>331</v>
      </c>
      <c r="D70" s="3" t="s">
        <v>44</v>
      </c>
      <c r="E70" s="3"/>
      <c r="F70" s="3" t="s">
        <v>21</v>
      </c>
      <c r="G70" s="3" t="s">
        <v>55</v>
      </c>
      <c r="H70" s="3" t="s">
        <v>332</v>
      </c>
      <c r="I70" s="3" t="s">
        <v>36</v>
      </c>
      <c r="J70" s="3" t="s">
        <v>48</v>
      </c>
      <c r="K70" s="3" t="s">
        <v>49</v>
      </c>
      <c r="L70" s="3" t="s">
        <v>64</v>
      </c>
      <c r="M70" s="3" t="s">
        <v>333</v>
      </c>
      <c r="N70" s="3"/>
      <c r="O70" s="3" t="s">
        <v>41</v>
      </c>
      <c r="P70" s="3" t="n">
        <v>46135</v>
      </c>
      <c r="Q70" s="3" t="n">
        <v>46136</v>
      </c>
    </row>
    <row r="71" customFormat="false" ht="15.75" hidden="false" customHeight="false" outlineLevel="0" collapsed="false">
      <c r="A71" s="3" t="n">
        <v>46133</v>
      </c>
      <c r="B71" s="3" t="s">
        <v>334</v>
      </c>
      <c r="C71" s="3" t="s">
        <v>335</v>
      </c>
      <c r="D71" s="3" t="s">
        <v>19</v>
      </c>
      <c r="E71" s="3" t="s">
        <v>32</v>
      </c>
      <c r="F71" s="3" t="s">
        <v>336</v>
      </c>
      <c r="G71" s="3" t="s">
        <v>22</v>
      </c>
      <c r="H71" s="3" t="s">
        <v>337</v>
      </c>
      <c r="I71" s="3" t="s">
        <v>36</v>
      </c>
      <c r="J71" s="3" t="s">
        <v>25</v>
      </c>
      <c r="K71" s="3" t="s">
        <v>338</v>
      </c>
      <c r="L71" s="3" t="s">
        <v>64</v>
      </c>
      <c r="M71" s="3" t="s">
        <v>333</v>
      </c>
      <c r="N71" s="3" t="s">
        <v>339</v>
      </c>
      <c r="O71" s="3" t="s">
        <v>41</v>
      </c>
      <c r="P71" s="3" t="n">
        <v>46135</v>
      </c>
      <c r="Q71" s="3" t="n">
        <v>46136</v>
      </c>
    </row>
    <row r="72" customFormat="false" ht="15.75" hidden="false" customHeight="false" outlineLevel="0" collapsed="false">
      <c r="A72" s="3" t="n">
        <v>46132</v>
      </c>
      <c r="B72" s="3" t="s">
        <v>316</v>
      </c>
      <c r="C72" s="3" t="s">
        <v>340</v>
      </c>
      <c r="D72" s="3" t="s">
        <v>19</v>
      </c>
      <c r="E72" s="3" t="s">
        <v>20</v>
      </c>
      <c r="F72" s="3" t="s">
        <v>21</v>
      </c>
      <c r="G72" s="3" t="s">
        <v>74</v>
      </c>
      <c r="H72" s="3" t="s">
        <v>341</v>
      </c>
      <c r="I72" s="3" t="s">
        <v>36</v>
      </c>
      <c r="J72" s="3" t="s">
        <v>48</v>
      </c>
      <c r="K72" s="3" t="s">
        <v>49</v>
      </c>
      <c r="L72" s="3" t="s">
        <v>64</v>
      </c>
      <c r="M72" s="3" t="s">
        <v>342</v>
      </c>
      <c r="N72" s="3"/>
      <c r="O72" s="3" t="s">
        <v>41</v>
      </c>
      <c r="P72" s="3" t="n">
        <v>46132</v>
      </c>
      <c r="Q72" s="3" t="n">
        <v>46135</v>
      </c>
    </row>
    <row r="73" customFormat="false" ht="15.75" hidden="false" customHeight="false" outlineLevel="0" collapsed="false">
      <c r="A73" s="3" t="n">
        <v>46132</v>
      </c>
      <c r="B73" s="3" t="s">
        <v>343</v>
      </c>
      <c r="C73" s="3" t="s">
        <v>344</v>
      </c>
      <c r="D73" s="3" t="s">
        <v>19</v>
      </c>
      <c r="E73" s="3" t="s">
        <v>20</v>
      </c>
      <c r="F73" s="3" t="s">
        <v>21</v>
      </c>
      <c r="G73" s="3" t="s">
        <v>55</v>
      </c>
      <c r="H73" s="3" t="s">
        <v>35</v>
      </c>
      <c r="I73" s="3" t="s">
        <v>24</v>
      </c>
      <c r="J73" s="3" t="s">
        <v>48</v>
      </c>
      <c r="K73" s="3" t="s">
        <v>49</v>
      </c>
      <c r="L73" s="3" t="s">
        <v>27</v>
      </c>
      <c r="M73" s="3" t="s">
        <v>345</v>
      </c>
      <c r="N73" s="3"/>
      <c r="O73" s="3" t="s">
        <v>99</v>
      </c>
      <c r="P73" s="3" t="n">
        <v>46134</v>
      </c>
      <c r="Q73" s="3" t="n">
        <v>46146</v>
      </c>
    </row>
    <row r="74" customFormat="false" ht="15.75" hidden="false" customHeight="false" outlineLevel="0" collapsed="false">
      <c r="A74" s="3" t="n">
        <v>46132</v>
      </c>
      <c r="B74" s="3" t="s">
        <v>346</v>
      </c>
      <c r="C74" s="3" t="s">
        <v>347</v>
      </c>
      <c r="D74" s="3" t="s">
        <v>19</v>
      </c>
      <c r="E74" s="3" t="s">
        <v>32</v>
      </c>
      <c r="F74" s="3" t="s">
        <v>348</v>
      </c>
      <c r="G74" s="3" t="s">
        <v>22</v>
      </c>
      <c r="H74" s="3" t="s">
        <v>349</v>
      </c>
      <c r="I74" s="3" t="s">
        <v>36</v>
      </c>
      <c r="J74" s="3" t="s">
        <v>25</v>
      </c>
      <c r="K74" s="3" t="s">
        <v>338</v>
      </c>
      <c r="L74" s="3" t="s">
        <v>64</v>
      </c>
      <c r="M74" s="3" t="s">
        <v>350</v>
      </c>
      <c r="N74" s="3"/>
      <c r="O74" s="3" t="s">
        <v>41</v>
      </c>
      <c r="P74" s="3" t="n">
        <v>46132</v>
      </c>
      <c r="Q74" s="3" t="n">
        <v>46136</v>
      </c>
    </row>
    <row r="75" customFormat="false" ht="15.75" hidden="false" customHeight="false" outlineLevel="0" collapsed="false">
      <c r="A75" s="3" t="n">
        <v>46132</v>
      </c>
      <c r="B75" s="3" t="s">
        <v>351</v>
      </c>
      <c r="C75" s="3" t="s">
        <v>352</v>
      </c>
      <c r="D75" s="3" t="s">
        <v>19</v>
      </c>
      <c r="E75" s="3" t="s">
        <v>32</v>
      </c>
      <c r="F75" s="3" t="s">
        <v>21</v>
      </c>
      <c r="G75" s="3" t="s">
        <v>55</v>
      </c>
      <c r="H75" s="3" t="s">
        <v>353</v>
      </c>
      <c r="I75" s="3" t="s">
        <v>36</v>
      </c>
      <c r="J75" s="3" t="s">
        <v>25</v>
      </c>
      <c r="K75" s="3" t="s">
        <v>26</v>
      </c>
      <c r="L75" s="3" t="s">
        <v>57</v>
      </c>
      <c r="M75" s="3" t="s">
        <v>183</v>
      </c>
      <c r="N75" s="3"/>
      <c r="O75" s="3" t="s">
        <v>41</v>
      </c>
      <c r="P75" s="3" t="n">
        <v>46135</v>
      </c>
      <c r="Q75" s="3" t="n">
        <v>46137</v>
      </c>
    </row>
    <row r="76" customFormat="false" ht="15.75" hidden="false" customHeight="false" outlineLevel="0" collapsed="false">
      <c r="A76" s="3" t="n">
        <v>46132</v>
      </c>
      <c r="B76" s="3" t="s">
        <v>354</v>
      </c>
      <c r="C76" s="3" t="s">
        <v>355</v>
      </c>
      <c r="D76" s="3" t="s">
        <v>44</v>
      </c>
      <c r="E76" s="3"/>
      <c r="F76" s="3" t="s">
        <v>356</v>
      </c>
      <c r="G76" s="3" t="s">
        <v>55</v>
      </c>
      <c r="H76" s="3" t="s">
        <v>357</v>
      </c>
      <c r="I76" s="3" t="s">
        <v>36</v>
      </c>
      <c r="J76" s="3" t="s">
        <v>97</v>
      </c>
      <c r="K76" s="3" t="s">
        <v>98</v>
      </c>
      <c r="L76" s="3" t="s">
        <v>64</v>
      </c>
      <c r="M76" s="3" t="s">
        <v>358</v>
      </c>
      <c r="N76" s="3" t="s">
        <v>298</v>
      </c>
      <c r="O76" s="3" t="s">
        <v>41</v>
      </c>
      <c r="P76" s="3" t="n">
        <v>46133</v>
      </c>
      <c r="Q76" s="3" t="n">
        <v>46137</v>
      </c>
    </row>
    <row r="77" customFormat="false" ht="15.75" hidden="false" customHeight="false" outlineLevel="0" collapsed="false">
      <c r="A77" s="3" t="n">
        <v>46130</v>
      </c>
      <c r="B77" s="3" t="s">
        <v>359</v>
      </c>
      <c r="C77" s="3" t="s">
        <v>360</v>
      </c>
      <c r="D77" s="3" t="s">
        <v>44</v>
      </c>
      <c r="E77" s="3"/>
      <c r="F77" s="3" t="s">
        <v>142</v>
      </c>
      <c r="G77" s="3" t="s">
        <v>55</v>
      </c>
      <c r="H77" s="3" t="s">
        <v>361</v>
      </c>
      <c r="I77" s="3" t="s">
        <v>36</v>
      </c>
      <c r="J77" s="3" t="s">
        <v>151</v>
      </c>
      <c r="K77" s="3" t="s">
        <v>49</v>
      </c>
      <c r="L77" s="3" t="s">
        <v>39</v>
      </c>
      <c r="M77" s="3" t="s">
        <v>362</v>
      </c>
      <c r="N77" s="3" t="s">
        <v>363</v>
      </c>
      <c r="O77" s="3" t="s">
        <v>41</v>
      </c>
      <c r="P77" s="3" t="n">
        <v>46132</v>
      </c>
      <c r="Q77" s="3" t="n">
        <v>46133</v>
      </c>
    </row>
    <row r="78" customFormat="false" ht="15.75" hidden="false" customHeight="false" outlineLevel="0" collapsed="false">
      <c r="A78" s="3" t="n">
        <v>46130</v>
      </c>
      <c r="B78" s="3" t="s">
        <v>364</v>
      </c>
      <c r="C78" s="3"/>
      <c r="D78" s="3" t="s">
        <v>44</v>
      </c>
      <c r="E78" s="3"/>
      <c r="F78" s="3" t="s">
        <v>21</v>
      </c>
      <c r="G78" s="3" t="s">
        <v>55</v>
      </c>
      <c r="H78" s="3" t="s">
        <v>365</v>
      </c>
      <c r="I78" s="3" t="s">
        <v>24</v>
      </c>
      <c r="J78" s="3" t="s">
        <v>151</v>
      </c>
      <c r="K78" s="3" t="s">
        <v>49</v>
      </c>
      <c r="L78" s="3" t="s">
        <v>27</v>
      </c>
      <c r="M78" s="3" t="s">
        <v>93</v>
      </c>
      <c r="N78" s="3"/>
      <c r="O78" s="3" t="s">
        <v>99</v>
      </c>
      <c r="P78" s="3" t="n">
        <v>46130</v>
      </c>
      <c r="Q78" s="3" t="n">
        <v>46132</v>
      </c>
    </row>
    <row r="79" customFormat="false" ht="15.75" hidden="false" customHeight="false" outlineLevel="0" collapsed="false">
      <c r="A79" s="3" t="n">
        <v>46129</v>
      </c>
      <c r="B79" s="3" t="s">
        <v>366</v>
      </c>
      <c r="C79" s="3" t="s">
        <v>367</v>
      </c>
      <c r="D79" s="3" t="s">
        <v>19</v>
      </c>
      <c r="E79" s="3" t="s">
        <v>368</v>
      </c>
      <c r="F79" s="3" t="s">
        <v>21</v>
      </c>
      <c r="G79" s="3" t="s">
        <v>34</v>
      </c>
      <c r="H79" s="3" t="s">
        <v>369</v>
      </c>
      <c r="I79" s="3" t="s">
        <v>36</v>
      </c>
      <c r="J79" s="3" t="s">
        <v>97</v>
      </c>
      <c r="K79" s="3" t="s">
        <v>98</v>
      </c>
      <c r="L79" s="3" t="s">
        <v>39</v>
      </c>
      <c r="M79" s="3" t="s">
        <v>370</v>
      </c>
      <c r="N79" s="3"/>
      <c r="O79" s="3" t="s">
        <v>41</v>
      </c>
      <c r="P79" s="3" t="n">
        <v>46135</v>
      </c>
      <c r="Q79" s="3" t="n">
        <v>46137</v>
      </c>
    </row>
    <row r="80" customFormat="false" ht="15.75" hidden="false" customHeight="false" outlineLevel="0" collapsed="false">
      <c r="A80" s="3" t="n">
        <v>46128</v>
      </c>
      <c r="B80" s="3" t="s">
        <v>371</v>
      </c>
      <c r="C80" s="3" t="s">
        <v>372</v>
      </c>
      <c r="D80" s="3" t="s">
        <v>44</v>
      </c>
      <c r="E80" s="3" t="s">
        <v>79</v>
      </c>
      <c r="F80" s="3" t="s">
        <v>195</v>
      </c>
      <c r="G80" s="3" t="s">
        <v>22</v>
      </c>
      <c r="H80" s="3" t="s">
        <v>373</v>
      </c>
      <c r="I80" s="3" t="s">
        <v>36</v>
      </c>
      <c r="J80" s="3" t="s">
        <v>25</v>
      </c>
      <c r="K80" s="3" t="s">
        <v>338</v>
      </c>
      <c r="L80" s="3" t="s">
        <v>39</v>
      </c>
      <c r="M80" s="3" t="s">
        <v>374</v>
      </c>
      <c r="N80" s="3" t="s">
        <v>375</v>
      </c>
      <c r="O80" s="3" t="s">
        <v>41</v>
      </c>
      <c r="P80" s="3" t="n">
        <v>46133</v>
      </c>
      <c r="Q80" s="3" t="n">
        <v>46134</v>
      </c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customFormat="false" ht="17.2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customFormat="false" ht="17.2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</row>
    <row r="1002" customFormat="false" ht="15.75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</row>
    <row r="1003" customFormat="false" ht="15.75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</row>
    <row r="1004" customFormat="false" ht="15.75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</row>
    <row r="1005" customFormat="false" ht="15.75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</row>
    <row r="1006" customFormat="false" ht="15.75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</row>
    <row r="1007" customFormat="false" ht="15.75" hidden="false" customHeight="false" outlineLevel="0" collapsed="false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</row>
    <row r="1008" customFormat="false" ht="15.75" hidden="false" customHeight="false" outlineLevel="0" collapsed="false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</row>
    <row r="1009" customFormat="false" ht="15.75" hidden="false" customHeight="false" outlineLevel="0" collapsed="false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</row>
    <row r="1010" customFormat="false" ht="15.75" hidden="false" customHeight="false" outlineLevel="0" collapsed="false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</row>
    <row r="1011" customFormat="false" ht="15.75" hidden="false" customHeight="false" outlineLevel="0" collapsed="false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</row>
    <row r="1012" customFormat="false" ht="15.75" hidden="false" customHeight="false" outlineLevel="0" collapsed="false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</row>
    <row r="1013" customFormat="false" ht="15.75" hidden="false" customHeight="false" outlineLevel="0" collapsed="false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</row>
    <row r="1014" customFormat="false" ht="15.75" hidden="false" customHeight="false" outlineLevel="0" collapsed="false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</row>
    <row r="1015" customFormat="false" ht="15.75" hidden="false" customHeight="false" outlineLevel="0" collapsed="false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</row>
    <row r="1016" customFormat="false" ht="15.75" hidden="false" customHeight="false" outlineLevel="0" collapsed="false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</row>
    <row r="1017" customFormat="false" ht="15.75" hidden="false" customHeight="false" outlineLevel="0" collapsed="false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</row>
    <row r="1018" customFormat="false" ht="15.75" hidden="false" customHeight="false" outlineLevel="0" collapsed="false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</row>
    <row r="1019" customFormat="false" ht="15.75" hidden="false" customHeight="false" outlineLevel="0" collapsed="false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</row>
    <row r="1020" customFormat="false" ht="15.75" hidden="false" customHeight="false" outlineLevel="0" collapsed="false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</row>
    <row r="1021" customFormat="false" ht="15.75" hidden="false" customHeight="false" outlineLevel="0" collapsed="false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</row>
    <row r="1022" customFormat="false" ht="15.75" hidden="false" customHeight="false" outlineLevel="0" collapsed="false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</row>
    <row r="1023" customFormat="false" ht="15.75" hidden="false" customHeight="false" outlineLevel="0" collapsed="false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</row>
    <row r="1024" customFormat="false" ht="15.75" hidden="false" customHeight="false" outlineLevel="0" collapsed="false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</row>
    <row r="1025" customFormat="false" ht="15.75" hidden="false" customHeight="false" outlineLevel="0" collapsed="false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</row>
    <row r="1026" customFormat="false" ht="15.75" hidden="false" customHeight="false" outlineLevel="0" collapsed="false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</row>
    <row r="1027" customFormat="false" ht="15.75" hidden="false" customHeight="false" outlineLevel="0" collapsed="false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</row>
    <row r="1028" customFormat="false" ht="15.75" hidden="false" customHeight="false" outlineLevel="0" collapsed="false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</row>
    <row r="1029" customFormat="false" ht="15.75" hidden="false" customHeight="false" outlineLevel="0" collapsed="false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</row>
    <row r="1030" customFormat="false" ht="15.75" hidden="false" customHeight="false" outlineLevel="0" collapsed="false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</row>
    <row r="1031" customFormat="false" ht="15.75" hidden="false" customHeight="false" outlineLevel="0" collapsed="false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</row>
    <row r="1032" customFormat="false" ht="15.75" hidden="false" customHeight="false" outlineLevel="0" collapsed="false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</row>
    <row r="1033" customFormat="false" ht="15.75" hidden="false" customHeight="false" outlineLevel="0" collapsed="false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</row>
    <row r="1034" customFormat="false" ht="15.75" hidden="false" customHeight="false" outlineLevel="0" collapsed="false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</row>
    <row r="1035" customFormat="false" ht="15.75" hidden="false" customHeight="false" outlineLevel="0" collapsed="false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</row>
    <row r="1036" customFormat="false" ht="15.75" hidden="false" customHeight="false" outlineLevel="0" collapsed="false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</row>
    <row r="1037" customFormat="false" ht="15.75" hidden="false" customHeight="false" outlineLevel="0" collapsed="false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</row>
    <row r="1038" customFormat="false" ht="15.75" hidden="false" customHeight="false" outlineLevel="0" collapsed="false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</row>
    <row r="1039" customFormat="false" ht="15.75" hidden="false" customHeight="false" outlineLevel="0" collapsed="false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</row>
    <row r="1040" customFormat="false" ht="15.75" hidden="false" customHeight="false" outlineLevel="0" collapsed="false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</row>
    <row r="1041" customFormat="false" ht="15.75" hidden="false" customHeight="false" outlineLevel="0" collapsed="false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</row>
    <row r="1042" customFormat="false" ht="15.75" hidden="false" customHeight="false" outlineLevel="0" collapsed="false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</row>
    <row r="1043" customFormat="false" ht="15.75" hidden="false" customHeight="false" outlineLevel="0" collapsed="false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</row>
    <row r="1044" customFormat="false" ht="15.75" hidden="false" customHeight="false" outlineLevel="0" collapsed="false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</row>
    <row r="1045" customFormat="false" ht="15.75" hidden="false" customHeight="false" outlineLevel="0" collapsed="false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</row>
    <row r="1046" customFormat="false" ht="15.75" hidden="false" customHeight="false" outlineLevel="0" collapsed="false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</row>
    <row r="1047" customFormat="false" ht="15.75" hidden="false" customHeight="false" outlineLevel="0" collapsed="false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</row>
    <row r="1048" customFormat="false" ht="15.75" hidden="false" customHeight="false" outlineLevel="0" collapsed="false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</row>
    <row r="1049" customFormat="false" ht="15.75" hidden="false" customHeight="false" outlineLevel="0" collapsed="false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</row>
    <row r="1050" customFormat="false" ht="15.75" hidden="false" customHeight="false" outlineLevel="0" collapsed="false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</row>
    <row r="1051" customFormat="false" ht="15.75" hidden="false" customHeight="false" outlineLevel="0" collapsed="false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</row>
    <row r="1052" customFormat="false" ht="15.75" hidden="false" customHeight="false" outlineLevel="0" collapsed="false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</row>
    <row r="1053" customFormat="false" ht="15.75" hidden="false" customHeight="false" outlineLevel="0" collapsed="false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</row>
    <row r="1054" customFormat="false" ht="15.75" hidden="false" customHeight="false" outlineLevel="0" collapsed="false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</row>
    <row r="1055" customFormat="false" ht="15.75" hidden="false" customHeight="false" outlineLevel="0" collapsed="false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</row>
    <row r="1056" customFormat="false" ht="15.75" hidden="false" customHeight="false" outlineLevel="0" collapsed="false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</row>
    <row r="1057" customFormat="false" ht="15.75" hidden="false" customHeight="false" outlineLevel="0" collapsed="false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</row>
    <row r="1058" customFormat="false" ht="15.75" hidden="false" customHeight="false" outlineLevel="0" collapsed="false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</row>
    <row r="1059" customFormat="false" ht="15.75" hidden="false" customHeight="false" outlineLevel="0" collapsed="false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</row>
    <row r="1060" customFormat="false" ht="15.75" hidden="false" customHeight="false" outlineLevel="0" collapsed="false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</row>
    <row r="1061" customFormat="false" ht="15.75" hidden="false" customHeight="false" outlineLevel="0" collapsed="false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</row>
    <row r="1062" customFormat="false" ht="15.75" hidden="false" customHeight="false" outlineLevel="0" collapsed="false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</row>
    <row r="1063" customFormat="false" ht="15.75" hidden="false" customHeight="false" outlineLevel="0" collapsed="false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</row>
    <row r="1064" customFormat="false" ht="15.75" hidden="false" customHeight="false" outlineLevel="0" collapsed="false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</row>
    <row r="1065" customFormat="false" ht="15.75" hidden="false" customHeight="false" outlineLevel="0" collapsed="false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</row>
    <row r="1066" customFormat="false" ht="15.75" hidden="false" customHeight="false" outlineLevel="0" collapsed="false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</row>
    <row r="1067" customFormat="false" ht="15.75" hidden="false" customHeight="false" outlineLevel="0" collapsed="false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</row>
    <row r="1068" customFormat="false" ht="15.75" hidden="false" customHeight="false" outlineLevel="0" collapsed="false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</row>
    <row r="1069" customFormat="false" ht="15.75" hidden="false" customHeight="false" outlineLevel="0" collapsed="false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</row>
    <row r="1070" customFormat="false" ht="15.75" hidden="false" customHeight="false" outlineLevel="0" collapsed="false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</row>
    <row r="1071" customFormat="false" ht="15.75" hidden="false" customHeight="false" outlineLevel="0" collapsed="false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</row>
    <row r="1072" customFormat="false" ht="15.75" hidden="false" customHeight="false" outlineLevel="0" collapsed="false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</row>
    <row r="1073" customFormat="false" ht="15.75" hidden="false" customHeight="false" outlineLevel="0" collapsed="false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</row>
    <row r="1074" customFormat="false" ht="15.75" hidden="false" customHeight="false" outlineLevel="0" collapsed="false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</row>
    <row r="1075" customFormat="false" ht="15.75" hidden="false" customHeight="false" outlineLevel="0" collapsed="false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</row>
    <row r="1076" customFormat="false" ht="15.75" hidden="false" customHeight="false" outlineLevel="0" collapsed="false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</row>
    <row r="1077" customFormat="false" ht="15.75" hidden="false" customHeight="false" outlineLevel="0" collapsed="false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</row>
    <row r="1078" customFormat="false" ht="15.75" hidden="false" customHeight="false" outlineLevel="0" collapsed="false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</row>
    <row r="1079" customFormat="false" ht="15.75" hidden="false" customHeight="false" outlineLevel="0" collapsed="false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</row>
    <row r="1080" customFormat="false" ht="15.75" hidden="false" customHeight="false" outlineLevel="0" collapsed="false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</row>
    <row r="1048576" customFormat="false" ht="15.75" hidden="false" customHeight="true" outlineLevel="0" collapsed="false"/>
  </sheetData>
  <autoFilter ref="A1:Q387"/>
  <dataValidations count="10">
    <dataValidation allowBlank="true" errorStyle="stop" operator="between" showDropDown="false" showErrorMessage="true" showInputMessage="false" sqref="E2:E457 E459:E1080" type="list">
      <formula1>"Autoservicio,Despensa,Gastronomía,Kiosco,Mini Market,Panadería,Polirubro,Pollería,Emprendedor/a,Ropa,Sin Info,Carnicería,Verdulería,Bazar,Resto Bar,Hogar,Distribuidora,Rotisería,Particular,Heladeria,Supermercado,Dietetica"</formula1>
      <formula2>0</formula2>
    </dataValidation>
    <dataValidation allowBlank="true" errorStyle="stop" operator="between" showDropDown="false" showErrorMessage="true" showInputMessage="false" sqref="D2:D457 D459:D1080" type="list">
      <formula1>"Sí,No"</formula1>
      <formula2>0</formula2>
    </dataValidation>
    <dataValidation allowBlank="true" errorStyle="stop" operator="between" showDropDown="true" showErrorMessage="true" showInputMessage="false" sqref="Q1:Q80 A2:A457 P2:P80 P81:Q322 Q323:Q324 P325:Q457 A458:Q458 A459:A1080 P459:Q1080" type="custom">
      <formula1>OR(NOT(ISERROR(DATEVALUE(#REF!))), AND(ISNUMBER(#REF!), LEFT(CELL("format", #REF!))="D"))</formula1>
      <formula2>0</formula2>
    </dataValidation>
    <dataValidation allowBlank="true" errorStyle="stop" operator="between" showDropDown="false" showErrorMessage="true" showInputMessage="false" sqref="J2:J457 J459:J1080" type="list">
      <formula1>"Crédito Personal,Tarjeta de Crédito,Contado / Efectivo,Contado / Débito,Combinado,Cheques"</formula1>
      <formula2>0</formula2>
    </dataValidation>
    <dataValidation allowBlank="true" errorStyle="stop" operator="between" showDropDown="false" showErrorMessage="true" showInputMessage="false" sqref="K2:K457 K459:K1080" type="list">
      <formula1>"5 semanas,10 semanas,15 semanas,20 semanas,25 semanas,Contado,Tarjeta,8 semanas,Sin Respuesta,2 semanas,4 semanas,3 semanas,6 semanas"</formula1>
      <formula2>0</formula2>
    </dataValidation>
    <dataValidation allowBlank="true" errorStyle="stop" operator="between" showDropDown="false" showErrorMessage="true" showInputMessage="false" sqref="O2:O457 O459:O1080" type="list">
      <formula1>"Satisfecho,Entregado,Pendiente,Esperando Respuesta,Terminando de Cerrar,No Cumple con los Requisitos,Insatisfecho"</formula1>
      <formula2>0</formula2>
    </dataValidation>
    <dataValidation allowBlank="true" errorStyle="stop" operator="between" showDropDown="false" showErrorMessage="true" showInputMessage="false" sqref="I2:I457 I459:I1080" type="list">
      <formula1>"Consulta,Venta,Pendiente a Cierre"</formula1>
      <formula2>0</formula2>
    </dataValidation>
    <dataValidation allowBlank="true" errorStyle="stop" operator="between" showDropDown="false" showErrorMessage="true" showInputMessage="false" sqref="F2:F457 F459:F1080" type="list">
      <formula1>"Posadas,Garupá,Candelaria,Santa Ana,San Ignacio,Puerto Iguazú,Apóstoles,Salto Encantado,Puerto Rico,Gobernador Roca,Corrientes,Leandro N. Alem,Eldorado,Ituzaingó,Wanda,Aristóbulo del Valle,Oberá,San Vicente,Santa Rita,Cerro Azul,Campo Viera,Garuhapé,San J"&amp;"osé,San Javier,Jardín América,Puerto Esperanza,Puerto Piray,Concepción de la Sierra,Campo Grande,25 de Mayo,Montecarlo,Chaco,Itaibate,San Antonio,Fachinal,Santo Tome,Santo Pipo,Bernardo de Irigoyen,San Carlos,Bonpland,Capiovi,Virasoro ,Dos de mayo,Campo v"&amp;"iera,Alba Posee "</formula1>
      <formula2>0</formula2>
    </dataValidation>
    <dataValidation allowBlank="true" errorStyle="stop" operator="between" showDropDown="false" showErrorMessage="true" showInputMessage="false" sqref="L2:L457 L459:L1080" type="list">
      <formula1>"Evaluando,Sin Objeciones,Precio / Presupuesto,Consulta con 3ro,Inversión a Futuro,Ya tengo mi proveedor,Malas Experiencias"</formula1>
      <formula2>0</formula2>
    </dataValidation>
    <dataValidation allowBlank="true" errorStyle="stop" operator="between" showDropDown="false" showErrorMessage="true" showInputMessage="false" sqref="G2:G457 G459:G1080" type="list">
      <formula1>"Marketplace,Campaña,Seguimiento,Referidos,Google,Salón,WhatsApp Directo"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3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45" activeCellId="0" sqref="I45"/>
    </sheetView>
  </sheetViews>
  <sheetFormatPr defaultColWidth="12.6328125" defaultRowHeight="15.75" customHeight="true" zeroHeight="false" outlineLevelRow="0" outlineLevelCol="1"/>
  <cols>
    <col collapsed="false" customWidth="true" hidden="false" outlineLevel="0" max="1" min="1" style="0" width="22"/>
    <col collapsed="false" customWidth="true" hidden="true" outlineLevel="1" max="2" min="2" style="0" width="22"/>
    <col collapsed="false" customWidth="true" hidden="false" outlineLevel="0" max="3" min="3" style="0" width="22"/>
    <col collapsed="false" customWidth="true" hidden="false" outlineLevel="0" max="4" min="4" style="0" width="24.13"/>
    <col collapsed="false" customWidth="true" hidden="false" outlineLevel="0" max="5" min="5" style="0" width="22.5"/>
    <col collapsed="false" customWidth="true" hidden="false" outlineLevel="0" max="7" min="6" style="0" width="22"/>
  </cols>
  <sheetData>
    <row r="1" customFormat="false" ht="18.55" hidden="false" customHeight="false" outlineLevel="0" collapsed="false">
      <c r="A1" s="5"/>
      <c r="B1" s="6"/>
      <c r="C1" s="5"/>
      <c r="D1" s="5"/>
      <c r="E1" s="5"/>
      <c r="F1" s="5"/>
      <c r="G1" s="5"/>
    </row>
    <row r="2" customFormat="false" ht="18.55" hidden="false" customHeight="false" outlineLevel="0" collapsed="false">
      <c r="A2" s="7" t="s">
        <v>376</v>
      </c>
      <c r="B2" s="8" t="s">
        <v>377</v>
      </c>
      <c r="C2" s="7" t="s">
        <v>378</v>
      </c>
      <c r="D2" s="7" t="s">
        <v>379</v>
      </c>
      <c r="E2" s="7" t="s">
        <v>380</v>
      </c>
      <c r="F2" s="7" t="s">
        <v>381</v>
      </c>
      <c r="G2" s="7" t="s">
        <v>382</v>
      </c>
    </row>
    <row r="3" customFormat="false" ht="15.75" hidden="false" customHeight="false" outlineLevel="0" collapsed="false">
      <c r="A3" s="9" t="n">
        <v>46179</v>
      </c>
      <c r="B3" s="10"/>
      <c r="C3" s="11" t="s">
        <v>91</v>
      </c>
      <c r="D3" s="11" t="s">
        <v>383</v>
      </c>
      <c r="E3" s="11" t="s">
        <v>44</v>
      </c>
      <c r="F3" s="11" t="s">
        <v>19</v>
      </c>
      <c r="G3" s="11" t="s">
        <v>384</v>
      </c>
    </row>
    <row r="4" customFormat="false" ht="15.75" hidden="false" customHeight="false" outlineLevel="0" collapsed="false">
      <c r="A4" s="9" t="n">
        <v>46179</v>
      </c>
      <c r="B4" s="10"/>
      <c r="C4" s="11" t="s">
        <v>91</v>
      </c>
      <c r="D4" s="11" t="s">
        <v>91</v>
      </c>
      <c r="E4" s="11" t="s">
        <v>44</v>
      </c>
      <c r="F4" s="11" t="s">
        <v>44</v>
      </c>
      <c r="G4" s="11" t="s">
        <v>385</v>
      </c>
    </row>
    <row r="5" customFormat="false" ht="15.75" hidden="false" customHeight="false" outlineLevel="0" collapsed="false">
      <c r="A5" s="9" t="n">
        <v>46179</v>
      </c>
      <c r="B5" s="10"/>
      <c r="C5" s="11" t="s">
        <v>386</v>
      </c>
      <c r="D5" s="11" t="s">
        <v>22</v>
      </c>
      <c r="E5" s="11" t="s">
        <v>19</v>
      </c>
      <c r="F5" s="11" t="s">
        <v>19</v>
      </c>
      <c r="G5" s="11" t="s">
        <v>385</v>
      </c>
    </row>
    <row r="6" customFormat="false" ht="15.75" hidden="false" customHeight="false" outlineLevel="0" collapsed="false">
      <c r="A6" s="9" t="n">
        <v>46179</v>
      </c>
      <c r="B6" s="10"/>
      <c r="C6" s="11" t="s">
        <v>386</v>
      </c>
      <c r="D6" s="11" t="s">
        <v>387</v>
      </c>
      <c r="E6" s="11" t="s">
        <v>44</v>
      </c>
      <c r="F6" s="11" t="s">
        <v>19</v>
      </c>
      <c r="G6" s="11" t="s">
        <v>385</v>
      </c>
    </row>
    <row r="7" customFormat="false" ht="15.75" hidden="false" customHeight="false" outlineLevel="0" collapsed="false">
      <c r="A7" s="9" t="n">
        <v>46179</v>
      </c>
      <c r="B7" s="10"/>
      <c r="C7" s="11" t="s">
        <v>386</v>
      </c>
      <c r="D7" s="11" t="s">
        <v>383</v>
      </c>
      <c r="E7" s="11" t="s">
        <v>44</v>
      </c>
      <c r="F7" s="11" t="s">
        <v>19</v>
      </c>
      <c r="G7" s="11" t="s">
        <v>385</v>
      </c>
    </row>
    <row r="8" customFormat="false" ht="15.75" hidden="false" customHeight="false" outlineLevel="0" collapsed="false">
      <c r="A8" s="9" t="n">
        <v>46179</v>
      </c>
      <c r="B8" s="10"/>
      <c r="C8" s="11" t="s">
        <v>386</v>
      </c>
      <c r="D8" s="11" t="s">
        <v>388</v>
      </c>
      <c r="E8" s="11" t="s">
        <v>44</v>
      </c>
      <c r="F8" s="11" t="s">
        <v>44</v>
      </c>
      <c r="G8" s="11" t="s">
        <v>385</v>
      </c>
    </row>
    <row r="9" customFormat="false" ht="15.75" hidden="false" customHeight="false" outlineLevel="0" collapsed="false">
      <c r="A9" s="9" t="n">
        <v>46179</v>
      </c>
      <c r="B9" s="10"/>
      <c r="C9" s="11" t="s">
        <v>386</v>
      </c>
      <c r="D9" s="11" t="s">
        <v>383</v>
      </c>
      <c r="E9" s="11" t="s">
        <v>44</v>
      </c>
      <c r="F9" s="11" t="s">
        <v>19</v>
      </c>
      <c r="G9" s="11" t="s">
        <v>385</v>
      </c>
    </row>
    <row r="10" customFormat="false" ht="15.75" hidden="false" customHeight="false" outlineLevel="0" collapsed="false">
      <c r="A10" s="9" t="n">
        <v>46179</v>
      </c>
      <c r="B10" s="10"/>
      <c r="C10" s="11" t="s">
        <v>386</v>
      </c>
      <c r="D10" s="11" t="s">
        <v>22</v>
      </c>
      <c r="E10" s="11" t="s">
        <v>44</v>
      </c>
      <c r="F10" s="11" t="s">
        <v>44</v>
      </c>
      <c r="G10" s="11" t="s">
        <v>385</v>
      </c>
    </row>
    <row r="11" customFormat="false" ht="15.75" hidden="false" customHeight="false" outlineLevel="0" collapsed="false">
      <c r="A11" s="9" t="n">
        <v>46178</v>
      </c>
      <c r="B11" s="10"/>
      <c r="C11" s="11" t="s">
        <v>386</v>
      </c>
      <c r="D11" s="11" t="s">
        <v>74</v>
      </c>
      <c r="E11" s="11" t="s">
        <v>19</v>
      </c>
      <c r="F11" s="11" t="s">
        <v>19</v>
      </c>
      <c r="G11" s="11" t="s">
        <v>385</v>
      </c>
    </row>
    <row r="12" customFormat="false" ht="15.75" hidden="false" customHeight="false" outlineLevel="0" collapsed="false">
      <c r="A12" s="9" t="n">
        <v>46178</v>
      </c>
      <c r="B12" s="10"/>
      <c r="C12" s="11" t="s">
        <v>386</v>
      </c>
      <c r="D12" s="11" t="s">
        <v>383</v>
      </c>
      <c r="E12" s="11" t="s">
        <v>19</v>
      </c>
      <c r="F12" s="11" t="s">
        <v>19</v>
      </c>
      <c r="G12" s="11" t="s">
        <v>385</v>
      </c>
    </row>
    <row r="13" customFormat="false" ht="15.75" hidden="false" customHeight="false" outlineLevel="0" collapsed="false">
      <c r="A13" s="9" t="n">
        <v>46178</v>
      </c>
      <c r="B13" s="10"/>
      <c r="C13" s="11" t="s">
        <v>386</v>
      </c>
      <c r="D13" s="11" t="s">
        <v>383</v>
      </c>
      <c r="E13" s="11" t="s">
        <v>44</v>
      </c>
      <c r="F13" s="11" t="s">
        <v>19</v>
      </c>
      <c r="G13" s="11" t="s">
        <v>384</v>
      </c>
    </row>
    <row r="14" customFormat="false" ht="15.75" hidden="false" customHeight="false" outlineLevel="0" collapsed="false">
      <c r="A14" s="9" t="n">
        <v>46178</v>
      </c>
      <c r="B14" s="10"/>
      <c r="C14" s="11" t="s">
        <v>386</v>
      </c>
      <c r="D14" s="11" t="s">
        <v>383</v>
      </c>
      <c r="E14" s="11" t="s">
        <v>44</v>
      </c>
      <c r="F14" s="11" t="s">
        <v>19</v>
      </c>
      <c r="G14" s="11" t="s">
        <v>384</v>
      </c>
    </row>
    <row r="15" customFormat="false" ht="15.75" hidden="false" customHeight="false" outlineLevel="0" collapsed="false">
      <c r="A15" s="9" t="n">
        <v>46178</v>
      </c>
      <c r="B15" s="10"/>
      <c r="C15" s="11" t="s">
        <v>386</v>
      </c>
      <c r="D15" s="11" t="s">
        <v>22</v>
      </c>
      <c r="E15" s="11" t="s">
        <v>44</v>
      </c>
      <c r="F15" s="11" t="s">
        <v>44</v>
      </c>
      <c r="G15" s="11" t="s">
        <v>385</v>
      </c>
    </row>
    <row r="16" customFormat="false" ht="15.75" hidden="false" customHeight="false" outlineLevel="0" collapsed="false">
      <c r="A16" s="9" t="n">
        <v>46178</v>
      </c>
      <c r="B16" s="10"/>
      <c r="C16" s="11" t="s">
        <v>386</v>
      </c>
      <c r="D16" s="11" t="s">
        <v>22</v>
      </c>
      <c r="E16" s="11" t="s">
        <v>44</v>
      </c>
      <c r="F16" s="11" t="s">
        <v>19</v>
      </c>
      <c r="G16" s="11" t="s">
        <v>384</v>
      </c>
    </row>
    <row r="17" customFormat="false" ht="15.75" hidden="false" customHeight="false" outlineLevel="0" collapsed="false">
      <c r="A17" s="9" t="n">
        <v>46177</v>
      </c>
      <c r="B17" s="10"/>
      <c r="C17" s="11" t="s">
        <v>386</v>
      </c>
      <c r="D17" s="11" t="s">
        <v>383</v>
      </c>
      <c r="E17" s="11" t="s">
        <v>44</v>
      </c>
      <c r="F17" s="11" t="s">
        <v>19</v>
      </c>
      <c r="G17" s="11" t="s">
        <v>385</v>
      </c>
    </row>
    <row r="18" customFormat="false" ht="15.75" hidden="false" customHeight="false" outlineLevel="0" collapsed="false">
      <c r="A18" s="9" t="n">
        <v>46177</v>
      </c>
      <c r="B18" s="10"/>
      <c r="C18" s="11" t="s">
        <v>386</v>
      </c>
      <c r="D18" s="11" t="s">
        <v>388</v>
      </c>
      <c r="E18" s="11" t="s">
        <v>44</v>
      </c>
      <c r="F18" s="11" t="s">
        <v>44</v>
      </c>
      <c r="G18" s="11" t="s">
        <v>385</v>
      </c>
    </row>
    <row r="19" customFormat="false" ht="15.75" hidden="false" customHeight="false" outlineLevel="0" collapsed="false">
      <c r="A19" s="9" t="n">
        <v>46177</v>
      </c>
      <c r="B19" s="10"/>
      <c r="C19" s="11" t="s">
        <v>386</v>
      </c>
      <c r="D19" s="11" t="s">
        <v>383</v>
      </c>
      <c r="E19" s="11" t="s">
        <v>44</v>
      </c>
      <c r="F19" s="11" t="s">
        <v>19</v>
      </c>
      <c r="G19" s="11" t="s">
        <v>385</v>
      </c>
    </row>
    <row r="20" customFormat="false" ht="15.75" hidden="false" customHeight="false" outlineLevel="0" collapsed="false">
      <c r="A20" s="9" t="n">
        <v>46177</v>
      </c>
      <c r="B20" s="10"/>
      <c r="C20" s="11" t="s">
        <v>91</v>
      </c>
      <c r="D20" s="11" t="s">
        <v>91</v>
      </c>
      <c r="E20" s="11" t="s">
        <v>44</v>
      </c>
      <c r="F20" s="11" t="s">
        <v>44</v>
      </c>
      <c r="G20" s="11" t="s">
        <v>385</v>
      </c>
    </row>
    <row r="21" customFormat="false" ht="15.75" hidden="false" customHeight="false" outlineLevel="0" collapsed="false">
      <c r="A21" s="9" t="n">
        <v>46177</v>
      </c>
      <c r="B21" s="10"/>
      <c r="C21" s="11" t="s">
        <v>386</v>
      </c>
      <c r="D21" s="11" t="s">
        <v>22</v>
      </c>
      <c r="E21" s="11" t="s">
        <v>44</v>
      </c>
      <c r="F21" s="11" t="s">
        <v>19</v>
      </c>
      <c r="G21" s="11" t="s">
        <v>384</v>
      </c>
    </row>
    <row r="22" customFormat="false" ht="15.75" hidden="false" customHeight="false" outlineLevel="0" collapsed="false">
      <c r="A22" s="9" t="n">
        <v>46177</v>
      </c>
      <c r="B22" s="10"/>
      <c r="C22" s="11" t="s">
        <v>386</v>
      </c>
      <c r="D22" s="11" t="s">
        <v>383</v>
      </c>
      <c r="E22" s="11" t="s">
        <v>44</v>
      </c>
      <c r="F22" s="11" t="s">
        <v>19</v>
      </c>
      <c r="G22" s="11" t="s">
        <v>384</v>
      </c>
    </row>
    <row r="23" customFormat="false" ht="15.75" hidden="false" customHeight="false" outlineLevel="0" collapsed="false">
      <c r="A23" s="9" t="n">
        <v>46176</v>
      </c>
      <c r="B23" s="10"/>
      <c r="C23" s="11" t="s">
        <v>386</v>
      </c>
      <c r="D23" s="11" t="s">
        <v>388</v>
      </c>
      <c r="E23" s="11" t="s">
        <v>44</v>
      </c>
      <c r="F23" s="11" t="s">
        <v>44</v>
      </c>
      <c r="G23" s="11" t="s">
        <v>385</v>
      </c>
    </row>
    <row r="24" customFormat="false" ht="15.75" hidden="false" customHeight="false" outlineLevel="0" collapsed="false">
      <c r="A24" s="9" t="n">
        <v>46176</v>
      </c>
      <c r="B24" s="10"/>
      <c r="C24" s="11" t="s">
        <v>386</v>
      </c>
      <c r="D24" s="11" t="s">
        <v>388</v>
      </c>
      <c r="E24" s="11" t="s">
        <v>44</v>
      </c>
      <c r="F24" s="11" t="s">
        <v>19</v>
      </c>
      <c r="G24" s="11" t="s">
        <v>385</v>
      </c>
    </row>
    <row r="25" customFormat="false" ht="15.75" hidden="false" customHeight="false" outlineLevel="0" collapsed="false">
      <c r="A25" s="9" t="n">
        <v>46176</v>
      </c>
      <c r="B25" s="10"/>
      <c r="C25" s="11" t="s">
        <v>91</v>
      </c>
      <c r="D25" s="11" t="s">
        <v>91</v>
      </c>
      <c r="E25" s="11" t="s">
        <v>44</v>
      </c>
      <c r="F25" s="11" t="s">
        <v>44</v>
      </c>
      <c r="G25" s="11" t="s">
        <v>385</v>
      </c>
    </row>
    <row r="26" customFormat="false" ht="15.75" hidden="false" customHeight="false" outlineLevel="0" collapsed="false">
      <c r="A26" s="9" t="n">
        <v>46176</v>
      </c>
      <c r="B26" s="10"/>
      <c r="C26" s="11" t="s">
        <v>386</v>
      </c>
      <c r="D26" s="11" t="s">
        <v>383</v>
      </c>
      <c r="E26" s="11" t="s">
        <v>44</v>
      </c>
      <c r="F26" s="11" t="s">
        <v>19</v>
      </c>
      <c r="G26" s="11" t="s">
        <v>384</v>
      </c>
    </row>
    <row r="27" customFormat="false" ht="15.75" hidden="false" customHeight="false" outlineLevel="0" collapsed="false">
      <c r="A27" s="9" t="n">
        <v>46176</v>
      </c>
      <c r="B27" s="10"/>
      <c r="C27" s="11" t="s">
        <v>386</v>
      </c>
      <c r="D27" s="11" t="s">
        <v>388</v>
      </c>
      <c r="E27" s="11" t="s">
        <v>44</v>
      </c>
      <c r="F27" s="11" t="s">
        <v>19</v>
      </c>
      <c r="G27" s="11" t="s">
        <v>385</v>
      </c>
    </row>
    <row r="28" customFormat="false" ht="15.75" hidden="false" customHeight="false" outlineLevel="0" collapsed="false">
      <c r="A28" s="9" t="n">
        <v>46176</v>
      </c>
      <c r="B28" s="10"/>
      <c r="C28" s="11" t="s">
        <v>386</v>
      </c>
      <c r="D28" s="11" t="s">
        <v>22</v>
      </c>
      <c r="E28" s="11" t="s">
        <v>44</v>
      </c>
      <c r="F28" s="11" t="s">
        <v>19</v>
      </c>
      <c r="G28" s="11" t="s">
        <v>384</v>
      </c>
    </row>
    <row r="29" customFormat="false" ht="15.75" hidden="false" customHeight="false" outlineLevel="0" collapsed="false">
      <c r="A29" s="9" t="n">
        <v>46176</v>
      </c>
      <c r="B29" s="10"/>
      <c r="C29" s="11" t="s">
        <v>386</v>
      </c>
      <c r="D29" s="11" t="s">
        <v>383</v>
      </c>
      <c r="E29" s="11" t="s">
        <v>44</v>
      </c>
      <c r="F29" s="11" t="s">
        <v>19</v>
      </c>
      <c r="G29" s="11" t="s">
        <v>385</v>
      </c>
    </row>
    <row r="30" customFormat="false" ht="15.75" hidden="false" customHeight="false" outlineLevel="0" collapsed="false">
      <c r="A30" s="9" t="n">
        <v>46175</v>
      </c>
      <c r="B30" s="10"/>
      <c r="C30" s="11" t="s">
        <v>386</v>
      </c>
      <c r="D30" s="11" t="s">
        <v>383</v>
      </c>
      <c r="E30" s="11" t="s">
        <v>44</v>
      </c>
      <c r="F30" s="11" t="s">
        <v>19</v>
      </c>
      <c r="G30" s="11" t="s">
        <v>385</v>
      </c>
    </row>
    <row r="31" customFormat="false" ht="15.75" hidden="false" customHeight="false" outlineLevel="0" collapsed="false">
      <c r="A31" s="9" t="n">
        <v>46175</v>
      </c>
      <c r="B31" s="10"/>
      <c r="C31" s="11" t="s">
        <v>386</v>
      </c>
      <c r="D31" s="11" t="s">
        <v>383</v>
      </c>
      <c r="E31" s="11" t="s">
        <v>44</v>
      </c>
      <c r="F31" s="11" t="s">
        <v>19</v>
      </c>
      <c r="G31" s="11" t="s">
        <v>384</v>
      </c>
    </row>
    <row r="32" customFormat="false" ht="15.75" hidden="false" customHeight="false" outlineLevel="0" collapsed="false">
      <c r="A32" s="9" t="n">
        <v>46175</v>
      </c>
      <c r="B32" s="10"/>
      <c r="C32" s="11" t="s">
        <v>386</v>
      </c>
      <c r="D32" s="11" t="s">
        <v>383</v>
      </c>
      <c r="E32" s="11" t="s">
        <v>44</v>
      </c>
      <c r="F32" s="11" t="s">
        <v>19</v>
      </c>
      <c r="G32" s="11" t="s">
        <v>384</v>
      </c>
    </row>
    <row r="33" customFormat="false" ht="15.75" hidden="false" customHeight="false" outlineLevel="0" collapsed="false">
      <c r="A33" s="9" t="n">
        <v>46175</v>
      </c>
      <c r="B33" s="10"/>
      <c r="C33" s="11" t="s">
        <v>386</v>
      </c>
      <c r="D33" s="11" t="s">
        <v>74</v>
      </c>
      <c r="E33" s="11" t="s">
        <v>44</v>
      </c>
      <c r="F33" s="11" t="s">
        <v>19</v>
      </c>
      <c r="G33" s="11" t="s">
        <v>385</v>
      </c>
    </row>
    <row r="34" customFormat="false" ht="15.75" hidden="false" customHeight="false" outlineLevel="0" collapsed="false">
      <c r="A34" s="9" t="n">
        <v>46175</v>
      </c>
      <c r="B34" s="10"/>
      <c r="C34" s="11" t="s">
        <v>386</v>
      </c>
      <c r="D34" s="11" t="s">
        <v>388</v>
      </c>
      <c r="E34" s="11" t="s">
        <v>44</v>
      </c>
      <c r="F34" s="11" t="s">
        <v>19</v>
      </c>
      <c r="G34" s="11" t="s">
        <v>385</v>
      </c>
    </row>
    <row r="35" customFormat="false" ht="15.75" hidden="false" customHeight="false" outlineLevel="0" collapsed="false">
      <c r="A35" s="9" t="n">
        <v>46175</v>
      </c>
      <c r="B35" s="10"/>
      <c r="C35" s="11" t="s">
        <v>386</v>
      </c>
      <c r="D35" s="11" t="s">
        <v>388</v>
      </c>
      <c r="E35" s="11" t="s">
        <v>44</v>
      </c>
      <c r="F35" s="11" t="s">
        <v>19</v>
      </c>
      <c r="G35" s="11" t="s">
        <v>385</v>
      </c>
    </row>
    <row r="36" customFormat="false" ht="15.75" hidden="false" customHeight="false" outlineLevel="0" collapsed="false">
      <c r="A36" s="9" t="n">
        <v>46175</v>
      </c>
      <c r="B36" s="10"/>
      <c r="C36" s="11" t="s">
        <v>386</v>
      </c>
      <c r="D36" s="11" t="s">
        <v>22</v>
      </c>
      <c r="E36" s="11" t="s">
        <v>44</v>
      </c>
      <c r="F36" s="11" t="s">
        <v>44</v>
      </c>
      <c r="G36" s="11" t="s">
        <v>385</v>
      </c>
    </row>
    <row r="37" customFormat="false" ht="15.75" hidden="false" customHeight="false" outlineLevel="0" collapsed="false">
      <c r="A37" s="9" t="n">
        <v>46175</v>
      </c>
      <c r="B37" s="10"/>
      <c r="C37" s="11" t="s">
        <v>386</v>
      </c>
      <c r="D37" s="11" t="s">
        <v>22</v>
      </c>
      <c r="E37" s="11" t="s">
        <v>44</v>
      </c>
      <c r="F37" s="11" t="s">
        <v>44</v>
      </c>
      <c r="G37" s="11" t="s">
        <v>385</v>
      </c>
    </row>
    <row r="38" customFormat="false" ht="15.75" hidden="false" customHeight="false" outlineLevel="0" collapsed="false">
      <c r="A38" s="9" t="n">
        <v>46175</v>
      </c>
      <c r="B38" s="10"/>
      <c r="C38" s="11" t="s">
        <v>386</v>
      </c>
      <c r="D38" s="11" t="s">
        <v>22</v>
      </c>
      <c r="E38" s="11" t="s">
        <v>44</v>
      </c>
      <c r="F38" s="11" t="s">
        <v>19</v>
      </c>
      <c r="G38" s="11" t="s">
        <v>384</v>
      </c>
    </row>
    <row r="39" customFormat="false" ht="15.75" hidden="false" customHeight="false" outlineLevel="0" collapsed="false">
      <c r="A39" s="9" t="n">
        <v>46174</v>
      </c>
      <c r="B39" s="10"/>
      <c r="C39" s="11" t="s">
        <v>386</v>
      </c>
      <c r="D39" s="11" t="s">
        <v>388</v>
      </c>
      <c r="E39" s="11" t="s">
        <v>44</v>
      </c>
      <c r="F39" s="11" t="s">
        <v>44</v>
      </c>
      <c r="G39" s="11" t="s">
        <v>385</v>
      </c>
    </row>
    <row r="40" customFormat="false" ht="15.75" hidden="false" customHeight="false" outlineLevel="0" collapsed="false">
      <c r="A40" s="9" t="n">
        <v>46174</v>
      </c>
      <c r="B40" s="10"/>
      <c r="C40" s="11" t="s">
        <v>386</v>
      </c>
      <c r="D40" s="11" t="s">
        <v>388</v>
      </c>
      <c r="E40" s="11" t="s">
        <v>44</v>
      </c>
      <c r="F40" s="11" t="s">
        <v>44</v>
      </c>
      <c r="G40" s="11" t="s">
        <v>385</v>
      </c>
    </row>
    <row r="41" customFormat="false" ht="15.75" hidden="false" customHeight="false" outlineLevel="0" collapsed="false">
      <c r="A41" s="9" t="n">
        <v>46174</v>
      </c>
      <c r="B41" s="10"/>
      <c r="C41" s="11" t="s">
        <v>386</v>
      </c>
      <c r="D41" s="11" t="s">
        <v>383</v>
      </c>
      <c r="E41" s="11" t="s">
        <v>44</v>
      </c>
      <c r="F41" s="11" t="s">
        <v>19</v>
      </c>
      <c r="G41" s="11" t="s">
        <v>384</v>
      </c>
    </row>
    <row r="42" customFormat="false" ht="15.75" hidden="false" customHeight="false" outlineLevel="0" collapsed="false">
      <c r="A42" s="9" t="n">
        <v>46174</v>
      </c>
      <c r="B42" s="10"/>
      <c r="C42" s="11" t="s">
        <v>386</v>
      </c>
      <c r="D42" s="11" t="s">
        <v>91</v>
      </c>
      <c r="E42" s="11" t="s">
        <v>19</v>
      </c>
      <c r="F42" s="11" t="s">
        <v>19</v>
      </c>
      <c r="G42" s="11" t="s">
        <v>385</v>
      </c>
    </row>
    <row r="43" customFormat="false" ht="15.75" hidden="false" customHeight="false" outlineLevel="0" collapsed="false">
      <c r="A43" s="9" t="n">
        <v>46174</v>
      </c>
      <c r="B43" s="10"/>
      <c r="C43" s="11" t="s">
        <v>91</v>
      </c>
      <c r="D43" s="11" t="s">
        <v>91</v>
      </c>
      <c r="E43" s="11" t="s">
        <v>44</v>
      </c>
      <c r="F43" s="11" t="s">
        <v>44</v>
      </c>
      <c r="G43" s="11" t="s">
        <v>385</v>
      </c>
    </row>
    <row r="44" customFormat="false" ht="15.75" hidden="false" customHeight="false" outlineLevel="0" collapsed="false">
      <c r="A44" s="9" t="n">
        <v>46174</v>
      </c>
      <c r="B44" s="10"/>
      <c r="C44" s="11" t="s">
        <v>386</v>
      </c>
      <c r="D44" s="11" t="s">
        <v>383</v>
      </c>
      <c r="E44" s="11" t="s">
        <v>44</v>
      </c>
      <c r="F44" s="11" t="s">
        <v>19</v>
      </c>
      <c r="G44" s="11" t="s">
        <v>385</v>
      </c>
    </row>
    <row r="45" customFormat="false" ht="15.75" hidden="false" customHeight="false" outlineLevel="0" collapsed="false">
      <c r="A45" s="9" t="n">
        <v>46172</v>
      </c>
      <c r="B45" s="10"/>
      <c r="C45" s="11" t="s">
        <v>386</v>
      </c>
      <c r="D45" s="11" t="s">
        <v>22</v>
      </c>
      <c r="E45" s="11" t="s">
        <v>44</v>
      </c>
      <c r="F45" s="11" t="s">
        <v>19</v>
      </c>
      <c r="G45" s="11" t="s">
        <v>385</v>
      </c>
    </row>
    <row r="46" customFormat="false" ht="15.75" hidden="false" customHeight="false" outlineLevel="0" collapsed="false">
      <c r="A46" s="9" t="n">
        <v>46172</v>
      </c>
      <c r="B46" s="10"/>
      <c r="C46" s="11" t="s">
        <v>386</v>
      </c>
      <c r="D46" s="11" t="s">
        <v>383</v>
      </c>
      <c r="E46" s="11" t="s">
        <v>44</v>
      </c>
      <c r="F46" s="11" t="s">
        <v>19</v>
      </c>
      <c r="G46" s="11" t="s">
        <v>384</v>
      </c>
    </row>
    <row r="47" customFormat="false" ht="15.75" hidden="false" customHeight="false" outlineLevel="0" collapsed="false">
      <c r="A47" s="9" t="n">
        <v>46172</v>
      </c>
      <c r="B47" s="10"/>
      <c r="C47" s="11" t="s">
        <v>386</v>
      </c>
      <c r="D47" s="11" t="s">
        <v>388</v>
      </c>
      <c r="E47" s="11" t="s">
        <v>44</v>
      </c>
      <c r="F47" s="11" t="s">
        <v>44</v>
      </c>
      <c r="G47" s="11" t="s">
        <v>385</v>
      </c>
    </row>
    <row r="48" customFormat="false" ht="15.75" hidden="false" customHeight="false" outlineLevel="0" collapsed="false">
      <c r="A48" s="9" t="n">
        <v>46172</v>
      </c>
      <c r="B48" s="10"/>
      <c r="C48" s="11" t="s">
        <v>386</v>
      </c>
      <c r="D48" s="11" t="s">
        <v>383</v>
      </c>
      <c r="E48" s="11" t="s">
        <v>44</v>
      </c>
      <c r="F48" s="11" t="s">
        <v>19</v>
      </c>
      <c r="G48" s="11" t="s">
        <v>385</v>
      </c>
    </row>
    <row r="49" customFormat="false" ht="15.75" hidden="false" customHeight="false" outlineLevel="0" collapsed="false">
      <c r="A49" s="9" t="n">
        <v>46172</v>
      </c>
      <c r="B49" s="10"/>
      <c r="C49" s="11" t="s">
        <v>91</v>
      </c>
      <c r="D49" s="11" t="s">
        <v>91</v>
      </c>
      <c r="E49" s="11" t="s">
        <v>44</v>
      </c>
      <c r="F49" s="11" t="s">
        <v>44</v>
      </c>
      <c r="G49" s="11" t="s">
        <v>385</v>
      </c>
    </row>
    <row r="50" customFormat="false" ht="15.75" hidden="false" customHeight="false" outlineLevel="0" collapsed="false">
      <c r="A50" s="9" t="n">
        <v>46171</v>
      </c>
      <c r="B50" s="10"/>
      <c r="C50" s="11" t="s">
        <v>91</v>
      </c>
      <c r="D50" s="11" t="s">
        <v>383</v>
      </c>
      <c r="E50" s="11" t="s">
        <v>19</v>
      </c>
      <c r="F50" s="11" t="s">
        <v>19</v>
      </c>
      <c r="G50" s="11" t="s">
        <v>385</v>
      </c>
    </row>
    <row r="51" customFormat="false" ht="15.75" hidden="false" customHeight="false" outlineLevel="0" collapsed="false">
      <c r="A51" s="9" t="n">
        <v>46171</v>
      </c>
      <c r="B51" s="10"/>
      <c r="C51" s="11" t="s">
        <v>386</v>
      </c>
      <c r="D51" s="11" t="s">
        <v>74</v>
      </c>
      <c r="E51" s="11" t="s">
        <v>19</v>
      </c>
      <c r="F51" s="11" t="s">
        <v>19</v>
      </c>
      <c r="G51" s="11" t="s">
        <v>384</v>
      </c>
    </row>
    <row r="52" customFormat="false" ht="15.75" hidden="false" customHeight="false" outlineLevel="0" collapsed="false">
      <c r="A52" s="9" t="n">
        <v>46171</v>
      </c>
      <c r="B52" s="10"/>
      <c r="C52" s="11" t="s">
        <v>386</v>
      </c>
      <c r="D52" s="11" t="s">
        <v>22</v>
      </c>
      <c r="E52" s="11" t="s">
        <v>44</v>
      </c>
      <c r="F52" s="11" t="s">
        <v>44</v>
      </c>
      <c r="G52" s="11" t="s">
        <v>385</v>
      </c>
    </row>
    <row r="53" customFormat="false" ht="15.75" hidden="false" customHeight="false" outlineLevel="0" collapsed="false">
      <c r="A53" s="9" t="n">
        <v>46171</v>
      </c>
      <c r="B53" s="10"/>
      <c r="C53" s="11" t="s">
        <v>386</v>
      </c>
      <c r="D53" s="11" t="s">
        <v>388</v>
      </c>
      <c r="E53" s="11" t="s">
        <v>44</v>
      </c>
      <c r="F53" s="11" t="s">
        <v>44</v>
      </c>
      <c r="G53" s="11" t="s">
        <v>385</v>
      </c>
    </row>
    <row r="54" customFormat="false" ht="15.75" hidden="false" customHeight="false" outlineLevel="0" collapsed="false">
      <c r="A54" s="9" t="n">
        <v>46171</v>
      </c>
      <c r="B54" s="10"/>
      <c r="C54" s="11" t="s">
        <v>386</v>
      </c>
      <c r="D54" s="11" t="s">
        <v>383</v>
      </c>
      <c r="E54" s="11" t="s">
        <v>19</v>
      </c>
      <c r="F54" s="11" t="s">
        <v>19</v>
      </c>
      <c r="G54" s="11" t="s">
        <v>384</v>
      </c>
    </row>
    <row r="55" customFormat="false" ht="15.75" hidden="false" customHeight="false" outlineLevel="0" collapsed="false">
      <c r="A55" s="9" t="n">
        <v>46171</v>
      </c>
      <c r="B55" s="10"/>
      <c r="C55" s="11" t="s">
        <v>386</v>
      </c>
      <c r="D55" s="11" t="s">
        <v>388</v>
      </c>
      <c r="E55" s="11" t="s">
        <v>44</v>
      </c>
      <c r="F55" s="11" t="s">
        <v>44</v>
      </c>
      <c r="G55" s="11" t="s">
        <v>385</v>
      </c>
    </row>
    <row r="56" customFormat="false" ht="15.75" hidden="false" customHeight="false" outlineLevel="0" collapsed="false">
      <c r="A56" s="9" t="n">
        <v>46171</v>
      </c>
      <c r="B56" s="10"/>
      <c r="C56" s="11" t="s">
        <v>386</v>
      </c>
      <c r="D56" s="11" t="s">
        <v>387</v>
      </c>
      <c r="E56" s="11" t="s">
        <v>44</v>
      </c>
      <c r="F56" s="11" t="s">
        <v>19</v>
      </c>
      <c r="G56" s="11" t="s">
        <v>385</v>
      </c>
    </row>
    <row r="57" customFormat="false" ht="15.75" hidden="false" customHeight="false" outlineLevel="0" collapsed="false">
      <c r="A57" s="9" t="n">
        <v>46171</v>
      </c>
      <c r="B57" s="10"/>
      <c r="C57" s="11" t="s">
        <v>386</v>
      </c>
      <c r="D57" s="11" t="s">
        <v>383</v>
      </c>
      <c r="E57" s="11" t="s">
        <v>44</v>
      </c>
      <c r="F57" s="11" t="s">
        <v>19</v>
      </c>
      <c r="G57" s="11" t="s">
        <v>385</v>
      </c>
    </row>
    <row r="58" customFormat="false" ht="15.75" hidden="false" customHeight="false" outlineLevel="0" collapsed="false">
      <c r="A58" s="9" t="n">
        <v>46170</v>
      </c>
      <c r="B58" s="10"/>
      <c r="C58" s="11" t="s">
        <v>386</v>
      </c>
      <c r="D58" s="11" t="s">
        <v>383</v>
      </c>
      <c r="E58" s="11" t="s">
        <v>19</v>
      </c>
      <c r="F58" s="11" t="s">
        <v>19</v>
      </c>
      <c r="G58" s="11" t="s">
        <v>384</v>
      </c>
    </row>
    <row r="59" customFormat="false" ht="15.75" hidden="false" customHeight="false" outlineLevel="0" collapsed="false">
      <c r="A59" s="9" t="n">
        <v>46170</v>
      </c>
      <c r="B59" s="10"/>
      <c r="C59" s="11" t="s">
        <v>386</v>
      </c>
      <c r="D59" s="11" t="s">
        <v>74</v>
      </c>
      <c r="E59" s="11" t="s">
        <v>19</v>
      </c>
      <c r="F59" s="11" t="s">
        <v>19</v>
      </c>
      <c r="G59" s="11" t="s">
        <v>385</v>
      </c>
    </row>
    <row r="60" customFormat="false" ht="15.75" hidden="false" customHeight="false" outlineLevel="0" collapsed="false">
      <c r="A60" s="9" t="n">
        <v>46170</v>
      </c>
      <c r="B60" s="10"/>
      <c r="C60" s="11" t="s">
        <v>386</v>
      </c>
      <c r="D60" s="11" t="s">
        <v>74</v>
      </c>
      <c r="E60" s="11" t="s">
        <v>19</v>
      </c>
      <c r="F60" s="11" t="s">
        <v>19</v>
      </c>
      <c r="G60" s="11" t="s">
        <v>385</v>
      </c>
    </row>
    <row r="61" customFormat="false" ht="15.75" hidden="false" customHeight="false" outlineLevel="0" collapsed="false">
      <c r="A61" s="9" t="n">
        <v>46170</v>
      </c>
      <c r="B61" s="10"/>
      <c r="C61" s="11" t="s">
        <v>386</v>
      </c>
      <c r="D61" s="11" t="s">
        <v>388</v>
      </c>
      <c r="E61" s="11" t="s">
        <v>44</v>
      </c>
      <c r="F61" s="11" t="s">
        <v>19</v>
      </c>
      <c r="G61" s="11" t="s">
        <v>385</v>
      </c>
    </row>
    <row r="62" customFormat="false" ht="15.75" hidden="false" customHeight="false" outlineLevel="0" collapsed="false">
      <c r="A62" s="9" t="n">
        <v>46170</v>
      </c>
      <c r="B62" s="10"/>
      <c r="C62" s="11" t="s">
        <v>389</v>
      </c>
      <c r="D62" s="11" t="s">
        <v>383</v>
      </c>
      <c r="E62" s="11" t="s">
        <v>44</v>
      </c>
      <c r="F62" s="11" t="s">
        <v>19</v>
      </c>
      <c r="G62" s="11" t="s">
        <v>385</v>
      </c>
    </row>
    <row r="63" customFormat="false" ht="15.75" hidden="false" customHeight="false" outlineLevel="0" collapsed="false">
      <c r="A63" s="9" t="n">
        <v>46170</v>
      </c>
      <c r="B63" s="10"/>
      <c r="C63" s="11" t="s">
        <v>386</v>
      </c>
      <c r="D63" s="11" t="s">
        <v>383</v>
      </c>
      <c r="E63" s="11" t="s">
        <v>44</v>
      </c>
      <c r="F63" s="11" t="s">
        <v>19</v>
      </c>
      <c r="G63" s="11" t="s">
        <v>385</v>
      </c>
    </row>
    <row r="64" customFormat="false" ht="15.75" hidden="false" customHeight="false" outlineLevel="0" collapsed="false">
      <c r="A64" s="9" t="n">
        <v>46170</v>
      </c>
      <c r="B64" s="10"/>
      <c r="C64" s="11" t="s">
        <v>386</v>
      </c>
      <c r="D64" s="11" t="s">
        <v>383</v>
      </c>
      <c r="E64" s="11" t="s">
        <v>44</v>
      </c>
      <c r="F64" s="11" t="s">
        <v>19</v>
      </c>
      <c r="G64" s="11" t="s">
        <v>384</v>
      </c>
    </row>
    <row r="65" customFormat="false" ht="15.75" hidden="false" customHeight="false" outlineLevel="0" collapsed="false">
      <c r="A65" s="9" t="n">
        <v>46170</v>
      </c>
      <c r="B65" s="10"/>
      <c r="C65" s="11" t="s">
        <v>386</v>
      </c>
      <c r="D65" s="11" t="s">
        <v>383</v>
      </c>
      <c r="E65" s="11" t="s">
        <v>44</v>
      </c>
      <c r="F65" s="11" t="s">
        <v>19</v>
      </c>
      <c r="G65" s="11" t="s">
        <v>385</v>
      </c>
    </row>
    <row r="66" customFormat="false" ht="15.75" hidden="false" customHeight="false" outlineLevel="0" collapsed="false">
      <c r="A66" s="9" t="n">
        <v>46170</v>
      </c>
      <c r="B66" s="10"/>
      <c r="C66" s="11" t="s">
        <v>386</v>
      </c>
      <c r="D66" s="11" t="s">
        <v>383</v>
      </c>
      <c r="E66" s="11" t="s">
        <v>19</v>
      </c>
      <c r="F66" s="11" t="s">
        <v>19</v>
      </c>
      <c r="G66" s="11" t="s">
        <v>385</v>
      </c>
    </row>
    <row r="67" customFormat="false" ht="15.75" hidden="false" customHeight="false" outlineLevel="0" collapsed="false">
      <c r="A67" s="9" t="n">
        <v>46169</v>
      </c>
      <c r="B67" s="10"/>
      <c r="C67" s="11" t="s">
        <v>91</v>
      </c>
      <c r="D67" s="11" t="s">
        <v>383</v>
      </c>
      <c r="E67" s="11" t="s">
        <v>44</v>
      </c>
      <c r="F67" s="11" t="s">
        <v>19</v>
      </c>
      <c r="G67" s="11" t="s">
        <v>385</v>
      </c>
    </row>
    <row r="68" customFormat="false" ht="15.75" hidden="false" customHeight="false" outlineLevel="0" collapsed="false">
      <c r="A68" s="9" t="n">
        <v>46169</v>
      </c>
      <c r="B68" s="10"/>
      <c r="C68" s="11" t="s">
        <v>91</v>
      </c>
      <c r="D68" s="11" t="s">
        <v>91</v>
      </c>
      <c r="E68" s="11" t="s">
        <v>44</v>
      </c>
      <c r="F68" s="11" t="s">
        <v>19</v>
      </c>
      <c r="G68" s="11" t="s">
        <v>385</v>
      </c>
    </row>
    <row r="69" customFormat="false" ht="15.75" hidden="false" customHeight="false" outlineLevel="0" collapsed="false">
      <c r="A69" s="9" t="n">
        <v>46169</v>
      </c>
      <c r="B69" s="10"/>
      <c r="C69" s="11" t="s">
        <v>386</v>
      </c>
      <c r="D69" s="11" t="s">
        <v>383</v>
      </c>
      <c r="E69" s="11" t="s">
        <v>44</v>
      </c>
      <c r="F69" s="11" t="s">
        <v>19</v>
      </c>
      <c r="G69" s="11" t="s">
        <v>385</v>
      </c>
    </row>
    <row r="70" customFormat="false" ht="15.75" hidden="false" customHeight="false" outlineLevel="0" collapsed="false">
      <c r="A70" s="9" t="n">
        <v>46169</v>
      </c>
      <c r="B70" s="10"/>
      <c r="C70" s="11" t="s">
        <v>91</v>
      </c>
      <c r="D70" s="11" t="s">
        <v>91</v>
      </c>
      <c r="E70" s="11" t="s">
        <v>44</v>
      </c>
      <c r="F70" s="11" t="s">
        <v>19</v>
      </c>
      <c r="G70" s="11" t="s">
        <v>385</v>
      </c>
    </row>
    <row r="71" customFormat="false" ht="15.75" hidden="false" customHeight="false" outlineLevel="0" collapsed="false">
      <c r="A71" s="9" t="n">
        <v>46169</v>
      </c>
      <c r="B71" s="10"/>
      <c r="C71" s="11" t="s">
        <v>386</v>
      </c>
      <c r="D71" s="11" t="s">
        <v>388</v>
      </c>
      <c r="E71" s="11" t="s">
        <v>44</v>
      </c>
      <c r="F71" s="11" t="s">
        <v>44</v>
      </c>
      <c r="G71" s="11" t="s">
        <v>385</v>
      </c>
    </row>
    <row r="72" customFormat="false" ht="15.75" hidden="false" customHeight="false" outlineLevel="0" collapsed="false">
      <c r="A72" s="9" t="n">
        <v>46169</v>
      </c>
      <c r="B72" s="10"/>
      <c r="C72" s="11" t="s">
        <v>386</v>
      </c>
      <c r="D72" s="11" t="s">
        <v>383</v>
      </c>
      <c r="E72" s="11" t="s">
        <v>44</v>
      </c>
      <c r="F72" s="11" t="s">
        <v>19</v>
      </c>
      <c r="G72" s="11" t="s">
        <v>384</v>
      </c>
    </row>
    <row r="73" customFormat="false" ht="15.75" hidden="false" customHeight="false" outlineLevel="0" collapsed="false">
      <c r="A73" s="9" t="n">
        <v>46169</v>
      </c>
      <c r="B73" s="10"/>
      <c r="C73" s="11" t="s">
        <v>386</v>
      </c>
      <c r="D73" s="11" t="s">
        <v>383</v>
      </c>
      <c r="E73" s="11" t="s">
        <v>44</v>
      </c>
      <c r="F73" s="11" t="s">
        <v>19</v>
      </c>
      <c r="G73" s="11" t="s">
        <v>384</v>
      </c>
    </row>
    <row r="74" customFormat="false" ht="15.75" hidden="false" customHeight="false" outlineLevel="0" collapsed="false">
      <c r="A74" s="9" t="n">
        <v>46169</v>
      </c>
      <c r="B74" s="10"/>
      <c r="C74" s="11" t="s">
        <v>386</v>
      </c>
      <c r="D74" s="11" t="s">
        <v>383</v>
      </c>
      <c r="E74" s="11" t="s">
        <v>44</v>
      </c>
      <c r="F74" s="11" t="s">
        <v>19</v>
      </c>
      <c r="G74" s="11" t="s">
        <v>385</v>
      </c>
    </row>
    <row r="75" customFormat="false" ht="15.75" hidden="false" customHeight="false" outlineLevel="0" collapsed="false">
      <c r="A75" s="9" t="n">
        <v>46168</v>
      </c>
      <c r="B75" s="10"/>
      <c r="C75" s="11" t="s">
        <v>386</v>
      </c>
      <c r="D75" s="11" t="s">
        <v>388</v>
      </c>
      <c r="E75" s="11" t="s">
        <v>44</v>
      </c>
      <c r="F75" s="11" t="s">
        <v>44</v>
      </c>
      <c r="G75" s="11" t="s">
        <v>385</v>
      </c>
    </row>
    <row r="76" customFormat="false" ht="15.75" hidden="false" customHeight="false" outlineLevel="0" collapsed="false">
      <c r="A76" s="9" t="n">
        <v>46168</v>
      </c>
      <c r="B76" s="10"/>
      <c r="C76" s="11" t="s">
        <v>386</v>
      </c>
      <c r="D76" s="11" t="s">
        <v>387</v>
      </c>
      <c r="E76" s="11" t="s">
        <v>44</v>
      </c>
      <c r="F76" s="11" t="s">
        <v>44</v>
      </c>
      <c r="G76" s="11" t="s">
        <v>385</v>
      </c>
    </row>
    <row r="77" customFormat="false" ht="15.75" hidden="false" customHeight="false" outlineLevel="0" collapsed="false">
      <c r="A77" s="9" t="n">
        <v>46168</v>
      </c>
      <c r="B77" s="10"/>
      <c r="C77" s="11" t="s">
        <v>386</v>
      </c>
      <c r="D77" s="11" t="s">
        <v>22</v>
      </c>
      <c r="E77" s="11" t="s">
        <v>44</v>
      </c>
      <c r="F77" s="11" t="s">
        <v>19</v>
      </c>
      <c r="G77" s="11" t="s">
        <v>385</v>
      </c>
    </row>
    <row r="78" customFormat="false" ht="15.75" hidden="false" customHeight="false" outlineLevel="0" collapsed="false">
      <c r="A78" s="9" t="n">
        <v>46168</v>
      </c>
      <c r="B78" s="10"/>
      <c r="C78" s="11" t="s">
        <v>386</v>
      </c>
      <c r="D78" s="11" t="s">
        <v>388</v>
      </c>
      <c r="E78" s="11" t="s">
        <v>44</v>
      </c>
      <c r="F78" s="11" t="s">
        <v>44</v>
      </c>
      <c r="G78" s="11" t="s">
        <v>385</v>
      </c>
    </row>
    <row r="79" customFormat="false" ht="15.75" hidden="false" customHeight="false" outlineLevel="0" collapsed="false">
      <c r="A79" s="9" t="n">
        <v>46168</v>
      </c>
      <c r="B79" s="10"/>
      <c r="C79" s="11" t="s">
        <v>386</v>
      </c>
      <c r="D79" s="11" t="s">
        <v>387</v>
      </c>
      <c r="E79" s="11" t="s">
        <v>44</v>
      </c>
      <c r="F79" s="11" t="s">
        <v>19</v>
      </c>
      <c r="G79" s="11" t="s">
        <v>385</v>
      </c>
    </row>
    <row r="80" customFormat="false" ht="15.75" hidden="false" customHeight="false" outlineLevel="0" collapsed="false">
      <c r="A80" s="9" t="n">
        <v>46168</v>
      </c>
      <c r="B80" s="10"/>
      <c r="C80" s="11" t="s">
        <v>91</v>
      </c>
      <c r="D80" s="11" t="s">
        <v>383</v>
      </c>
      <c r="E80" s="11" t="s">
        <v>19</v>
      </c>
      <c r="F80" s="11" t="s">
        <v>19</v>
      </c>
      <c r="G80" s="11" t="s">
        <v>384</v>
      </c>
    </row>
    <row r="81" customFormat="false" ht="15.75" hidden="false" customHeight="false" outlineLevel="0" collapsed="false">
      <c r="A81" s="9" t="n">
        <v>46168</v>
      </c>
      <c r="B81" s="10"/>
      <c r="C81" s="11" t="s">
        <v>91</v>
      </c>
      <c r="D81" s="11" t="s">
        <v>91</v>
      </c>
      <c r="E81" s="11" t="s">
        <v>19</v>
      </c>
      <c r="F81" s="11" t="s">
        <v>19</v>
      </c>
      <c r="G81" s="11" t="s">
        <v>385</v>
      </c>
    </row>
    <row r="82" customFormat="false" ht="15.75" hidden="false" customHeight="false" outlineLevel="0" collapsed="false">
      <c r="A82" s="9" t="n">
        <v>46168</v>
      </c>
      <c r="B82" s="10"/>
      <c r="C82" s="11" t="s">
        <v>386</v>
      </c>
      <c r="D82" s="11" t="s">
        <v>74</v>
      </c>
      <c r="E82" s="11" t="s">
        <v>19</v>
      </c>
      <c r="F82" s="11" t="s">
        <v>19</v>
      </c>
      <c r="G82" s="11" t="s">
        <v>385</v>
      </c>
    </row>
    <row r="83" customFormat="false" ht="15.75" hidden="false" customHeight="false" outlineLevel="0" collapsed="false">
      <c r="A83" s="9" t="n">
        <v>46168</v>
      </c>
      <c r="B83" s="10"/>
      <c r="C83" s="11" t="s">
        <v>386</v>
      </c>
      <c r="D83" s="11" t="s">
        <v>383</v>
      </c>
      <c r="E83" s="11" t="s">
        <v>44</v>
      </c>
      <c r="F83" s="11" t="s">
        <v>19</v>
      </c>
      <c r="G83" s="11" t="s">
        <v>385</v>
      </c>
    </row>
    <row r="84" customFormat="false" ht="15.75" hidden="false" customHeight="false" outlineLevel="0" collapsed="false">
      <c r="A84" s="9" t="n">
        <v>46168</v>
      </c>
      <c r="B84" s="10"/>
      <c r="C84" s="11" t="s">
        <v>386</v>
      </c>
      <c r="D84" s="11" t="s">
        <v>383</v>
      </c>
      <c r="E84" s="11" t="s">
        <v>44</v>
      </c>
      <c r="F84" s="11" t="s">
        <v>19</v>
      </c>
      <c r="G84" s="11" t="s">
        <v>384</v>
      </c>
    </row>
    <row r="85" customFormat="false" ht="15.75" hidden="false" customHeight="false" outlineLevel="0" collapsed="false">
      <c r="A85" s="9" t="n">
        <v>46168</v>
      </c>
      <c r="B85" s="10"/>
      <c r="C85" s="11" t="s">
        <v>386</v>
      </c>
      <c r="D85" s="11" t="s">
        <v>383</v>
      </c>
      <c r="E85" s="11" t="s">
        <v>44</v>
      </c>
      <c r="F85" s="11" t="s">
        <v>19</v>
      </c>
      <c r="G85" s="11" t="s">
        <v>384</v>
      </c>
    </row>
    <row r="86" customFormat="false" ht="15.75" hidden="false" customHeight="false" outlineLevel="0" collapsed="false">
      <c r="A86" s="9" t="n">
        <v>46168</v>
      </c>
      <c r="B86" s="10"/>
      <c r="C86" s="11" t="s">
        <v>386</v>
      </c>
      <c r="D86" s="11" t="s">
        <v>22</v>
      </c>
      <c r="E86" s="11" t="s">
        <v>44</v>
      </c>
      <c r="F86" s="11" t="s">
        <v>44</v>
      </c>
      <c r="G86" s="11" t="s">
        <v>385</v>
      </c>
    </row>
    <row r="87" customFormat="false" ht="15.75" hidden="false" customHeight="false" outlineLevel="0" collapsed="false">
      <c r="A87" s="9" t="n">
        <v>46168</v>
      </c>
      <c r="B87" s="10"/>
      <c r="C87" s="11" t="s">
        <v>386</v>
      </c>
      <c r="D87" s="11" t="s">
        <v>22</v>
      </c>
      <c r="E87" s="11" t="s">
        <v>44</v>
      </c>
      <c r="F87" s="11" t="s">
        <v>44</v>
      </c>
      <c r="G87" s="11" t="s">
        <v>385</v>
      </c>
    </row>
    <row r="88" customFormat="false" ht="15.75" hidden="false" customHeight="false" outlineLevel="0" collapsed="false">
      <c r="A88" s="9" t="n">
        <v>46165</v>
      </c>
      <c r="B88" s="10"/>
      <c r="C88" s="11" t="s">
        <v>91</v>
      </c>
      <c r="D88" s="11" t="s">
        <v>91</v>
      </c>
      <c r="E88" s="11" t="s">
        <v>44</v>
      </c>
      <c r="F88" s="11" t="s">
        <v>44</v>
      </c>
      <c r="G88" s="11" t="s">
        <v>385</v>
      </c>
    </row>
    <row r="89" customFormat="false" ht="15.75" hidden="false" customHeight="false" outlineLevel="0" collapsed="false">
      <c r="A89" s="9" t="n">
        <v>46165</v>
      </c>
      <c r="B89" s="10"/>
      <c r="C89" s="11" t="s">
        <v>386</v>
      </c>
      <c r="D89" s="11" t="s">
        <v>383</v>
      </c>
      <c r="E89" s="11" t="s">
        <v>44</v>
      </c>
      <c r="F89" s="11" t="s">
        <v>19</v>
      </c>
      <c r="G89" s="11" t="s">
        <v>385</v>
      </c>
    </row>
    <row r="90" customFormat="false" ht="15.75" hidden="false" customHeight="false" outlineLevel="0" collapsed="false">
      <c r="A90" s="9" t="n">
        <v>46165</v>
      </c>
      <c r="B90" s="10"/>
      <c r="C90" s="11" t="s">
        <v>386</v>
      </c>
      <c r="D90" s="11" t="s">
        <v>383</v>
      </c>
      <c r="E90" s="11" t="s">
        <v>44</v>
      </c>
      <c r="F90" s="11" t="s">
        <v>19</v>
      </c>
      <c r="G90" s="11" t="s">
        <v>384</v>
      </c>
    </row>
    <row r="91" customFormat="false" ht="15.75" hidden="false" customHeight="false" outlineLevel="0" collapsed="false">
      <c r="A91" s="9" t="n">
        <v>46165</v>
      </c>
      <c r="B91" s="10"/>
      <c r="C91" s="11" t="s">
        <v>386</v>
      </c>
      <c r="D91" s="11" t="s">
        <v>22</v>
      </c>
      <c r="E91" s="11" t="s">
        <v>44</v>
      </c>
      <c r="F91" s="11" t="s">
        <v>19</v>
      </c>
      <c r="G91" s="11" t="s">
        <v>385</v>
      </c>
    </row>
    <row r="92" customFormat="false" ht="15.75" hidden="false" customHeight="false" outlineLevel="0" collapsed="false">
      <c r="A92" s="9" t="n">
        <v>46165</v>
      </c>
      <c r="B92" s="10"/>
      <c r="C92" s="11" t="s">
        <v>386</v>
      </c>
      <c r="D92" s="11" t="s">
        <v>22</v>
      </c>
      <c r="E92" s="11" t="s">
        <v>44</v>
      </c>
      <c r="F92" s="11" t="s">
        <v>44</v>
      </c>
      <c r="G92" s="11" t="s">
        <v>385</v>
      </c>
    </row>
    <row r="93" customFormat="false" ht="15.75" hidden="false" customHeight="false" outlineLevel="0" collapsed="false">
      <c r="A93" s="9" t="n">
        <v>46164</v>
      </c>
      <c r="B93" s="10"/>
      <c r="C93" s="11" t="s">
        <v>386</v>
      </c>
      <c r="D93" s="11" t="s">
        <v>22</v>
      </c>
      <c r="E93" s="11" t="s">
        <v>19</v>
      </c>
      <c r="F93" s="11" t="s">
        <v>19</v>
      </c>
      <c r="G93" s="11" t="s">
        <v>385</v>
      </c>
    </row>
    <row r="94" customFormat="false" ht="15.75" hidden="false" customHeight="false" outlineLevel="0" collapsed="false">
      <c r="A94" s="9" t="n">
        <v>46164</v>
      </c>
      <c r="B94" s="10"/>
      <c r="C94" s="11" t="s">
        <v>386</v>
      </c>
      <c r="D94" s="11" t="s">
        <v>74</v>
      </c>
      <c r="E94" s="11" t="s">
        <v>44</v>
      </c>
      <c r="F94" s="11" t="s">
        <v>19</v>
      </c>
      <c r="G94" s="11" t="s">
        <v>385</v>
      </c>
    </row>
    <row r="95" customFormat="false" ht="15.75" hidden="false" customHeight="false" outlineLevel="0" collapsed="false">
      <c r="A95" s="9" t="n">
        <v>46164</v>
      </c>
      <c r="B95" s="10"/>
      <c r="C95" s="11" t="s">
        <v>91</v>
      </c>
      <c r="D95" s="11" t="s">
        <v>91</v>
      </c>
      <c r="E95" s="11" t="s">
        <v>44</v>
      </c>
      <c r="F95" s="11" t="s">
        <v>44</v>
      </c>
      <c r="G95" s="11" t="s">
        <v>385</v>
      </c>
    </row>
    <row r="96" customFormat="false" ht="15.75" hidden="false" customHeight="false" outlineLevel="0" collapsed="false">
      <c r="A96" s="9" t="n">
        <v>46164</v>
      </c>
      <c r="B96" s="10"/>
      <c r="C96" s="11" t="s">
        <v>91</v>
      </c>
      <c r="D96" s="11" t="s">
        <v>91</v>
      </c>
      <c r="E96" s="11" t="s">
        <v>44</v>
      </c>
      <c r="F96" s="11" t="s">
        <v>44</v>
      </c>
      <c r="G96" s="11" t="s">
        <v>385</v>
      </c>
    </row>
    <row r="97" customFormat="false" ht="15.75" hidden="false" customHeight="false" outlineLevel="0" collapsed="false">
      <c r="A97" s="9" t="n">
        <v>46164</v>
      </c>
      <c r="B97" s="10"/>
      <c r="C97" s="11" t="s">
        <v>386</v>
      </c>
      <c r="D97" s="11" t="s">
        <v>22</v>
      </c>
      <c r="E97" s="11" t="s">
        <v>19</v>
      </c>
      <c r="F97" s="11" t="s">
        <v>19</v>
      </c>
      <c r="G97" s="11" t="s">
        <v>384</v>
      </c>
    </row>
    <row r="98" customFormat="false" ht="15.75" hidden="false" customHeight="false" outlineLevel="0" collapsed="false">
      <c r="A98" s="9" t="n">
        <v>46164</v>
      </c>
      <c r="B98" s="10"/>
      <c r="C98" s="11" t="s">
        <v>386</v>
      </c>
      <c r="D98" s="11" t="s">
        <v>383</v>
      </c>
      <c r="E98" s="11" t="s">
        <v>44</v>
      </c>
      <c r="F98" s="11" t="s">
        <v>19</v>
      </c>
      <c r="G98" s="11" t="s">
        <v>385</v>
      </c>
    </row>
    <row r="99" customFormat="false" ht="15.75" hidden="false" customHeight="false" outlineLevel="0" collapsed="false">
      <c r="A99" s="9" t="n">
        <v>46164</v>
      </c>
      <c r="B99" s="10"/>
      <c r="C99" s="11" t="s">
        <v>386</v>
      </c>
      <c r="D99" s="11" t="s">
        <v>22</v>
      </c>
      <c r="E99" s="11" t="s">
        <v>44</v>
      </c>
      <c r="F99" s="11" t="s">
        <v>19</v>
      </c>
      <c r="G99" s="11" t="s">
        <v>384</v>
      </c>
    </row>
    <row r="100" customFormat="false" ht="15.75" hidden="false" customHeight="false" outlineLevel="0" collapsed="false">
      <c r="A100" s="9" t="n">
        <v>46164</v>
      </c>
      <c r="B100" s="10"/>
      <c r="C100" s="11" t="s">
        <v>386</v>
      </c>
      <c r="D100" s="11" t="s">
        <v>383</v>
      </c>
      <c r="E100" s="11" t="s">
        <v>44</v>
      </c>
      <c r="F100" s="11" t="s">
        <v>19</v>
      </c>
      <c r="G100" s="11" t="s">
        <v>384</v>
      </c>
    </row>
    <row r="101" customFormat="false" ht="15.75" hidden="false" customHeight="false" outlineLevel="0" collapsed="false">
      <c r="A101" s="9" t="n">
        <v>46163</v>
      </c>
      <c r="B101" s="10"/>
      <c r="C101" s="11" t="s">
        <v>386</v>
      </c>
      <c r="D101" s="11" t="s">
        <v>388</v>
      </c>
      <c r="E101" s="11" t="s">
        <v>44</v>
      </c>
      <c r="F101" s="11" t="s">
        <v>44</v>
      </c>
      <c r="G101" s="11" t="s">
        <v>385</v>
      </c>
    </row>
    <row r="102" customFormat="false" ht="15.75" hidden="false" customHeight="false" outlineLevel="0" collapsed="false">
      <c r="A102" s="9" t="n">
        <v>46163</v>
      </c>
      <c r="B102" s="10"/>
      <c r="C102" s="11" t="s">
        <v>386</v>
      </c>
      <c r="D102" s="11" t="s">
        <v>383</v>
      </c>
      <c r="E102" s="11" t="s">
        <v>19</v>
      </c>
      <c r="F102" s="11" t="s">
        <v>19</v>
      </c>
      <c r="G102" s="11" t="s">
        <v>385</v>
      </c>
    </row>
    <row r="103" customFormat="false" ht="15.75" hidden="false" customHeight="false" outlineLevel="0" collapsed="false">
      <c r="A103" s="9" t="n">
        <v>46163</v>
      </c>
      <c r="B103" s="10"/>
      <c r="C103" s="11" t="s">
        <v>386</v>
      </c>
      <c r="D103" s="11" t="s">
        <v>383</v>
      </c>
      <c r="E103" s="11" t="s">
        <v>19</v>
      </c>
      <c r="F103" s="11" t="s">
        <v>19</v>
      </c>
      <c r="G103" s="11" t="s">
        <v>384</v>
      </c>
    </row>
    <row r="104" customFormat="false" ht="15.75" hidden="false" customHeight="false" outlineLevel="0" collapsed="false">
      <c r="A104" s="9" t="n">
        <v>46163</v>
      </c>
      <c r="B104" s="10"/>
      <c r="C104" s="11" t="s">
        <v>91</v>
      </c>
      <c r="D104" s="11" t="s">
        <v>91</v>
      </c>
      <c r="E104" s="11" t="s">
        <v>44</v>
      </c>
      <c r="F104" s="11" t="s">
        <v>19</v>
      </c>
      <c r="G104" s="11" t="s">
        <v>385</v>
      </c>
    </row>
    <row r="105" customFormat="false" ht="15.75" hidden="false" customHeight="false" outlineLevel="0" collapsed="false">
      <c r="A105" s="9" t="n">
        <v>46163</v>
      </c>
      <c r="B105" s="10"/>
      <c r="C105" s="11" t="s">
        <v>91</v>
      </c>
      <c r="D105" s="11" t="s">
        <v>74</v>
      </c>
      <c r="E105" s="11" t="s">
        <v>19</v>
      </c>
      <c r="F105" s="11" t="s">
        <v>19</v>
      </c>
      <c r="G105" s="11" t="s">
        <v>385</v>
      </c>
    </row>
    <row r="106" customFormat="false" ht="15.75" hidden="false" customHeight="false" outlineLevel="0" collapsed="false">
      <c r="A106" s="9" t="n">
        <v>46163</v>
      </c>
      <c r="B106" s="10"/>
      <c r="C106" s="11" t="s">
        <v>386</v>
      </c>
      <c r="D106" s="11" t="s">
        <v>383</v>
      </c>
      <c r="E106" s="11" t="s">
        <v>44</v>
      </c>
      <c r="F106" s="11" t="s">
        <v>19</v>
      </c>
      <c r="G106" s="11" t="s">
        <v>385</v>
      </c>
    </row>
    <row r="107" customFormat="false" ht="15.75" hidden="false" customHeight="false" outlineLevel="0" collapsed="false">
      <c r="A107" s="9" t="n">
        <v>46163</v>
      </c>
      <c r="B107" s="10"/>
      <c r="C107" s="11" t="s">
        <v>386</v>
      </c>
      <c r="D107" s="11" t="s">
        <v>22</v>
      </c>
      <c r="E107" s="11" t="s">
        <v>44</v>
      </c>
      <c r="F107" s="11" t="s">
        <v>44</v>
      </c>
      <c r="G107" s="11" t="s">
        <v>385</v>
      </c>
    </row>
    <row r="108" customFormat="false" ht="15.75" hidden="false" customHeight="false" outlineLevel="0" collapsed="false">
      <c r="A108" s="9" t="n">
        <v>46163</v>
      </c>
      <c r="B108" s="10"/>
      <c r="C108" s="11" t="s">
        <v>386</v>
      </c>
      <c r="D108" s="11" t="s">
        <v>22</v>
      </c>
      <c r="E108" s="11" t="s">
        <v>44</v>
      </c>
      <c r="F108" s="11" t="s">
        <v>19</v>
      </c>
      <c r="G108" s="11" t="s">
        <v>384</v>
      </c>
    </row>
    <row r="109" customFormat="false" ht="15.75" hidden="false" customHeight="false" outlineLevel="0" collapsed="false">
      <c r="A109" s="9" t="n">
        <v>46163</v>
      </c>
      <c r="B109" s="10"/>
      <c r="C109" s="11" t="s">
        <v>386</v>
      </c>
      <c r="D109" s="11" t="s">
        <v>383</v>
      </c>
      <c r="E109" s="11" t="s">
        <v>44</v>
      </c>
      <c r="F109" s="11" t="s">
        <v>19</v>
      </c>
      <c r="G109" s="11" t="s">
        <v>384</v>
      </c>
    </row>
    <row r="110" customFormat="false" ht="15.75" hidden="false" customHeight="false" outlineLevel="0" collapsed="false">
      <c r="A110" s="9" t="n">
        <v>46162</v>
      </c>
      <c r="B110" s="10"/>
      <c r="C110" s="11" t="s">
        <v>91</v>
      </c>
      <c r="D110" s="11" t="s">
        <v>74</v>
      </c>
      <c r="E110" s="11" t="s">
        <v>19</v>
      </c>
      <c r="F110" s="11" t="s">
        <v>19</v>
      </c>
      <c r="G110" s="11" t="s">
        <v>385</v>
      </c>
    </row>
    <row r="111" customFormat="false" ht="15.75" hidden="false" customHeight="false" outlineLevel="0" collapsed="false">
      <c r="A111" s="9" t="n">
        <v>46162</v>
      </c>
      <c r="B111" s="10"/>
      <c r="C111" s="11" t="s">
        <v>386</v>
      </c>
      <c r="D111" s="11" t="s">
        <v>383</v>
      </c>
      <c r="E111" s="11" t="s">
        <v>44</v>
      </c>
      <c r="F111" s="11" t="s">
        <v>19</v>
      </c>
      <c r="G111" s="11" t="s">
        <v>385</v>
      </c>
    </row>
    <row r="112" customFormat="false" ht="15.75" hidden="false" customHeight="false" outlineLevel="0" collapsed="false">
      <c r="A112" s="9" t="n">
        <v>46162</v>
      </c>
      <c r="B112" s="10"/>
      <c r="C112" s="11" t="s">
        <v>386</v>
      </c>
      <c r="D112" s="11" t="s">
        <v>383</v>
      </c>
      <c r="E112" s="11" t="s">
        <v>44</v>
      </c>
      <c r="F112" s="11" t="s">
        <v>19</v>
      </c>
      <c r="G112" s="11" t="s">
        <v>384</v>
      </c>
    </row>
    <row r="113" customFormat="false" ht="15.75" hidden="false" customHeight="false" outlineLevel="0" collapsed="false">
      <c r="A113" s="9" t="n">
        <v>46162</v>
      </c>
      <c r="B113" s="10"/>
      <c r="C113" s="11" t="s">
        <v>386</v>
      </c>
      <c r="D113" s="11" t="s">
        <v>383</v>
      </c>
      <c r="E113" s="11" t="s">
        <v>44</v>
      </c>
      <c r="F113" s="11" t="s">
        <v>19</v>
      </c>
      <c r="G113" s="11" t="s">
        <v>384</v>
      </c>
    </row>
    <row r="114" customFormat="false" ht="15.75" hidden="false" customHeight="false" outlineLevel="0" collapsed="false">
      <c r="A114" s="9" t="n">
        <v>46162</v>
      </c>
      <c r="B114" s="10"/>
      <c r="C114" s="11" t="s">
        <v>91</v>
      </c>
      <c r="D114" s="11" t="s">
        <v>91</v>
      </c>
      <c r="E114" s="11" t="s">
        <v>44</v>
      </c>
      <c r="F114" s="11" t="s">
        <v>44</v>
      </c>
      <c r="G114" s="11" t="s">
        <v>385</v>
      </c>
    </row>
    <row r="115" customFormat="false" ht="15.75" hidden="false" customHeight="false" outlineLevel="0" collapsed="false">
      <c r="A115" s="9" t="n">
        <v>46162</v>
      </c>
      <c r="B115" s="10"/>
      <c r="C115" s="11" t="s">
        <v>386</v>
      </c>
      <c r="D115" s="11" t="s">
        <v>388</v>
      </c>
      <c r="E115" s="11" t="s">
        <v>44</v>
      </c>
      <c r="F115" s="11" t="s">
        <v>19</v>
      </c>
      <c r="G115" s="11" t="s">
        <v>385</v>
      </c>
    </row>
    <row r="116" customFormat="false" ht="15.75" hidden="false" customHeight="false" outlineLevel="0" collapsed="false">
      <c r="A116" s="9" t="n">
        <v>46162</v>
      </c>
      <c r="B116" s="10"/>
      <c r="C116" s="11" t="s">
        <v>386</v>
      </c>
      <c r="D116" s="11" t="s">
        <v>22</v>
      </c>
      <c r="E116" s="11" t="s">
        <v>44</v>
      </c>
      <c r="F116" s="11" t="s">
        <v>19</v>
      </c>
      <c r="G116" s="11" t="s">
        <v>385</v>
      </c>
    </row>
    <row r="117" customFormat="false" ht="15.75" hidden="false" customHeight="false" outlineLevel="0" collapsed="false">
      <c r="A117" s="9" t="n">
        <v>46162</v>
      </c>
      <c r="B117" s="10"/>
      <c r="C117" s="11" t="s">
        <v>386</v>
      </c>
      <c r="D117" s="11" t="s">
        <v>383</v>
      </c>
      <c r="E117" s="11" t="s">
        <v>44</v>
      </c>
      <c r="F117" s="11" t="s">
        <v>19</v>
      </c>
      <c r="G117" s="11" t="s">
        <v>385</v>
      </c>
    </row>
    <row r="118" customFormat="false" ht="15.75" hidden="false" customHeight="false" outlineLevel="0" collapsed="false">
      <c r="A118" s="9" t="n">
        <v>46161</v>
      </c>
      <c r="B118" s="10"/>
      <c r="C118" s="11" t="s">
        <v>386</v>
      </c>
      <c r="D118" s="11" t="s">
        <v>383</v>
      </c>
      <c r="E118" s="11" t="s">
        <v>19</v>
      </c>
      <c r="F118" s="11" t="s">
        <v>19</v>
      </c>
      <c r="G118" s="11" t="s">
        <v>385</v>
      </c>
    </row>
    <row r="119" customFormat="false" ht="15.75" hidden="false" customHeight="false" outlineLevel="0" collapsed="false">
      <c r="A119" s="9" t="n">
        <v>46161</v>
      </c>
      <c r="B119" s="10"/>
      <c r="C119" s="11" t="s">
        <v>386</v>
      </c>
      <c r="D119" s="11" t="s">
        <v>74</v>
      </c>
      <c r="E119" s="11" t="s">
        <v>19</v>
      </c>
      <c r="F119" s="11" t="s">
        <v>19</v>
      </c>
      <c r="G119" s="11" t="s">
        <v>385</v>
      </c>
    </row>
    <row r="120" customFormat="false" ht="15.75" hidden="false" customHeight="false" outlineLevel="0" collapsed="false">
      <c r="A120" s="9" t="n">
        <v>46161</v>
      </c>
      <c r="B120" s="10"/>
      <c r="C120" s="11" t="s">
        <v>386</v>
      </c>
      <c r="D120" s="11" t="s">
        <v>383</v>
      </c>
      <c r="E120" s="11" t="s">
        <v>44</v>
      </c>
      <c r="F120" s="11" t="s">
        <v>19</v>
      </c>
      <c r="G120" s="11" t="s">
        <v>384</v>
      </c>
    </row>
    <row r="121" customFormat="false" ht="15.75" hidden="false" customHeight="false" outlineLevel="0" collapsed="false">
      <c r="A121" s="9" t="n">
        <v>46161</v>
      </c>
      <c r="B121" s="10"/>
      <c r="C121" s="11" t="s">
        <v>386</v>
      </c>
      <c r="D121" s="11" t="s">
        <v>22</v>
      </c>
      <c r="E121" s="11" t="s">
        <v>44</v>
      </c>
      <c r="F121" s="11" t="s">
        <v>19</v>
      </c>
      <c r="G121" s="11" t="s">
        <v>385</v>
      </c>
    </row>
    <row r="122" customFormat="false" ht="15.75" hidden="false" customHeight="false" outlineLevel="0" collapsed="false">
      <c r="A122" s="9" t="n">
        <v>46161</v>
      </c>
      <c r="B122" s="10"/>
      <c r="C122" s="11" t="s">
        <v>91</v>
      </c>
      <c r="D122" s="11" t="s">
        <v>91</v>
      </c>
      <c r="E122" s="11" t="s">
        <v>19</v>
      </c>
      <c r="F122" s="11" t="s">
        <v>19</v>
      </c>
      <c r="G122" s="11" t="s">
        <v>385</v>
      </c>
    </row>
    <row r="123" customFormat="false" ht="15.75" hidden="false" customHeight="false" outlineLevel="0" collapsed="false">
      <c r="A123" s="9" t="n">
        <v>46161</v>
      </c>
      <c r="B123" s="10"/>
      <c r="C123" s="11" t="s">
        <v>386</v>
      </c>
      <c r="D123" s="11" t="s">
        <v>383</v>
      </c>
      <c r="E123" s="11" t="s">
        <v>44</v>
      </c>
      <c r="F123" s="11" t="s">
        <v>19</v>
      </c>
      <c r="G123" s="11" t="s">
        <v>384</v>
      </c>
    </row>
    <row r="124" customFormat="false" ht="15.75" hidden="false" customHeight="false" outlineLevel="0" collapsed="false">
      <c r="A124" s="9" t="n">
        <v>46161</v>
      </c>
      <c r="B124" s="10"/>
      <c r="C124" s="11" t="s">
        <v>386</v>
      </c>
      <c r="D124" s="11" t="s">
        <v>22</v>
      </c>
      <c r="E124" s="11" t="s">
        <v>44</v>
      </c>
      <c r="F124" s="11" t="s">
        <v>19</v>
      </c>
      <c r="G124" s="11" t="s">
        <v>385</v>
      </c>
    </row>
    <row r="125" customFormat="false" ht="15.75" hidden="false" customHeight="false" outlineLevel="0" collapsed="false">
      <c r="A125" s="9" t="n">
        <v>46161</v>
      </c>
      <c r="B125" s="10"/>
      <c r="C125" s="11" t="s">
        <v>386</v>
      </c>
      <c r="D125" s="11" t="s">
        <v>383</v>
      </c>
      <c r="E125" s="11" t="s">
        <v>44</v>
      </c>
      <c r="F125" s="11" t="s">
        <v>19</v>
      </c>
      <c r="G125" s="11" t="s">
        <v>384</v>
      </c>
    </row>
    <row r="126" customFormat="false" ht="15.75" hidden="false" customHeight="false" outlineLevel="0" collapsed="false">
      <c r="A126" s="9" t="n">
        <v>46160</v>
      </c>
      <c r="B126" s="10"/>
      <c r="C126" s="11" t="s">
        <v>386</v>
      </c>
      <c r="D126" s="11" t="s">
        <v>388</v>
      </c>
      <c r="E126" s="11" t="s">
        <v>44</v>
      </c>
      <c r="F126" s="11" t="s">
        <v>19</v>
      </c>
      <c r="G126" s="11" t="s">
        <v>385</v>
      </c>
    </row>
    <row r="127" customFormat="false" ht="15.75" hidden="false" customHeight="false" outlineLevel="0" collapsed="false">
      <c r="A127" s="9" t="n">
        <v>46160</v>
      </c>
      <c r="B127" s="10"/>
      <c r="C127" s="11" t="s">
        <v>386</v>
      </c>
      <c r="D127" s="11" t="s">
        <v>22</v>
      </c>
      <c r="E127" s="11" t="s">
        <v>44</v>
      </c>
      <c r="F127" s="11" t="s">
        <v>19</v>
      </c>
      <c r="G127" s="11" t="s">
        <v>385</v>
      </c>
    </row>
    <row r="128" customFormat="false" ht="15.75" hidden="false" customHeight="false" outlineLevel="0" collapsed="false">
      <c r="A128" s="9" t="n">
        <v>46160</v>
      </c>
      <c r="B128" s="10"/>
      <c r="C128" s="11" t="s">
        <v>386</v>
      </c>
      <c r="D128" s="11" t="s">
        <v>387</v>
      </c>
      <c r="E128" s="11" t="s">
        <v>44</v>
      </c>
      <c r="F128" s="11" t="s">
        <v>19</v>
      </c>
      <c r="G128" s="11" t="s">
        <v>385</v>
      </c>
    </row>
    <row r="129" customFormat="false" ht="15.75" hidden="false" customHeight="false" outlineLevel="0" collapsed="false">
      <c r="A129" s="9" t="n">
        <v>46160</v>
      </c>
      <c r="B129" s="10"/>
      <c r="C129" s="11" t="s">
        <v>386</v>
      </c>
      <c r="D129" s="11" t="s">
        <v>22</v>
      </c>
      <c r="E129" s="11" t="s">
        <v>44</v>
      </c>
      <c r="F129" s="11" t="s">
        <v>19</v>
      </c>
      <c r="G129" s="11" t="s">
        <v>385</v>
      </c>
    </row>
    <row r="130" customFormat="false" ht="15.75" hidden="false" customHeight="false" outlineLevel="0" collapsed="false">
      <c r="A130" s="9" t="n">
        <v>46160</v>
      </c>
      <c r="B130" s="10"/>
      <c r="C130" s="11" t="s">
        <v>386</v>
      </c>
      <c r="D130" s="11" t="s">
        <v>22</v>
      </c>
      <c r="E130" s="11" t="s">
        <v>44</v>
      </c>
      <c r="F130" s="11" t="s">
        <v>19</v>
      </c>
      <c r="G130" s="11" t="s">
        <v>384</v>
      </c>
    </row>
    <row r="131" customFormat="false" ht="15.75" hidden="false" customHeight="false" outlineLevel="0" collapsed="false">
      <c r="A131" s="9" t="n">
        <v>46160</v>
      </c>
      <c r="B131" s="10"/>
      <c r="C131" s="11" t="s">
        <v>386</v>
      </c>
      <c r="D131" s="11" t="s">
        <v>91</v>
      </c>
      <c r="E131" s="11" t="s">
        <v>44</v>
      </c>
      <c r="F131" s="11" t="s">
        <v>44</v>
      </c>
      <c r="G131" s="11" t="s">
        <v>385</v>
      </c>
    </row>
    <row r="132" customFormat="false" ht="15.75" hidden="false" customHeight="false" outlineLevel="0" collapsed="false">
      <c r="A132" s="9" t="n">
        <v>46160</v>
      </c>
      <c r="B132" s="10"/>
      <c r="C132" s="11" t="s">
        <v>386</v>
      </c>
      <c r="D132" s="11" t="s">
        <v>383</v>
      </c>
      <c r="E132" s="11" t="s">
        <v>19</v>
      </c>
      <c r="F132" s="11" t="s">
        <v>19</v>
      </c>
      <c r="G132" s="11" t="s">
        <v>385</v>
      </c>
    </row>
    <row r="133" customFormat="false" ht="15.75" hidden="false" customHeight="false" outlineLevel="0" collapsed="false">
      <c r="A133" s="9" t="n">
        <v>46160</v>
      </c>
      <c r="B133" s="10"/>
      <c r="C133" s="11" t="s">
        <v>386</v>
      </c>
      <c r="D133" s="11" t="s">
        <v>22</v>
      </c>
      <c r="E133" s="11" t="s">
        <v>44</v>
      </c>
      <c r="F133" s="11" t="s">
        <v>44</v>
      </c>
      <c r="G133" s="11" t="s">
        <v>385</v>
      </c>
    </row>
    <row r="134" customFormat="false" ht="15.75" hidden="false" customHeight="false" outlineLevel="0" collapsed="false">
      <c r="A134" s="9" t="n">
        <v>46158</v>
      </c>
      <c r="B134" s="10"/>
      <c r="C134" s="11" t="s">
        <v>386</v>
      </c>
      <c r="D134" s="11" t="s">
        <v>387</v>
      </c>
      <c r="E134" s="11" t="s">
        <v>44</v>
      </c>
      <c r="F134" s="11" t="s">
        <v>19</v>
      </c>
      <c r="G134" s="11" t="s">
        <v>385</v>
      </c>
    </row>
    <row r="135" customFormat="false" ht="15.75" hidden="false" customHeight="false" outlineLevel="0" collapsed="false">
      <c r="A135" s="9" t="n">
        <v>46158</v>
      </c>
      <c r="B135" s="10"/>
      <c r="C135" s="11" t="s">
        <v>91</v>
      </c>
      <c r="D135" s="11" t="s">
        <v>91</v>
      </c>
      <c r="E135" s="11" t="s">
        <v>44</v>
      </c>
      <c r="F135" s="11" t="s">
        <v>44</v>
      </c>
      <c r="G135" s="11" t="s">
        <v>385</v>
      </c>
    </row>
    <row r="136" customFormat="false" ht="15.75" hidden="false" customHeight="false" outlineLevel="0" collapsed="false">
      <c r="A136" s="9" t="n">
        <v>46158</v>
      </c>
      <c r="B136" s="10"/>
      <c r="C136" s="11" t="s">
        <v>386</v>
      </c>
      <c r="D136" s="11" t="s">
        <v>383</v>
      </c>
      <c r="E136" s="11" t="s">
        <v>19</v>
      </c>
      <c r="F136" s="11" t="s">
        <v>19</v>
      </c>
      <c r="G136" s="11" t="s">
        <v>385</v>
      </c>
    </row>
    <row r="137" customFormat="false" ht="15.75" hidden="false" customHeight="false" outlineLevel="0" collapsed="false">
      <c r="A137" s="9" t="n">
        <v>46158</v>
      </c>
      <c r="B137" s="10"/>
      <c r="C137" s="11" t="s">
        <v>386</v>
      </c>
      <c r="D137" s="11" t="s">
        <v>383</v>
      </c>
      <c r="E137" s="11" t="s">
        <v>44</v>
      </c>
      <c r="F137" s="11" t="s">
        <v>19</v>
      </c>
      <c r="G137" s="11" t="s">
        <v>385</v>
      </c>
    </row>
    <row r="138" customFormat="false" ht="15.75" hidden="false" customHeight="false" outlineLevel="0" collapsed="false">
      <c r="A138" s="9" t="n">
        <v>46158</v>
      </c>
      <c r="B138" s="10"/>
      <c r="C138" s="11" t="s">
        <v>386</v>
      </c>
      <c r="D138" s="11" t="s">
        <v>22</v>
      </c>
      <c r="E138" s="11" t="s">
        <v>44</v>
      </c>
      <c r="F138" s="11" t="s">
        <v>44</v>
      </c>
      <c r="G138" s="11" t="s">
        <v>385</v>
      </c>
    </row>
    <row r="139" customFormat="false" ht="15.75" hidden="false" customHeight="false" outlineLevel="0" collapsed="false">
      <c r="A139" s="9" t="n">
        <v>46157</v>
      </c>
      <c r="B139" s="10"/>
      <c r="C139" s="11" t="s">
        <v>386</v>
      </c>
      <c r="D139" s="11" t="s">
        <v>383</v>
      </c>
      <c r="E139" s="11" t="s">
        <v>44</v>
      </c>
      <c r="F139" s="11" t="s">
        <v>19</v>
      </c>
      <c r="G139" s="11" t="s">
        <v>384</v>
      </c>
    </row>
    <row r="140" customFormat="false" ht="15.75" hidden="false" customHeight="false" outlineLevel="0" collapsed="false">
      <c r="A140" s="9" t="n">
        <v>46157</v>
      </c>
      <c r="B140" s="10"/>
      <c r="C140" s="11" t="s">
        <v>386</v>
      </c>
      <c r="D140" s="11" t="s">
        <v>383</v>
      </c>
      <c r="E140" s="11" t="s">
        <v>44</v>
      </c>
      <c r="F140" s="11" t="s">
        <v>19</v>
      </c>
      <c r="G140" s="11" t="s">
        <v>385</v>
      </c>
    </row>
    <row r="141" customFormat="false" ht="15.75" hidden="false" customHeight="false" outlineLevel="0" collapsed="false">
      <c r="A141" s="9" t="n">
        <v>46157</v>
      </c>
      <c r="B141" s="10"/>
      <c r="C141" s="11" t="s">
        <v>386</v>
      </c>
      <c r="D141" s="11" t="s">
        <v>387</v>
      </c>
      <c r="E141" s="11" t="s">
        <v>44</v>
      </c>
      <c r="F141" s="11" t="s">
        <v>19</v>
      </c>
      <c r="G141" s="11" t="s">
        <v>385</v>
      </c>
    </row>
    <row r="142" customFormat="false" ht="15.75" hidden="false" customHeight="false" outlineLevel="0" collapsed="false">
      <c r="A142" s="9" t="n">
        <v>46157</v>
      </c>
      <c r="B142" s="10"/>
      <c r="C142" s="11" t="s">
        <v>386</v>
      </c>
      <c r="D142" s="11" t="s">
        <v>387</v>
      </c>
      <c r="E142" s="11" t="s">
        <v>44</v>
      </c>
      <c r="F142" s="11" t="s">
        <v>19</v>
      </c>
      <c r="G142" s="11" t="s">
        <v>385</v>
      </c>
    </row>
    <row r="143" customFormat="false" ht="15.75" hidden="false" customHeight="false" outlineLevel="0" collapsed="false">
      <c r="A143" s="9" t="n">
        <v>46157</v>
      </c>
      <c r="B143" s="10"/>
      <c r="C143" s="11" t="s">
        <v>386</v>
      </c>
      <c r="D143" s="11" t="s">
        <v>22</v>
      </c>
      <c r="E143" s="11" t="s">
        <v>44</v>
      </c>
      <c r="F143" s="11" t="s">
        <v>19</v>
      </c>
      <c r="G143" s="11" t="s">
        <v>385</v>
      </c>
    </row>
    <row r="144" customFormat="false" ht="15.75" hidden="false" customHeight="false" outlineLevel="0" collapsed="false">
      <c r="A144" s="9" t="n">
        <v>46157</v>
      </c>
      <c r="B144" s="10"/>
      <c r="C144" s="11" t="s">
        <v>386</v>
      </c>
      <c r="D144" s="11" t="s">
        <v>388</v>
      </c>
      <c r="E144" s="11" t="s">
        <v>44</v>
      </c>
      <c r="F144" s="11" t="s">
        <v>19</v>
      </c>
      <c r="G144" s="11" t="s">
        <v>385</v>
      </c>
    </row>
    <row r="145" customFormat="false" ht="15.75" hidden="false" customHeight="false" outlineLevel="0" collapsed="false">
      <c r="A145" s="9" t="n">
        <v>46157</v>
      </c>
      <c r="B145" s="10"/>
      <c r="C145" s="11" t="s">
        <v>386</v>
      </c>
      <c r="D145" s="11" t="s">
        <v>383</v>
      </c>
      <c r="E145" s="11" t="s">
        <v>44</v>
      </c>
      <c r="F145" s="11" t="s">
        <v>19</v>
      </c>
      <c r="G145" s="11" t="s">
        <v>384</v>
      </c>
    </row>
    <row r="146" customFormat="false" ht="15.75" hidden="false" customHeight="false" outlineLevel="0" collapsed="false">
      <c r="A146" s="9" t="n">
        <v>46157</v>
      </c>
      <c r="B146" s="10"/>
      <c r="C146" s="11" t="s">
        <v>91</v>
      </c>
      <c r="D146" s="11" t="s">
        <v>91</v>
      </c>
      <c r="E146" s="11" t="s">
        <v>44</v>
      </c>
      <c r="F146" s="11" t="s">
        <v>44</v>
      </c>
      <c r="G146" s="11" t="s">
        <v>385</v>
      </c>
    </row>
    <row r="147" customFormat="false" ht="15.75" hidden="false" customHeight="false" outlineLevel="0" collapsed="false">
      <c r="A147" s="9" t="n">
        <v>46156</v>
      </c>
      <c r="B147" s="10"/>
      <c r="C147" s="11" t="s">
        <v>386</v>
      </c>
      <c r="D147" s="11" t="s">
        <v>387</v>
      </c>
      <c r="E147" s="11" t="s">
        <v>44</v>
      </c>
      <c r="F147" s="11" t="s">
        <v>44</v>
      </c>
      <c r="G147" s="11" t="s">
        <v>385</v>
      </c>
    </row>
    <row r="148" customFormat="false" ht="15.75" hidden="false" customHeight="false" outlineLevel="0" collapsed="false">
      <c r="A148" s="9" t="n">
        <v>46156</v>
      </c>
      <c r="B148" s="10"/>
      <c r="C148" s="11" t="s">
        <v>386</v>
      </c>
      <c r="D148" s="11" t="s">
        <v>383</v>
      </c>
      <c r="E148" s="11" t="s">
        <v>44</v>
      </c>
      <c r="F148" s="11" t="s">
        <v>19</v>
      </c>
      <c r="G148" s="11" t="s">
        <v>384</v>
      </c>
    </row>
    <row r="149" customFormat="false" ht="15.75" hidden="false" customHeight="false" outlineLevel="0" collapsed="false">
      <c r="A149" s="9" t="n">
        <v>46156</v>
      </c>
      <c r="B149" s="10"/>
      <c r="C149" s="11" t="s">
        <v>91</v>
      </c>
      <c r="D149" s="11" t="s">
        <v>91</v>
      </c>
      <c r="E149" s="11" t="s">
        <v>44</v>
      </c>
      <c r="F149" s="11" t="s">
        <v>44</v>
      </c>
      <c r="G149" s="11" t="s">
        <v>385</v>
      </c>
    </row>
    <row r="150" customFormat="false" ht="15.75" hidden="false" customHeight="false" outlineLevel="0" collapsed="false">
      <c r="A150" s="9" t="n">
        <v>46156</v>
      </c>
      <c r="B150" s="10"/>
      <c r="C150" s="11" t="s">
        <v>386</v>
      </c>
      <c r="D150" s="11" t="s">
        <v>387</v>
      </c>
      <c r="E150" s="11" t="s">
        <v>44</v>
      </c>
      <c r="F150" s="11" t="s">
        <v>44</v>
      </c>
      <c r="G150" s="11" t="s">
        <v>385</v>
      </c>
    </row>
    <row r="151" customFormat="false" ht="15.75" hidden="false" customHeight="false" outlineLevel="0" collapsed="false">
      <c r="A151" s="9" t="n">
        <v>46156</v>
      </c>
      <c r="B151" s="10"/>
      <c r="C151" s="11" t="s">
        <v>386</v>
      </c>
      <c r="D151" s="11" t="s">
        <v>383</v>
      </c>
      <c r="E151" s="11" t="s">
        <v>44</v>
      </c>
      <c r="F151" s="11" t="s">
        <v>19</v>
      </c>
      <c r="G151" s="11" t="s">
        <v>385</v>
      </c>
    </row>
    <row r="152" customFormat="false" ht="15.75" hidden="false" customHeight="false" outlineLevel="0" collapsed="false">
      <c r="A152" s="9" t="n">
        <v>46155</v>
      </c>
      <c r="B152" s="10"/>
      <c r="C152" s="11" t="s">
        <v>386</v>
      </c>
      <c r="D152" s="11" t="s">
        <v>387</v>
      </c>
      <c r="E152" s="11" t="s">
        <v>44</v>
      </c>
      <c r="F152" s="11" t="s">
        <v>44</v>
      </c>
      <c r="G152" s="11" t="s">
        <v>385</v>
      </c>
    </row>
    <row r="153" customFormat="false" ht="15.75" hidden="false" customHeight="false" outlineLevel="0" collapsed="false">
      <c r="A153" s="9" t="n">
        <v>46155</v>
      </c>
      <c r="B153" s="10"/>
      <c r="C153" s="11" t="s">
        <v>386</v>
      </c>
      <c r="D153" s="11" t="s">
        <v>387</v>
      </c>
      <c r="E153" s="11" t="s">
        <v>44</v>
      </c>
      <c r="F153" s="11" t="s">
        <v>44</v>
      </c>
      <c r="G153" s="11" t="s">
        <v>385</v>
      </c>
    </row>
    <row r="154" customFormat="false" ht="15.75" hidden="false" customHeight="false" outlineLevel="0" collapsed="false">
      <c r="A154" s="9" t="n">
        <v>46155</v>
      </c>
      <c r="B154" s="10"/>
      <c r="C154" s="11" t="s">
        <v>386</v>
      </c>
      <c r="D154" s="11" t="s">
        <v>387</v>
      </c>
      <c r="E154" s="11" t="s">
        <v>44</v>
      </c>
      <c r="F154" s="11" t="s">
        <v>19</v>
      </c>
      <c r="G154" s="11" t="s">
        <v>385</v>
      </c>
    </row>
    <row r="155" customFormat="false" ht="15.75" hidden="false" customHeight="false" outlineLevel="0" collapsed="false">
      <c r="A155" s="9" t="n">
        <v>46155</v>
      </c>
      <c r="B155" s="10"/>
      <c r="C155" s="11" t="s">
        <v>386</v>
      </c>
      <c r="D155" s="11" t="s">
        <v>383</v>
      </c>
      <c r="E155" s="11" t="s">
        <v>44</v>
      </c>
      <c r="F155" s="11" t="s">
        <v>19</v>
      </c>
      <c r="G155" s="11" t="s">
        <v>385</v>
      </c>
    </row>
    <row r="156" customFormat="false" ht="15.75" hidden="false" customHeight="false" outlineLevel="0" collapsed="false">
      <c r="A156" s="9" t="n">
        <v>46155</v>
      </c>
      <c r="B156" s="10"/>
      <c r="C156" s="11" t="s">
        <v>386</v>
      </c>
      <c r="D156" s="11" t="s">
        <v>22</v>
      </c>
      <c r="E156" s="11" t="s">
        <v>44</v>
      </c>
      <c r="F156" s="11" t="s">
        <v>44</v>
      </c>
      <c r="G156" s="11" t="s">
        <v>385</v>
      </c>
    </row>
    <row r="157" customFormat="false" ht="15.75" hidden="false" customHeight="false" outlineLevel="0" collapsed="false">
      <c r="A157" s="9" t="n">
        <v>46155</v>
      </c>
      <c r="B157" s="10"/>
      <c r="C157" s="11" t="s">
        <v>386</v>
      </c>
      <c r="D157" s="11" t="s">
        <v>383</v>
      </c>
      <c r="E157" s="11" t="s">
        <v>19</v>
      </c>
      <c r="F157" s="11" t="s">
        <v>19</v>
      </c>
      <c r="G157" s="11" t="s">
        <v>384</v>
      </c>
    </row>
    <row r="158" customFormat="false" ht="15.75" hidden="false" customHeight="false" outlineLevel="0" collapsed="false">
      <c r="A158" s="9" t="n">
        <v>46155</v>
      </c>
      <c r="B158" s="10"/>
      <c r="C158" s="11" t="s">
        <v>386</v>
      </c>
      <c r="D158" s="11" t="s">
        <v>383</v>
      </c>
      <c r="E158" s="11" t="s">
        <v>44</v>
      </c>
      <c r="F158" s="11" t="s">
        <v>19</v>
      </c>
      <c r="G158" s="11" t="s">
        <v>385</v>
      </c>
    </row>
    <row r="159" customFormat="false" ht="15.75" hidden="false" customHeight="false" outlineLevel="0" collapsed="false">
      <c r="A159" s="9" t="n">
        <v>46154</v>
      </c>
      <c r="B159" s="10"/>
      <c r="C159" s="11" t="s">
        <v>386</v>
      </c>
      <c r="D159" s="11" t="s">
        <v>383</v>
      </c>
      <c r="E159" s="11" t="s">
        <v>44</v>
      </c>
      <c r="F159" s="11" t="s">
        <v>19</v>
      </c>
      <c r="G159" s="11" t="s">
        <v>384</v>
      </c>
    </row>
    <row r="160" customFormat="false" ht="15.75" hidden="false" customHeight="false" outlineLevel="0" collapsed="false">
      <c r="A160" s="9" t="n">
        <v>46154</v>
      </c>
      <c r="B160" s="10"/>
      <c r="C160" s="11" t="s">
        <v>386</v>
      </c>
      <c r="D160" s="11" t="s">
        <v>383</v>
      </c>
      <c r="E160" s="11" t="s">
        <v>44</v>
      </c>
      <c r="F160" s="11" t="s">
        <v>19</v>
      </c>
      <c r="G160" s="11" t="s">
        <v>385</v>
      </c>
    </row>
    <row r="161" customFormat="false" ht="15.75" hidden="false" customHeight="false" outlineLevel="0" collapsed="false">
      <c r="A161" s="9" t="n">
        <v>46154</v>
      </c>
      <c r="B161" s="10"/>
      <c r="C161" s="11" t="s">
        <v>386</v>
      </c>
      <c r="D161" s="11" t="s">
        <v>383</v>
      </c>
      <c r="E161" s="11" t="s">
        <v>19</v>
      </c>
      <c r="F161" s="11" t="s">
        <v>19</v>
      </c>
      <c r="G161" s="11" t="s">
        <v>385</v>
      </c>
    </row>
    <row r="162" customFormat="false" ht="15.75" hidden="false" customHeight="false" outlineLevel="0" collapsed="false">
      <c r="A162" s="9" t="n">
        <v>46154</v>
      </c>
      <c r="B162" s="10"/>
      <c r="C162" s="11" t="s">
        <v>386</v>
      </c>
      <c r="D162" s="11" t="s">
        <v>383</v>
      </c>
      <c r="E162" s="11" t="s">
        <v>44</v>
      </c>
      <c r="F162" s="11" t="s">
        <v>19</v>
      </c>
      <c r="G162" s="11" t="s">
        <v>384</v>
      </c>
    </row>
    <row r="163" customFormat="false" ht="15.75" hidden="false" customHeight="false" outlineLevel="0" collapsed="false">
      <c r="A163" s="9" t="n">
        <v>46154</v>
      </c>
      <c r="B163" s="10"/>
      <c r="C163" s="11" t="s">
        <v>91</v>
      </c>
      <c r="D163" s="11" t="s">
        <v>91</v>
      </c>
      <c r="E163" s="11" t="s">
        <v>44</v>
      </c>
      <c r="F163" s="11" t="s">
        <v>44</v>
      </c>
      <c r="G163" s="11" t="s">
        <v>385</v>
      </c>
    </row>
    <row r="164" customFormat="false" ht="15.75" hidden="false" customHeight="false" outlineLevel="0" collapsed="false">
      <c r="A164" s="9" t="n">
        <v>46154</v>
      </c>
      <c r="B164" s="10"/>
      <c r="C164" s="11" t="s">
        <v>386</v>
      </c>
      <c r="D164" s="11" t="s">
        <v>22</v>
      </c>
      <c r="E164" s="11" t="s">
        <v>19</v>
      </c>
      <c r="F164" s="11" t="s">
        <v>19</v>
      </c>
      <c r="G164" s="11" t="s">
        <v>385</v>
      </c>
    </row>
    <row r="165" customFormat="false" ht="15.75" hidden="false" customHeight="false" outlineLevel="0" collapsed="false">
      <c r="A165" s="9" t="n">
        <v>46154</v>
      </c>
      <c r="B165" s="10"/>
      <c r="C165" s="11" t="s">
        <v>386</v>
      </c>
      <c r="D165" s="11" t="s">
        <v>388</v>
      </c>
      <c r="E165" s="11" t="s">
        <v>44</v>
      </c>
      <c r="F165" s="11" t="s">
        <v>19</v>
      </c>
      <c r="G165" s="11" t="s">
        <v>385</v>
      </c>
    </row>
    <row r="166" customFormat="false" ht="15.75" hidden="false" customHeight="false" outlineLevel="0" collapsed="false">
      <c r="A166" s="9" t="n">
        <v>46154</v>
      </c>
      <c r="B166" s="10"/>
      <c r="C166" s="11" t="s">
        <v>386</v>
      </c>
      <c r="D166" s="11" t="s">
        <v>383</v>
      </c>
      <c r="E166" s="11" t="s">
        <v>44</v>
      </c>
      <c r="F166" s="11" t="s">
        <v>19</v>
      </c>
      <c r="G166" s="11" t="s">
        <v>384</v>
      </c>
    </row>
    <row r="167" customFormat="false" ht="15.75" hidden="false" customHeight="false" outlineLevel="0" collapsed="false">
      <c r="A167" s="9" t="n">
        <v>46154</v>
      </c>
      <c r="B167" s="10"/>
      <c r="C167" s="11" t="s">
        <v>386</v>
      </c>
      <c r="D167" s="11" t="s">
        <v>383</v>
      </c>
      <c r="E167" s="11" t="s">
        <v>44</v>
      </c>
      <c r="F167" s="11" t="s">
        <v>19</v>
      </c>
      <c r="G167" s="11" t="s">
        <v>385</v>
      </c>
    </row>
    <row r="168" customFormat="false" ht="15.75" hidden="false" customHeight="false" outlineLevel="0" collapsed="false">
      <c r="A168" s="9" t="n">
        <v>46153</v>
      </c>
      <c r="B168" s="10"/>
      <c r="C168" s="11" t="s">
        <v>386</v>
      </c>
      <c r="D168" s="11" t="s">
        <v>388</v>
      </c>
      <c r="E168" s="11" t="s">
        <v>44</v>
      </c>
      <c r="F168" s="11" t="s">
        <v>19</v>
      </c>
      <c r="G168" s="11" t="s">
        <v>385</v>
      </c>
    </row>
    <row r="169" customFormat="false" ht="15.75" hidden="false" customHeight="false" outlineLevel="0" collapsed="false">
      <c r="A169" s="9" t="n">
        <v>46153</v>
      </c>
      <c r="B169" s="10"/>
      <c r="C169" s="11" t="s">
        <v>91</v>
      </c>
      <c r="D169" s="11" t="s">
        <v>91</v>
      </c>
      <c r="E169" s="11" t="s">
        <v>44</v>
      </c>
      <c r="F169" s="11" t="s">
        <v>44</v>
      </c>
      <c r="G169" s="11" t="s">
        <v>385</v>
      </c>
    </row>
    <row r="170" customFormat="false" ht="15.75" hidden="false" customHeight="false" outlineLevel="0" collapsed="false">
      <c r="A170" s="9" t="n">
        <v>46153</v>
      </c>
      <c r="B170" s="10"/>
      <c r="C170" s="11" t="s">
        <v>386</v>
      </c>
      <c r="D170" s="11" t="s">
        <v>388</v>
      </c>
      <c r="E170" s="11" t="s">
        <v>44</v>
      </c>
      <c r="F170" s="11" t="s">
        <v>19</v>
      </c>
      <c r="G170" s="11" t="s">
        <v>385</v>
      </c>
    </row>
    <row r="171" customFormat="false" ht="15.75" hidden="false" customHeight="false" outlineLevel="0" collapsed="false">
      <c r="A171" s="9" t="n">
        <v>46153</v>
      </c>
      <c r="B171" s="10"/>
      <c r="C171" s="11" t="s">
        <v>386</v>
      </c>
      <c r="D171" s="11" t="s">
        <v>387</v>
      </c>
      <c r="E171" s="11" t="s">
        <v>44</v>
      </c>
      <c r="F171" s="11" t="s">
        <v>44</v>
      </c>
      <c r="G171" s="11" t="s">
        <v>385</v>
      </c>
    </row>
    <row r="172" customFormat="false" ht="15.75" hidden="false" customHeight="false" outlineLevel="0" collapsed="false">
      <c r="A172" s="9" t="n">
        <v>46153</v>
      </c>
      <c r="B172" s="10"/>
      <c r="C172" s="11" t="s">
        <v>386</v>
      </c>
      <c r="D172" s="11" t="s">
        <v>387</v>
      </c>
      <c r="E172" s="11" t="s">
        <v>44</v>
      </c>
      <c r="F172" s="11" t="s">
        <v>19</v>
      </c>
      <c r="G172" s="11" t="s">
        <v>385</v>
      </c>
    </row>
    <row r="173" customFormat="false" ht="15.75" hidden="false" customHeight="false" outlineLevel="0" collapsed="false">
      <c r="A173" s="9" t="n">
        <v>46153</v>
      </c>
      <c r="B173" s="10"/>
      <c r="C173" s="11" t="s">
        <v>386</v>
      </c>
      <c r="D173" s="11" t="s">
        <v>22</v>
      </c>
      <c r="E173" s="11" t="s">
        <v>44</v>
      </c>
      <c r="F173" s="11" t="s">
        <v>44</v>
      </c>
      <c r="G173" s="11" t="s">
        <v>385</v>
      </c>
    </row>
    <row r="174" customFormat="false" ht="15.75" hidden="false" customHeight="false" outlineLevel="0" collapsed="false">
      <c r="A174" s="9" t="n">
        <v>46153</v>
      </c>
      <c r="B174" s="10"/>
      <c r="C174" s="11" t="s">
        <v>386</v>
      </c>
      <c r="D174" s="11" t="s">
        <v>383</v>
      </c>
      <c r="E174" s="11" t="s">
        <v>44</v>
      </c>
      <c r="F174" s="11" t="s">
        <v>19</v>
      </c>
      <c r="G174" s="11" t="s">
        <v>384</v>
      </c>
    </row>
    <row r="175" customFormat="false" ht="15.75" hidden="false" customHeight="false" outlineLevel="0" collapsed="false">
      <c r="A175" s="9" t="n">
        <v>46153</v>
      </c>
      <c r="B175" s="10"/>
      <c r="C175" s="11" t="s">
        <v>386</v>
      </c>
      <c r="D175" s="11" t="s">
        <v>383</v>
      </c>
      <c r="E175" s="11" t="s">
        <v>44</v>
      </c>
      <c r="F175" s="11" t="s">
        <v>19</v>
      </c>
      <c r="G175" s="11" t="s">
        <v>384</v>
      </c>
    </row>
    <row r="176" customFormat="false" ht="15.75" hidden="false" customHeight="false" outlineLevel="0" collapsed="false">
      <c r="A176" s="9" t="n">
        <v>46142</v>
      </c>
      <c r="B176" s="10"/>
      <c r="C176" s="11" t="s">
        <v>91</v>
      </c>
      <c r="D176" s="11" t="s">
        <v>91</v>
      </c>
      <c r="E176" s="11" t="s">
        <v>44</v>
      </c>
      <c r="F176" s="11" t="s">
        <v>44</v>
      </c>
      <c r="G176" s="11" t="s">
        <v>385</v>
      </c>
    </row>
    <row r="177" customFormat="false" ht="15.75" hidden="false" customHeight="false" outlineLevel="0" collapsed="false">
      <c r="A177" s="9" t="n">
        <v>46142</v>
      </c>
      <c r="B177" s="10"/>
      <c r="C177" s="11" t="s">
        <v>386</v>
      </c>
      <c r="D177" s="11" t="s">
        <v>383</v>
      </c>
      <c r="E177" s="11" t="s">
        <v>44</v>
      </c>
      <c r="F177" s="11" t="s">
        <v>19</v>
      </c>
      <c r="G177" s="11" t="s">
        <v>384</v>
      </c>
    </row>
    <row r="178" customFormat="false" ht="15.75" hidden="false" customHeight="false" outlineLevel="0" collapsed="false">
      <c r="A178" s="9" t="n">
        <v>46142</v>
      </c>
      <c r="B178" s="10"/>
      <c r="C178" s="11" t="s">
        <v>91</v>
      </c>
      <c r="D178" s="11" t="s">
        <v>383</v>
      </c>
      <c r="E178" s="11" t="s">
        <v>19</v>
      </c>
      <c r="F178" s="11" t="s">
        <v>19</v>
      </c>
      <c r="G178" s="11" t="s">
        <v>384</v>
      </c>
    </row>
    <row r="179" customFormat="false" ht="15.75" hidden="false" customHeight="false" outlineLevel="0" collapsed="false">
      <c r="A179" s="9" t="n">
        <v>46142</v>
      </c>
      <c r="B179" s="10"/>
      <c r="C179" s="11" t="s">
        <v>386</v>
      </c>
      <c r="D179" s="11" t="s">
        <v>22</v>
      </c>
      <c r="E179" s="11" t="s">
        <v>44</v>
      </c>
      <c r="F179" s="11" t="s">
        <v>19</v>
      </c>
      <c r="G179" s="11" t="s">
        <v>384</v>
      </c>
    </row>
    <row r="180" customFormat="false" ht="15.75" hidden="false" customHeight="false" outlineLevel="0" collapsed="false">
      <c r="A180" s="9" t="n">
        <v>46142</v>
      </c>
      <c r="B180" s="10"/>
      <c r="C180" s="11" t="s">
        <v>386</v>
      </c>
      <c r="D180" s="11" t="s">
        <v>22</v>
      </c>
      <c r="E180" s="11" t="s">
        <v>44</v>
      </c>
      <c r="F180" s="11" t="s">
        <v>19</v>
      </c>
      <c r="G180" s="11" t="s">
        <v>384</v>
      </c>
    </row>
    <row r="181" customFormat="false" ht="15.75" hidden="false" customHeight="false" outlineLevel="0" collapsed="false">
      <c r="A181" s="9" t="n">
        <v>46142</v>
      </c>
      <c r="B181" s="10"/>
      <c r="C181" s="11" t="s">
        <v>386</v>
      </c>
      <c r="D181" s="11" t="s">
        <v>383</v>
      </c>
      <c r="E181" s="11" t="s">
        <v>44</v>
      </c>
      <c r="F181" s="11" t="s">
        <v>19</v>
      </c>
      <c r="G181" s="11" t="s">
        <v>385</v>
      </c>
    </row>
    <row r="182" customFormat="false" ht="15.75" hidden="false" customHeight="false" outlineLevel="0" collapsed="false">
      <c r="A182" s="9" t="n">
        <v>46141</v>
      </c>
      <c r="B182" s="10"/>
      <c r="C182" s="11" t="s">
        <v>91</v>
      </c>
      <c r="D182" s="11" t="s">
        <v>383</v>
      </c>
      <c r="E182" s="11" t="s">
        <v>19</v>
      </c>
      <c r="F182" s="11" t="s">
        <v>19</v>
      </c>
      <c r="G182" s="11" t="s">
        <v>384</v>
      </c>
    </row>
    <row r="183" customFormat="false" ht="15.75" hidden="false" customHeight="false" outlineLevel="0" collapsed="false">
      <c r="A183" s="9" t="n">
        <v>46141</v>
      </c>
      <c r="B183" s="10"/>
      <c r="C183" s="11" t="s">
        <v>386</v>
      </c>
      <c r="D183" s="11" t="s">
        <v>74</v>
      </c>
      <c r="E183" s="11" t="s">
        <v>19</v>
      </c>
      <c r="F183" s="11" t="s">
        <v>19</v>
      </c>
      <c r="G183" s="11" t="s">
        <v>385</v>
      </c>
    </row>
    <row r="184" customFormat="false" ht="15.75" hidden="false" customHeight="false" outlineLevel="0" collapsed="false">
      <c r="A184" s="9" t="n">
        <v>46141</v>
      </c>
      <c r="B184" s="10"/>
      <c r="C184" s="11" t="s">
        <v>91</v>
      </c>
      <c r="D184" s="11" t="s">
        <v>91</v>
      </c>
      <c r="E184" s="11" t="s">
        <v>44</v>
      </c>
      <c r="F184" s="11" t="s">
        <v>44</v>
      </c>
      <c r="G184" s="11" t="s">
        <v>385</v>
      </c>
    </row>
    <row r="185" customFormat="false" ht="15.75" hidden="false" customHeight="false" outlineLevel="0" collapsed="false">
      <c r="A185" s="9" t="n">
        <v>46141</v>
      </c>
      <c r="B185" s="10"/>
      <c r="C185" s="11" t="s">
        <v>386</v>
      </c>
      <c r="D185" s="11" t="s">
        <v>383</v>
      </c>
      <c r="E185" s="11" t="s">
        <v>19</v>
      </c>
      <c r="F185" s="11" t="s">
        <v>19</v>
      </c>
      <c r="G185" s="11" t="s">
        <v>385</v>
      </c>
    </row>
    <row r="186" customFormat="false" ht="15.75" hidden="false" customHeight="false" outlineLevel="0" collapsed="false">
      <c r="A186" s="9" t="n">
        <v>46141</v>
      </c>
      <c r="B186" s="10"/>
      <c r="C186" s="11" t="s">
        <v>386</v>
      </c>
      <c r="D186" s="11" t="s">
        <v>383</v>
      </c>
      <c r="E186" s="11" t="s">
        <v>44</v>
      </c>
      <c r="F186" s="11" t="s">
        <v>19</v>
      </c>
      <c r="G186" s="11" t="s">
        <v>385</v>
      </c>
    </row>
    <row r="187" customFormat="false" ht="15.75" hidden="false" customHeight="false" outlineLevel="0" collapsed="false">
      <c r="A187" s="9" t="n">
        <v>46141</v>
      </c>
      <c r="B187" s="10"/>
      <c r="C187" s="11" t="s">
        <v>386</v>
      </c>
      <c r="D187" s="11" t="s">
        <v>383</v>
      </c>
      <c r="E187" s="11" t="s">
        <v>44</v>
      </c>
      <c r="F187" s="11" t="s">
        <v>19</v>
      </c>
      <c r="G187" s="11" t="s">
        <v>384</v>
      </c>
    </row>
    <row r="188" customFormat="false" ht="15.75" hidden="false" customHeight="false" outlineLevel="0" collapsed="false">
      <c r="A188" s="9" t="n">
        <v>46141</v>
      </c>
      <c r="B188" s="10"/>
      <c r="C188" s="11" t="s">
        <v>386</v>
      </c>
      <c r="D188" s="11" t="s">
        <v>383</v>
      </c>
      <c r="E188" s="11" t="s">
        <v>44</v>
      </c>
      <c r="F188" s="11" t="s">
        <v>19</v>
      </c>
      <c r="G188" s="11" t="s">
        <v>385</v>
      </c>
    </row>
    <row r="189" customFormat="false" ht="15.75" hidden="false" customHeight="false" outlineLevel="0" collapsed="false">
      <c r="A189" s="9" t="n">
        <v>46140</v>
      </c>
      <c r="B189" s="10"/>
      <c r="C189" s="11" t="s">
        <v>91</v>
      </c>
      <c r="D189" s="11" t="s">
        <v>91</v>
      </c>
      <c r="E189" s="11" t="s">
        <v>44</v>
      </c>
      <c r="F189" s="11" t="s">
        <v>19</v>
      </c>
      <c r="G189" s="11" t="s">
        <v>385</v>
      </c>
    </row>
    <row r="190" customFormat="false" ht="15.75" hidden="false" customHeight="false" outlineLevel="0" collapsed="false">
      <c r="A190" s="9" t="n">
        <v>46140</v>
      </c>
      <c r="B190" s="10"/>
      <c r="C190" s="11" t="s">
        <v>386</v>
      </c>
      <c r="D190" s="11" t="s">
        <v>383</v>
      </c>
      <c r="E190" s="11" t="s">
        <v>19</v>
      </c>
      <c r="F190" s="11" t="s">
        <v>19</v>
      </c>
      <c r="G190" s="11" t="s">
        <v>384</v>
      </c>
    </row>
    <row r="191" customFormat="false" ht="15.75" hidden="false" customHeight="false" outlineLevel="0" collapsed="false">
      <c r="A191" s="9" t="n">
        <v>46140</v>
      </c>
      <c r="B191" s="10"/>
      <c r="C191" s="11" t="s">
        <v>386</v>
      </c>
      <c r="D191" s="11" t="s">
        <v>388</v>
      </c>
      <c r="E191" s="11" t="s">
        <v>44</v>
      </c>
      <c r="F191" s="11" t="s">
        <v>19</v>
      </c>
      <c r="G191" s="11" t="s">
        <v>385</v>
      </c>
    </row>
    <row r="192" customFormat="false" ht="15.75" hidden="false" customHeight="false" outlineLevel="0" collapsed="false">
      <c r="A192" s="9" t="n">
        <v>46140</v>
      </c>
      <c r="B192" s="10"/>
      <c r="C192" s="11" t="s">
        <v>91</v>
      </c>
      <c r="D192" s="11" t="s">
        <v>91</v>
      </c>
      <c r="E192" s="11" t="s">
        <v>19</v>
      </c>
      <c r="F192" s="11" t="s">
        <v>19</v>
      </c>
      <c r="G192" s="11" t="s">
        <v>385</v>
      </c>
    </row>
    <row r="193" customFormat="false" ht="15.75" hidden="false" customHeight="false" outlineLevel="0" collapsed="false">
      <c r="A193" s="9" t="n">
        <v>46140</v>
      </c>
      <c r="B193" s="10"/>
      <c r="C193" s="11" t="s">
        <v>386</v>
      </c>
      <c r="D193" s="11" t="s">
        <v>74</v>
      </c>
      <c r="E193" s="11" t="s">
        <v>44</v>
      </c>
      <c r="F193" s="11" t="s">
        <v>44</v>
      </c>
      <c r="G193" s="11" t="s">
        <v>385</v>
      </c>
    </row>
    <row r="194" customFormat="false" ht="15.75" hidden="false" customHeight="false" outlineLevel="0" collapsed="false">
      <c r="A194" s="9" t="n">
        <v>46140</v>
      </c>
      <c r="B194" s="10"/>
      <c r="C194" s="11" t="s">
        <v>386</v>
      </c>
      <c r="D194" s="11" t="s">
        <v>383</v>
      </c>
      <c r="E194" s="11" t="s">
        <v>44</v>
      </c>
      <c r="F194" s="11" t="s">
        <v>19</v>
      </c>
      <c r="G194" s="11" t="s">
        <v>385</v>
      </c>
    </row>
    <row r="195" customFormat="false" ht="15.75" hidden="false" customHeight="false" outlineLevel="0" collapsed="false">
      <c r="A195" s="9" t="n">
        <v>46140</v>
      </c>
      <c r="B195" s="10"/>
      <c r="C195" s="11" t="s">
        <v>386</v>
      </c>
      <c r="D195" s="11" t="s">
        <v>383</v>
      </c>
      <c r="E195" s="11" t="s">
        <v>44</v>
      </c>
      <c r="F195" s="11" t="s">
        <v>19</v>
      </c>
      <c r="G195" s="11" t="s">
        <v>384</v>
      </c>
    </row>
    <row r="196" customFormat="false" ht="15.75" hidden="false" customHeight="false" outlineLevel="0" collapsed="false">
      <c r="A196" s="9" t="n">
        <v>46140</v>
      </c>
      <c r="B196" s="10"/>
      <c r="C196" s="11" t="s">
        <v>386</v>
      </c>
      <c r="D196" s="11" t="s">
        <v>383</v>
      </c>
      <c r="E196" s="11" t="s">
        <v>19</v>
      </c>
      <c r="F196" s="11" t="s">
        <v>19</v>
      </c>
      <c r="G196" s="11" t="s">
        <v>385</v>
      </c>
    </row>
    <row r="197" customFormat="false" ht="15.75" hidden="false" customHeight="false" outlineLevel="0" collapsed="false">
      <c r="A197" s="9" t="n">
        <v>46139</v>
      </c>
      <c r="B197" s="10"/>
      <c r="C197" s="11" t="s">
        <v>386</v>
      </c>
      <c r="D197" s="11" t="s">
        <v>383</v>
      </c>
      <c r="E197" s="11" t="s">
        <v>44</v>
      </c>
      <c r="F197" s="11" t="s">
        <v>19</v>
      </c>
      <c r="G197" s="11" t="s">
        <v>385</v>
      </c>
    </row>
    <row r="198" customFormat="false" ht="15.75" hidden="false" customHeight="false" outlineLevel="0" collapsed="false">
      <c r="A198" s="9" t="n">
        <v>46139</v>
      </c>
      <c r="B198" s="10"/>
      <c r="C198" s="11" t="s">
        <v>386</v>
      </c>
      <c r="D198" s="11" t="s">
        <v>22</v>
      </c>
      <c r="E198" s="11" t="s">
        <v>44</v>
      </c>
      <c r="F198" s="11" t="s">
        <v>19</v>
      </c>
      <c r="G198" s="11" t="s">
        <v>384</v>
      </c>
    </row>
    <row r="199" customFormat="false" ht="15.75" hidden="false" customHeight="false" outlineLevel="0" collapsed="false">
      <c r="A199" s="9" t="n">
        <v>46139</v>
      </c>
      <c r="B199" s="10"/>
      <c r="C199" s="11" t="s">
        <v>91</v>
      </c>
      <c r="D199" s="11" t="s">
        <v>91</v>
      </c>
      <c r="E199" s="11" t="s">
        <v>19</v>
      </c>
      <c r="F199" s="11" t="s">
        <v>19</v>
      </c>
      <c r="G199" s="11" t="s">
        <v>385</v>
      </c>
    </row>
    <row r="200" customFormat="false" ht="15.75" hidden="false" customHeight="false" outlineLevel="0" collapsed="false">
      <c r="A200" s="9" t="n">
        <v>46139</v>
      </c>
      <c r="B200" s="10"/>
      <c r="C200" s="11" t="s">
        <v>386</v>
      </c>
      <c r="D200" s="11" t="s">
        <v>383</v>
      </c>
      <c r="E200" s="11" t="s">
        <v>44</v>
      </c>
      <c r="F200" s="11" t="s">
        <v>19</v>
      </c>
      <c r="G200" s="11" t="s">
        <v>385</v>
      </c>
    </row>
    <row r="201" customFormat="false" ht="15.75" hidden="false" customHeight="false" outlineLevel="0" collapsed="false">
      <c r="A201" s="9" t="n">
        <v>46139</v>
      </c>
      <c r="B201" s="10"/>
      <c r="C201" s="11" t="s">
        <v>386</v>
      </c>
      <c r="D201" s="11" t="s">
        <v>383</v>
      </c>
      <c r="E201" s="11" t="s">
        <v>44</v>
      </c>
      <c r="F201" s="11" t="s">
        <v>19</v>
      </c>
      <c r="G201" s="11" t="s">
        <v>384</v>
      </c>
    </row>
    <row r="202" customFormat="false" ht="15.75" hidden="false" customHeight="false" outlineLevel="0" collapsed="false">
      <c r="A202" s="9" t="n">
        <v>46139</v>
      </c>
      <c r="B202" s="10"/>
      <c r="C202" s="11" t="s">
        <v>386</v>
      </c>
      <c r="D202" s="11" t="s">
        <v>383</v>
      </c>
      <c r="E202" s="11" t="s">
        <v>44</v>
      </c>
      <c r="F202" s="11" t="s">
        <v>19</v>
      </c>
      <c r="G202" s="11" t="s">
        <v>384</v>
      </c>
    </row>
    <row r="203" customFormat="false" ht="15.75" hidden="false" customHeight="false" outlineLevel="0" collapsed="false">
      <c r="A203" s="9" t="n">
        <v>46139</v>
      </c>
      <c r="B203" s="10"/>
      <c r="C203" s="11" t="s">
        <v>386</v>
      </c>
      <c r="D203" s="11" t="s">
        <v>383</v>
      </c>
      <c r="E203" s="11" t="s">
        <v>44</v>
      </c>
      <c r="F203" s="11" t="s">
        <v>19</v>
      </c>
      <c r="G203" s="11" t="s">
        <v>385</v>
      </c>
    </row>
    <row r="204" customFormat="false" ht="15.75" hidden="false" customHeight="false" outlineLevel="0" collapsed="false">
      <c r="A204" s="9" t="n">
        <v>46137</v>
      </c>
      <c r="B204" s="10"/>
      <c r="C204" s="11" t="s">
        <v>386</v>
      </c>
      <c r="D204" s="11" t="s">
        <v>388</v>
      </c>
      <c r="E204" s="11" t="s">
        <v>44</v>
      </c>
      <c r="F204" s="11" t="s">
        <v>19</v>
      </c>
      <c r="G204" s="11" t="s">
        <v>385</v>
      </c>
    </row>
    <row r="205" customFormat="false" ht="15.75" hidden="false" customHeight="false" outlineLevel="0" collapsed="false">
      <c r="A205" s="9" t="n">
        <v>46137</v>
      </c>
      <c r="B205" s="10"/>
      <c r="C205" s="11" t="s">
        <v>386</v>
      </c>
      <c r="D205" s="11" t="s">
        <v>383</v>
      </c>
      <c r="E205" s="11" t="s">
        <v>44</v>
      </c>
      <c r="F205" s="11" t="s">
        <v>19</v>
      </c>
      <c r="G205" s="11" t="s">
        <v>384</v>
      </c>
    </row>
    <row r="206" customFormat="false" ht="15.75" hidden="false" customHeight="false" outlineLevel="0" collapsed="false">
      <c r="A206" s="9" t="n">
        <v>46137</v>
      </c>
      <c r="B206" s="10"/>
      <c r="C206" s="11" t="s">
        <v>386</v>
      </c>
      <c r="D206" s="11" t="s">
        <v>388</v>
      </c>
      <c r="E206" s="11" t="s">
        <v>44</v>
      </c>
      <c r="F206" s="11" t="s">
        <v>44</v>
      </c>
      <c r="G206" s="11" t="s">
        <v>385</v>
      </c>
    </row>
    <row r="207" customFormat="false" ht="15.75" hidden="false" customHeight="false" outlineLevel="0" collapsed="false">
      <c r="A207" s="9" t="n">
        <v>46137</v>
      </c>
      <c r="B207" s="10"/>
      <c r="C207" s="11" t="s">
        <v>386</v>
      </c>
      <c r="D207" s="11" t="s">
        <v>383</v>
      </c>
      <c r="E207" s="11" t="s">
        <v>44</v>
      </c>
      <c r="F207" s="11" t="s">
        <v>19</v>
      </c>
      <c r="G207" s="11" t="s">
        <v>385</v>
      </c>
    </row>
    <row r="208" customFormat="false" ht="15.75" hidden="false" customHeight="false" outlineLevel="0" collapsed="false">
      <c r="A208" s="9" t="n">
        <v>46137</v>
      </c>
      <c r="B208" s="10"/>
      <c r="C208" s="11" t="s">
        <v>386</v>
      </c>
      <c r="D208" s="11" t="s">
        <v>22</v>
      </c>
      <c r="E208" s="11" t="s">
        <v>44</v>
      </c>
      <c r="F208" s="11" t="s">
        <v>19</v>
      </c>
      <c r="G208" s="11" t="s">
        <v>384</v>
      </c>
    </row>
    <row r="209" customFormat="false" ht="15.75" hidden="false" customHeight="false" outlineLevel="0" collapsed="false">
      <c r="A209" s="9" t="n">
        <v>46136</v>
      </c>
      <c r="B209" s="10"/>
      <c r="C209" s="11" t="s">
        <v>386</v>
      </c>
      <c r="D209" s="11" t="s">
        <v>74</v>
      </c>
      <c r="E209" s="11" t="s">
        <v>44</v>
      </c>
      <c r="F209" s="11" t="s">
        <v>44</v>
      </c>
      <c r="G209" s="11" t="s">
        <v>385</v>
      </c>
    </row>
    <row r="210" customFormat="false" ht="15.75" hidden="false" customHeight="false" outlineLevel="0" collapsed="false">
      <c r="A210" s="9" t="n">
        <v>46136</v>
      </c>
      <c r="B210" s="10"/>
      <c r="C210" s="11" t="s">
        <v>91</v>
      </c>
      <c r="D210" s="11" t="s">
        <v>91</v>
      </c>
      <c r="E210" s="11" t="s">
        <v>44</v>
      </c>
      <c r="F210" s="11" t="s">
        <v>19</v>
      </c>
      <c r="G210" s="11" t="s">
        <v>385</v>
      </c>
    </row>
    <row r="211" customFormat="false" ht="15.75" hidden="false" customHeight="false" outlineLevel="0" collapsed="false">
      <c r="A211" s="9" t="n">
        <v>46136</v>
      </c>
      <c r="B211" s="10"/>
      <c r="C211" s="11" t="s">
        <v>386</v>
      </c>
      <c r="D211" s="11" t="s">
        <v>383</v>
      </c>
      <c r="E211" s="11" t="s">
        <v>44</v>
      </c>
      <c r="F211" s="11" t="s">
        <v>19</v>
      </c>
      <c r="G211" s="11" t="s">
        <v>385</v>
      </c>
    </row>
    <row r="212" customFormat="false" ht="15.75" hidden="false" customHeight="false" outlineLevel="0" collapsed="false">
      <c r="A212" s="9" t="n">
        <v>46136</v>
      </c>
      <c r="B212" s="10"/>
      <c r="C212" s="11" t="s">
        <v>386</v>
      </c>
      <c r="D212" s="11" t="s">
        <v>383</v>
      </c>
      <c r="E212" s="11" t="s">
        <v>44</v>
      </c>
      <c r="F212" s="11" t="s">
        <v>19</v>
      </c>
      <c r="G212" s="11" t="s">
        <v>385</v>
      </c>
    </row>
    <row r="213" customFormat="false" ht="15.75" hidden="false" customHeight="false" outlineLevel="0" collapsed="false">
      <c r="A213" s="9" t="n">
        <v>46136</v>
      </c>
      <c r="B213" s="10"/>
      <c r="C213" s="11" t="s">
        <v>386</v>
      </c>
      <c r="D213" s="11" t="s">
        <v>388</v>
      </c>
      <c r="E213" s="11" t="s">
        <v>44</v>
      </c>
      <c r="F213" s="11" t="s">
        <v>44</v>
      </c>
      <c r="G213" s="11" t="s">
        <v>385</v>
      </c>
    </row>
    <row r="214" customFormat="false" ht="15.75" hidden="false" customHeight="false" outlineLevel="0" collapsed="false">
      <c r="A214" s="9" t="n">
        <v>46136</v>
      </c>
      <c r="B214" s="10"/>
      <c r="C214" s="11" t="s">
        <v>386</v>
      </c>
      <c r="D214" s="11" t="s">
        <v>22</v>
      </c>
      <c r="E214" s="11" t="s">
        <v>44</v>
      </c>
      <c r="F214" s="11" t="s">
        <v>19</v>
      </c>
      <c r="G214" s="11" t="s">
        <v>385</v>
      </c>
    </row>
    <row r="215" customFormat="false" ht="15.75" hidden="false" customHeight="false" outlineLevel="0" collapsed="false">
      <c r="A215" s="9" t="n">
        <v>46135</v>
      </c>
      <c r="B215" s="10"/>
      <c r="C215" s="11" t="s">
        <v>386</v>
      </c>
      <c r="D215" s="11" t="s">
        <v>387</v>
      </c>
      <c r="E215" s="11" t="s">
        <v>44</v>
      </c>
      <c r="F215" s="11" t="s">
        <v>19</v>
      </c>
      <c r="G215" s="11" t="s">
        <v>385</v>
      </c>
    </row>
    <row r="216" customFormat="false" ht="15.75" hidden="false" customHeight="false" outlineLevel="0" collapsed="false">
      <c r="A216" s="9" t="n">
        <v>46135</v>
      </c>
      <c r="B216" s="10"/>
      <c r="C216" s="11" t="s">
        <v>386</v>
      </c>
      <c r="D216" s="11" t="s">
        <v>22</v>
      </c>
      <c r="E216" s="11" t="s">
        <v>19</v>
      </c>
      <c r="F216" s="11" t="s">
        <v>19</v>
      </c>
      <c r="G216" s="11" t="s">
        <v>385</v>
      </c>
    </row>
    <row r="217" customFormat="false" ht="15.75" hidden="false" customHeight="false" outlineLevel="0" collapsed="false">
      <c r="A217" s="9" t="n">
        <v>46135</v>
      </c>
      <c r="B217" s="10"/>
      <c r="C217" s="11" t="s">
        <v>91</v>
      </c>
      <c r="D217" s="11" t="s">
        <v>74</v>
      </c>
      <c r="E217" s="11" t="s">
        <v>44</v>
      </c>
      <c r="F217" s="11" t="s">
        <v>19</v>
      </c>
      <c r="G217" s="11" t="s">
        <v>385</v>
      </c>
    </row>
    <row r="218" customFormat="false" ht="15.75" hidden="false" customHeight="false" outlineLevel="0" collapsed="false">
      <c r="A218" s="9" t="n">
        <v>46135</v>
      </c>
      <c r="B218" s="10"/>
      <c r="C218" s="11" t="s">
        <v>386</v>
      </c>
      <c r="D218" s="11" t="s">
        <v>22</v>
      </c>
      <c r="E218" s="11" t="s">
        <v>44</v>
      </c>
      <c r="F218" s="11" t="s">
        <v>44</v>
      </c>
      <c r="G218" s="11" t="s">
        <v>385</v>
      </c>
    </row>
    <row r="219" customFormat="false" ht="15.75" hidden="false" customHeight="false" outlineLevel="0" collapsed="false">
      <c r="A219" s="9" t="n">
        <v>46135</v>
      </c>
      <c r="B219" s="10"/>
      <c r="C219" s="11" t="s">
        <v>386</v>
      </c>
      <c r="D219" s="11" t="s">
        <v>383</v>
      </c>
      <c r="E219" s="11" t="s">
        <v>44</v>
      </c>
      <c r="F219" s="11" t="s">
        <v>19</v>
      </c>
      <c r="G219" s="11" t="s">
        <v>384</v>
      </c>
    </row>
    <row r="220" customFormat="false" ht="15.75" hidden="false" customHeight="false" outlineLevel="0" collapsed="false">
      <c r="A220" s="9" t="n">
        <v>46135</v>
      </c>
      <c r="B220" s="10"/>
      <c r="C220" s="11" t="s">
        <v>386</v>
      </c>
      <c r="D220" s="11" t="s">
        <v>383</v>
      </c>
      <c r="E220" s="11" t="s">
        <v>44</v>
      </c>
      <c r="F220" s="11" t="s">
        <v>19</v>
      </c>
      <c r="G220" s="11" t="s">
        <v>385</v>
      </c>
    </row>
    <row r="221" customFormat="false" ht="15.75" hidden="false" customHeight="false" outlineLevel="0" collapsed="false">
      <c r="A221" s="9" t="n">
        <v>46135</v>
      </c>
      <c r="B221" s="10"/>
      <c r="C221" s="11" t="s">
        <v>386</v>
      </c>
      <c r="D221" s="11" t="s">
        <v>383</v>
      </c>
      <c r="E221" s="11" t="s">
        <v>44</v>
      </c>
      <c r="F221" s="11" t="s">
        <v>19</v>
      </c>
      <c r="G221" s="11" t="s">
        <v>385</v>
      </c>
    </row>
    <row r="222" customFormat="false" ht="15.75" hidden="false" customHeight="false" outlineLevel="0" collapsed="false">
      <c r="A222" s="9" t="n">
        <v>46135</v>
      </c>
      <c r="B222" s="10"/>
      <c r="C222" s="11" t="s">
        <v>386</v>
      </c>
      <c r="D222" s="11" t="s">
        <v>383</v>
      </c>
      <c r="E222" s="11" t="s">
        <v>44</v>
      </c>
      <c r="F222" s="11" t="s">
        <v>19</v>
      </c>
      <c r="G222" s="11" t="s">
        <v>384</v>
      </c>
    </row>
    <row r="223" customFormat="false" ht="15.75" hidden="false" customHeight="false" outlineLevel="0" collapsed="false">
      <c r="A223" s="9" t="n">
        <v>46135</v>
      </c>
      <c r="B223" s="10"/>
      <c r="C223" s="11" t="s">
        <v>386</v>
      </c>
      <c r="D223" s="11" t="s">
        <v>383</v>
      </c>
      <c r="E223" s="11" t="s">
        <v>44</v>
      </c>
      <c r="F223" s="11" t="s">
        <v>44</v>
      </c>
      <c r="G223" s="11" t="s">
        <v>385</v>
      </c>
    </row>
    <row r="224" customFormat="false" ht="15.75" hidden="false" customHeight="false" outlineLevel="0" collapsed="false">
      <c r="A224" s="9" t="n">
        <v>46135</v>
      </c>
      <c r="B224" s="10"/>
      <c r="C224" s="11" t="s">
        <v>386</v>
      </c>
      <c r="D224" s="11" t="s">
        <v>383</v>
      </c>
      <c r="E224" s="11" t="s">
        <v>44</v>
      </c>
      <c r="F224" s="11" t="s">
        <v>19</v>
      </c>
      <c r="G224" s="11" t="s">
        <v>385</v>
      </c>
    </row>
    <row r="225" customFormat="false" ht="15.75" hidden="false" customHeight="false" outlineLevel="0" collapsed="false">
      <c r="A225" s="9" t="n">
        <v>46134</v>
      </c>
      <c r="B225" s="10"/>
      <c r="C225" s="11" t="s">
        <v>386</v>
      </c>
      <c r="D225" s="11" t="s">
        <v>383</v>
      </c>
      <c r="E225" s="11" t="s">
        <v>44</v>
      </c>
      <c r="F225" s="11" t="s">
        <v>19</v>
      </c>
      <c r="G225" s="11" t="s">
        <v>384</v>
      </c>
    </row>
    <row r="226" customFormat="false" ht="15.75" hidden="false" customHeight="false" outlineLevel="0" collapsed="false">
      <c r="A226" s="9" t="n">
        <v>46134</v>
      </c>
      <c r="B226" s="10"/>
      <c r="C226" s="11" t="s">
        <v>386</v>
      </c>
      <c r="D226" s="11" t="s">
        <v>22</v>
      </c>
      <c r="E226" s="11" t="s">
        <v>19</v>
      </c>
      <c r="F226" s="11" t="s">
        <v>19</v>
      </c>
      <c r="G226" s="11" t="s">
        <v>385</v>
      </c>
    </row>
    <row r="227" customFormat="false" ht="15.75" hidden="false" customHeight="false" outlineLevel="0" collapsed="false">
      <c r="A227" s="9" t="n">
        <v>46134</v>
      </c>
      <c r="B227" s="10"/>
      <c r="C227" s="11" t="s">
        <v>386</v>
      </c>
      <c r="D227" s="11" t="s">
        <v>388</v>
      </c>
      <c r="E227" s="11" t="s">
        <v>44</v>
      </c>
      <c r="F227" s="11" t="s">
        <v>44</v>
      </c>
      <c r="G227" s="11" t="s">
        <v>385</v>
      </c>
    </row>
    <row r="228" customFormat="false" ht="15.75" hidden="false" customHeight="false" outlineLevel="0" collapsed="false">
      <c r="A228" s="9" t="n">
        <v>46134</v>
      </c>
      <c r="B228" s="10"/>
      <c r="C228" s="11" t="s">
        <v>386</v>
      </c>
      <c r="D228" s="11" t="s">
        <v>387</v>
      </c>
      <c r="E228" s="11" t="s">
        <v>44</v>
      </c>
      <c r="F228" s="11" t="s">
        <v>44</v>
      </c>
      <c r="G228" s="11" t="s">
        <v>385</v>
      </c>
    </row>
    <row r="229" customFormat="false" ht="15.75" hidden="false" customHeight="false" outlineLevel="0" collapsed="false">
      <c r="A229" s="9" t="n">
        <v>46134</v>
      </c>
      <c r="B229" s="10"/>
      <c r="C229" s="11" t="s">
        <v>386</v>
      </c>
      <c r="D229" s="11" t="s">
        <v>383</v>
      </c>
      <c r="E229" s="11" t="s">
        <v>44</v>
      </c>
      <c r="F229" s="11" t="s">
        <v>19</v>
      </c>
      <c r="G229" s="11" t="s">
        <v>384</v>
      </c>
    </row>
    <row r="230" customFormat="false" ht="15.75" hidden="false" customHeight="false" outlineLevel="0" collapsed="false">
      <c r="A230" s="9" t="n">
        <v>46134</v>
      </c>
      <c r="B230" s="10"/>
      <c r="C230" s="11" t="s">
        <v>386</v>
      </c>
      <c r="D230" s="11" t="s">
        <v>383</v>
      </c>
      <c r="E230" s="11" t="s">
        <v>44</v>
      </c>
      <c r="F230" s="11" t="s">
        <v>19</v>
      </c>
      <c r="G230" s="11" t="s">
        <v>385</v>
      </c>
    </row>
    <row r="231" customFormat="false" ht="15.75" hidden="false" customHeight="false" outlineLevel="0" collapsed="false">
      <c r="A231" s="9" t="n">
        <v>46134</v>
      </c>
      <c r="B231" s="10"/>
      <c r="C231" s="11" t="s">
        <v>91</v>
      </c>
      <c r="D231" s="11" t="s">
        <v>383</v>
      </c>
      <c r="E231" s="11" t="s">
        <v>19</v>
      </c>
      <c r="F231" s="11" t="s">
        <v>19</v>
      </c>
      <c r="G231" s="11" t="s">
        <v>385</v>
      </c>
    </row>
    <row r="232" customFormat="false" ht="15.75" hidden="false" customHeight="false" outlineLevel="0" collapsed="false">
      <c r="A232" s="9" t="n">
        <v>46134</v>
      </c>
      <c r="B232" s="10"/>
      <c r="C232" s="11" t="s">
        <v>386</v>
      </c>
      <c r="D232" s="11" t="s">
        <v>383</v>
      </c>
      <c r="E232" s="11" t="s">
        <v>19</v>
      </c>
      <c r="F232" s="11" t="s">
        <v>19</v>
      </c>
      <c r="G232" s="11" t="s">
        <v>385</v>
      </c>
    </row>
    <row r="233" customFormat="false" ht="15.75" hidden="false" customHeight="false" outlineLevel="0" collapsed="false">
      <c r="A233" s="9" t="n">
        <v>46133</v>
      </c>
      <c r="B233" s="10"/>
      <c r="C233" s="11" t="s">
        <v>386</v>
      </c>
      <c r="D233" s="11" t="s">
        <v>388</v>
      </c>
      <c r="E233" s="11" t="s">
        <v>44</v>
      </c>
      <c r="F233" s="11" t="s">
        <v>44</v>
      </c>
      <c r="G233" s="11" t="s">
        <v>385</v>
      </c>
    </row>
    <row r="234" customFormat="false" ht="15.75" hidden="false" customHeight="false" outlineLevel="0" collapsed="false">
      <c r="A234" s="9" t="n">
        <v>46133</v>
      </c>
      <c r="B234" s="10"/>
      <c r="C234" s="11" t="s">
        <v>386</v>
      </c>
      <c r="D234" s="11" t="s">
        <v>383</v>
      </c>
      <c r="E234" s="11" t="s">
        <v>44</v>
      </c>
      <c r="F234" s="11" t="s">
        <v>19</v>
      </c>
      <c r="G234" s="11" t="s">
        <v>384</v>
      </c>
    </row>
    <row r="235" customFormat="false" ht="15.75" hidden="false" customHeight="false" outlineLevel="0" collapsed="false">
      <c r="A235" s="9" t="n">
        <v>46133</v>
      </c>
      <c r="B235" s="10"/>
      <c r="C235" s="11" t="s">
        <v>386</v>
      </c>
      <c r="D235" s="11" t="s">
        <v>383</v>
      </c>
      <c r="E235" s="11" t="s">
        <v>44</v>
      </c>
      <c r="F235" s="11" t="s">
        <v>19</v>
      </c>
      <c r="G235" s="11" t="s">
        <v>384</v>
      </c>
    </row>
    <row r="236" customFormat="false" ht="15.75" hidden="false" customHeight="false" outlineLevel="0" collapsed="false">
      <c r="A236" s="9" t="n">
        <v>46133</v>
      </c>
      <c r="B236" s="10"/>
      <c r="C236" s="11" t="s">
        <v>386</v>
      </c>
      <c r="D236" s="11" t="s">
        <v>388</v>
      </c>
      <c r="E236" s="11" t="s">
        <v>44</v>
      </c>
      <c r="F236" s="11" t="s">
        <v>19</v>
      </c>
      <c r="G236" s="11" t="s">
        <v>385</v>
      </c>
    </row>
    <row r="237" customFormat="false" ht="15.75" hidden="false" customHeight="false" outlineLevel="0" collapsed="false">
      <c r="A237" s="9" t="n">
        <v>46133</v>
      </c>
      <c r="B237" s="10"/>
      <c r="C237" s="11" t="s">
        <v>386</v>
      </c>
      <c r="D237" s="11" t="s">
        <v>22</v>
      </c>
      <c r="E237" s="11" t="s">
        <v>44</v>
      </c>
      <c r="F237" s="11" t="s">
        <v>19</v>
      </c>
      <c r="G237" s="11" t="s">
        <v>385</v>
      </c>
    </row>
    <row r="238" customFormat="false" ht="15.75" hidden="false" customHeight="false" outlineLevel="0" collapsed="false">
      <c r="A238" s="9" t="n">
        <v>46133</v>
      </c>
      <c r="B238" s="10"/>
      <c r="C238" s="11" t="s">
        <v>386</v>
      </c>
      <c r="D238" s="11" t="s">
        <v>383</v>
      </c>
      <c r="E238" s="11" t="s">
        <v>44</v>
      </c>
      <c r="F238" s="11" t="s">
        <v>19</v>
      </c>
      <c r="G238" s="11" t="s">
        <v>384</v>
      </c>
    </row>
    <row r="239" customFormat="false" ht="15.75" hidden="false" customHeight="false" outlineLevel="0" collapsed="false">
      <c r="A239" s="9" t="n">
        <v>46133</v>
      </c>
      <c r="B239" s="10"/>
      <c r="C239" s="11" t="s">
        <v>386</v>
      </c>
      <c r="D239" s="11" t="s">
        <v>383</v>
      </c>
      <c r="E239" s="11" t="s">
        <v>44</v>
      </c>
      <c r="F239" s="11" t="s">
        <v>19</v>
      </c>
      <c r="G239" s="11" t="s">
        <v>385</v>
      </c>
    </row>
    <row r="240" customFormat="false" ht="15.75" hidden="false" customHeight="false" outlineLevel="0" collapsed="false">
      <c r="A240" s="9" t="n">
        <v>46133</v>
      </c>
      <c r="B240" s="10"/>
      <c r="C240" s="11" t="s">
        <v>386</v>
      </c>
      <c r="D240" s="11" t="s">
        <v>383</v>
      </c>
      <c r="E240" s="11" t="s">
        <v>44</v>
      </c>
      <c r="F240" s="11" t="s">
        <v>19</v>
      </c>
      <c r="G240" s="11" t="s">
        <v>385</v>
      </c>
    </row>
    <row r="241" customFormat="false" ht="15.75" hidden="false" customHeight="false" outlineLevel="0" collapsed="false">
      <c r="A241" s="9" t="n">
        <v>46132</v>
      </c>
      <c r="B241" s="10"/>
      <c r="C241" s="11" t="s">
        <v>386</v>
      </c>
      <c r="D241" s="11" t="s">
        <v>74</v>
      </c>
      <c r="E241" s="11" t="s">
        <v>44</v>
      </c>
      <c r="F241" s="11" t="s">
        <v>19</v>
      </c>
      <c r="G241" s="11" t="s">
        <v>385</v>
      </c>
    </row>
    <row r="242" customFormat="false" ht="15.75" hidden="false" customHeight="false" outlineLevel="0" collapsed="false">
      <c r="A242" s="9" t="n">
        <v>46132</v>
      </c>
      <c r="B242" s="10"/>
      <c r="C242" s="11" t="s">
        <v>386</v>
      </c>
      <c r="D242" s="11" t="s">
        <v>383</v>
      </c>
      <c r="E242" s="11" t="s">
        <v>19</v>
      </c>
      <c r="F242" s="11" t="s">
        <v>19</v>
      </c>
      <c r="G242" s="11" t="s">
        <v>385</v>
      </c>
    </row>
    <row r="243" customFormat="false" ht="15.75" hidden="false" customHeight="false" outlineLevel="0" collapsed="false">
      <c r="A243" s="9" t="n">
        <v>46132</v>
      </c>
      <c r="B243" s="10"/>
      <c r="C243" s="11" t="s">
        <v>91</v>
      </c>
      <c r="D243" s="11" t="s">
        <v>388</v>
      </c>
      <c r="E243" s="11" t="s">
        <v>44</v>
      </c>
      <c r="F243" s="11" t="s">
        <v>19</v>
      </c>
      <c r="G243" s="11" t="s">
        <v>385</v>
      </c>
    </row>
    <row r="244" customFormat="false" ht="15.75" hidden="false" customHeight="false" outlineLevel="0" collapsed="false">
      <c r="A244" s="9" t="n">
        <v>46132</v>
      </c>
      <c r="B244" s="10"/>
      <c r="C244" s="11" t="s">
        <v>386</v>
      </c>
      <c r="D244" s="11" t="s">
        <v>388</v>
      </c>
      <c r="E244" s="11" t="s">
        <v>44</v>
      </c>
      <c r="F244" s="11" t="s">
        <v>19</v>
      </c>
      <c r="G244" s="11" t="s">
        <v>385</v>
      </c>
    </row>
    <row r="245" customFormat="false" ht="15.75" hidden="false" customHeight="false" outlineLevel="0" collapsed="false">
      <c r="A245" s="9" t="n">
        <v>46132</v>
      </c>
      <c r="B245" s="10"/>
      <c r="C245" s="11" t="s">
        <v>386</v>
      </c>
      <c r="D245" s="11" t="s">
        <v>383</v>
      </c>
      <c r="E245" s="11" t="s">
        <v>44</v>
      </c>
      <c r="F245" s="11" t="s">
        <v>19</v>
      </c>
      <c r="G245" s="11" t="s">
        <v>384</v>
      </c>
    </row>
    <row r="246" customFormat="false" ht="15.75" hidden="false" customHeight="false" outlineLevel="0" collapsed="false">
      <c r="A246" s="9" t="n">
        <v>46132</v>
      </c>
      <c r="B246" s="10"/>
      <c r="C246" s="11" t="s">
        <v>386</v>
      </c>
      <c r="D246" s="11" t="s">
        <v>388</v>
      </c>
      <c r="E246" s="11" t="s">
        <v>44</v>
      </c>
      <c r="F246" s="11" t="s">
        <v>19</v>
      </c>
      <c r="G246" s="11" t="s">
        <v>385</v>
      </c>
    </row>
    <row r="247" customFormat="false" ht="15.75" hidden="false" customHeight="false" outlineLevel="0" collapsed="false">
      <c r="A247" s="9" t="n">
        <v>46132</v>
      </c>
      <c r="B247" s="10"/>
      <c r="C247" s="11" t="s">
        <v>386</v>
      </c>
      <c r="D247" s="11" t="s">
        <v>387</v>
      </c>
      <c r="E247" s="11" t="s">
        <v>44</v>
      </c>
      <c r="F247" s="11" t="s">
        <v>44</v>
      </c>
      <c r="G247" s="11" t="s">
        <v>385</v>
      </c>
    </row>
    <row r="248" customFormat="false" ht="15.75" hidden="false" customHeight="false" outlineLevel="0" collapsed="false">
      <c r="A248" s="9" t="n">
        <v>46132</v>
      </c>
      <c r="B248" s="10"/>
      <c r="C248" s="11" t="s">
        <v>386</v>
      </c>
      <c r="D248" s="11" t="s">
        <v>383</v>
      </c>
      <c r="E248" s="11" t="s">
        <v>44</v>
      </c>
      <c r="F248" s="11" t="s">
        <v>19</v>
      </c>
      <c r="G248" s="11" t="s">
        <v>384</v>
      </c>
    </row>
    <row r="249" customFormat="false" ht="15.75" hidden="false" customHeight="false" outlineLevel="0" collapsed="false">
      <c r="A249" s="9" t="n">
        <v>46132</v>
      </c>
      <c r="B249" s="10"/>
      <c r="C249" s="11" t="s">
        <v>386</v>
      </c>
      <c r="D249" s="11" t="s">
        <v>383</v>
      </c>
      <c r="E249" s="11" t="s">
        <v>44</v>
      </c>
      <c r="F249" s="11" t="s">
        <v>19</v>
      </c>
      <c r="G249" s="11" t="s">
        <v>384</v>
      </c>
    </row>
    <row r="250" customFormat="false" ht="15.75" hidden="false" customHeight="false" outlineLevel="0" collapsed="false">
      <c r="A250" s="9" t="n">
        <v>46132</v>
      </c>
      <c r="B250" s="10"/>
      <c r="C250" s="11" t="s">
        <v>386</v>
      </c>
      <c r="D250" s="11" t="s">
        <v>383</v>
      </c>
      <c r="E250" s="11" t="s">
        <v>44</v>
      </c>
      <c r="F250" s="11" t="s">
        <v>19</v>
      </c>
      <c r="G250" s="11" t="s">
        <v>385</v>
      </c>
    </row>
    <row r="251" customFormat="false" ht="15.75" hidden="false" customHeight="false" outlineLevel="0" collapsed="false">
      <c r="A251" s="9" t="n">
        <v>46130</v>
      </c>
      <c r="B251" s="10"/>
      <c r="C251" s="11" t="s">
        <v>386</v>
      </c>
      <c r="D251" s="11" t="s">
        <v>388</v>
      </c>
      <c r="E251" s="11" t="s">
        <v>44</v>
      </c>
      <c r="F251" s="11" t="s">
        <v>19</v>
      </c>
      <c r="G251" s="11" t="s">
        <v>385</v>
      </c>
    </row>
    <row r="252" customFormat="false" ht="15.75" hidden="false" customHeight="false" outlineLevel="0" collapsed="false">
      <c r="A252" s="9" t="n">
        <v>46130</v>
      </c>
      <c r="B252" s="10"/>
      <c r="C252" s="11" t="s">
        <v>91</v>
      </c>
      <c r="D252" s="11" t="s">
        <v>91</v>
      </c>
      <c r="E252" s="11" t="s">
        <v>44</v>
      </c>
      <c r="F252" s="11" t="s">
        <v>44</v>
      </c>
      <c r="G252" s="11" t="s">
        <v>385</v>
      </c>
    </row>
    <row r="253" customFormat="false" ht="15.75" hidden="false" customHeight="false" outlineLevel="0" collapsed="false">
      <c r="A253" s="9" t="n">
        <v>46130</v>
      </c>
      <c r="B253" s="10"/>
      <c r="C253" s="11" t="s">
        <v>91</v>
      </c>
      <c r="D253" s="11" t="s">
        <v>388</v>
      </c>
      <c r="E253" s="11" t="s">
        <v>19</v>
      </c>
      <c r="F253" s="11" t="s">
        <v>19</v>
      </c>
      <c r="G253" s="11" t="s">
        <v>385</v>
      </c>
    </row>
    <row r="254" customFormat="false" ht="15.75" hidden="false" customHeight="false" outlineLevel="0" collapsed="false">
      <c r="A254" s="9" t="n">
        <v>46130</v>
      </c>
      <c r="B254" s="10"/>
      <c r="C254" s="11" t="s">
        <v>386</v>
      </c>
      <c r="D254" s="11" t="s">
        <v>388</v>
      </c>
      <c r="E254" s="11" t="s">
        <v>44</v>
      </c>
      <c r="F254" s="11" t="s">
        <v>44</v>
      </c>
      <c r="G254" s="11" t="s">
        <v>385</v>
      </c>
    </row>
    <row r="255" customFormat="false" ht="15.75" hidden="false" customHeight="false" outlineLevel="0" collapsed="false">
      <c r="A255" s="9" t="n">
        <v>46130</v>
      </c>
      <c r="B255" s="10"/>
      <c r="C255" s="11" t="s">
        <v>386</v>
      </c>
      <c r="D255" s="11" t="s">
        <v>387</v>
      </c>
      <c r="E255" s="11" t="s">
        <v>44</v>
      </c>
      <c r="F255" s="11" t="s">
        <v>44</v>
      </c>
      <c r="G255" s="11" t="s">
        <v>385</v>
      </c>
    </row>
    <row r="256" customFormat="false" ht="15.75" hidden="false" customHeight="false" outlineLevel="0" collapsed="false">
      <c r="A256" s="9" t="n">
        <v>46130</v>
      </c>
      <c r="B256" s="10"/>
      <c r="C256" s="11" t="s">
        <v>386</v>
      </c>
      <c r="D256" s="11" t="s">
        <v>387</v>
      </c>
      <c r="E256" s="11" t="s">
        <v>44</v>
      </c>
      <c r="F256" s="11" t="s">
        <v>44</v>
      </c>
      <c r="G256" s="11" t="s">
        <v>385</v>
      </c>
    </row>
    <row r="257" customFormat="false" ht="15.75" hidden="false" customHeight="false" outlineLevel="0" collapsed="false">
      <c r="A257" s="9" t="n">
        <v>46130</v>
      </c>
      <c r="B257" s="10"/>
      <c r="C257" s="11" t="s">
        <v>386</v>
      </c>
      <c r="D257" s="11" t="s">
        <v>388</v>
      </c>
      <c r="E257" s="11" t="s">
        <v>44</v>
      </c>
      <c r="F257" s="11" t="s">
        <v>44</v>
      </c>
      <c r="G257" s="11" t="s">
        <v>385</v>
      </c>
    </row>
    <row r="258" customFormat="false" ht="15.75" hidden="false" customHeight="false" outlineLevel="0" collapsed="false">
      <c r="A258" s="9" t="n">
        <v>46130</v>
      </c>
      <c r="B258" s="10"/>
      <c r="C258" s="11" t="s">
        <v>386</v>
      </c>
      <c r="D258" s="11" t="s">
        <v>383</v>
      </c>
      <c r="E258" s="11" t="s">
        <v>44</v>
      </c>
      <c r="F258" s="11" t="s">
        <v>19</v>
      </c>
      <c r="G258" s="11" t="s">
        <v>384</v>
      </c>
    </row>
    <row r="259" customFormat="false" ht="15.75" hidden="false" customHeight="false" outlineLevel="0" collapsed="false">
      <c r="A259" s="9" t="n">
        <v>46129</v>
      </c>
      <c r="B259" s="10"/>
      <c r="C259" s="11" t="s">
        <v>386</v>
      </c>
      <c r="D259" s="11" t="s">
        <v>383</v>
      </c>
      <c r="E259" s="11" t="s">
        <v>44</v>
      </c>
      <c r="F259" s="11" t="s">
        <v>19</v>
      </c>
      <c r="G259" s="11" t="s">
        <v>385</v>
      </c>
    </row>
    <row r="260" customFormat="false" ht="15.75" hidden="false" customHeight="false" outlineLevel="0" collapsed="false">
      <c r="A260" s="9" t="n">
        <v>46129</v>
      </c>
      <c r="B260" s="10"/>
      <c r="C260" s="11" t="s">
        <v>386</v>
      </c>
      <c r="D260" s="11" t="s">
        <v>387</v>
      </c>
      <c r="E260" s="11" t="s">
        <v>44</v>
      </c>
      <c r="F260" s="11" t="s">
        <v>19</v>
      </c>
      <c r="G260" s="11" t="s">
        <v>385</v>
      </c>
    </row>
    <row r="261" customFormat="false" ht="15.75" hidden="false" customHeight="false" outlineLevel="0" collapsed="false">
      <c r="A261" s="9" t="n">
        <v>46129</v>
      </c>
      <c r="B261" s="10"/>
      <c r="C261" s="11" t="s">
        <v>386</v>
      </c>
      <c r="D261" s="11" t="s">
        <v>383</v>
      </c>
      <c r="E261" s="11" t="s">
        <v>44</v>
      </c>
      <c r="F261" s="11" t="s">
        <v>19</v>
      </c>
      <c r="G261" s="11" t="s">
        <v>385</v>
      </c>
    </row>
    <row r="262" customFormat="false" ht="15.75" hidden="false" customHeight="false" outlineLevel="0" collapsed="false">
      <c r="A262" s="9" t="n">
        <v>46129</v>
      </c>
      <c r="B262" s="10"/>
      <c r="C262" s="11" t="s">
        <v>386</v>
      </c>
      <c r="D262" s="11" t="s">
        <v>383</v>
      </c>
      <c r="E262" s="11" t="s">
        <v>44</v>
      </c>
      <c r="F262" s="11" t="s">
        <v>19</v>
      </c>
      <c r="G262" s="11" t="s">
        <v>384</v>
      </c>
    </row>
    <row r="263" customFormat="false" ht="15.75" hidden="false" customHeight="false" outlineLevel="0" collapsed="false">
      <c r="A263" s="9" t="n">
        <v>46129</v>
      </c>
      <c r="B263" s="10"/>
      <c r="C263" s="11" t="s">
        <v>386</v>
      </c>
      <c r="D263" s="11" t="s">
        <v>383</v>
      </c>
      <c r="E263" s="11" t="s">
        <v>44</v>
      </c>
      <c r="F263" s="11" t="s">
        <v>19</v>
      </c>
      <c r="G263" s="11" t="s">
        <v>385</v>
      </c>
    </row>
    <row r="264" customFormat="false" ht="15.75" hidden="false" customHeight="false" outlineLevel="0" collapsed="false">
      <c r="A264" s="9" t="n">
        <v>46129</v>
      </c>
      <c r="B264" s="10"/>
      <c r="C264" s="11" t="s">
        <v>386</v>
      </c>
      <c r="D264" s="11" t="s">
        <v>22</v>
      </c>
      <c r="E264" s="11" t="s">
        <v>44</v>
      </c>
      <c r="F264" s="11" t="s">
        <v>19</v>
      </c>
      <c r="G264" s="11" t="s">
        <v>385</v>
      </c>
    </row>
    <row r="265" customFormat="false" ht="15.75" hidden="false" customHeight="false" outlineLevel="0" collapsed="false">
      <c r="A265" s="9" t="n">
        <v>46129</v>
      </c>
      <c r="B265" s="10"/>
      <c r="C265" s="11" t="s">
        <v>386</v>
      </c>
      <c r="D265" s="11" t="s">
        <v>22</v>
      </c>
      <c r="E265" s="11" t="s">
        <v>44</v>
      </c>
      <c r="F265" s="11" t="s">
        <v>19</v>
      </c>
      <c r="G265" s="11" t="s">
        <v>384</v>
      </c>
    </row>
    <row r="266" customFormat="false" ht="15.75" hidden="false" customHeight="false" outlineLevel="0" collapsed="false">
      <c r="A266" s="9" t="n">
        <v>46128</v>
      </c>
      <c r="B266" s="10"/>
      <c r="C266" s="11" t="s">
        <v>386</v>
      </c>
      <c r="D266" s="11" t="s">
        <v>22</v>
      </c>
      <c r="E266" s="11" t="s">
        <v>44</v>
      </c>
      <c r="F266" s="11" t="s">
        <v>19</v>
      </c>
      <c r="G266" s="11" t="s">
        <v>385</v>
      </c>
    </row>
    <row r="267" customFormat="false" ht="15.75" hidden="false" customHeight="false" outlineLevel="0" collapsed="false">
      <c r="A267" s="9" t="n">
        <v>46128</v>
      </c>
      <c r="B267" s="10"/>
      <c r="C267" s="11" t="s">
        <v>386</v>
      </c>
      <c r="D267" s="11" t="s">
        <v>22</v>
      </c>
      <c r="E267" s="11" t="s">
        <v>44</v>
      </c>
      <c r="F267" s="11" t="s">
        <v>19</v>
      </c>
      <c r="G267" s="11" t="s">
        <v>385</v>
      </c>
    </row>
    <row r="268" customFormat="false" ht="15.75" hidden="false" customHeight="false" outlineLevel="0" collapsed="false">
      <c r="A268" s="9" t="n">
        <v>46128</v>
      </c>
      <c r="B268" s="10"/>
      <c r="C268" s="11" t="s">
        <v>386</v>
      </c>
      <c r="D268" s="11" t="s">
        <v>387</v>
      </c>
      <c r="E268" s="11" t="s">
        <v>44</v>
      </c>
      <c r="F268" s="11" t="s">
        <v>19</v>
      </c>
      <c r="G268" s="11" t="s">
        <v>385</v>
      </c>
    </row>
    <row r="269" customFormat="false" ht="15.75" hidden="false" customHeight="false" outlineLevel="0" collapsed="false">
      <c r="A269" s="9" t="n">
        <v>46128</v>
      </c>
      <c r="B269" s="10"/>
      <c r="C269" s="11" t="s">
        <v>91</v>
      </c>
      <c r="D269" s="11" t="s">
        <v>383</v>
      </c>
      <c r="E269" s="11" t="s">
        <v>19</v>
      </c>
      <c r="F269" s="11" t="s">
        <v>19</v>
      </c>
      <c r="G269" s="11" t="s">
        <v>385</v>
      </c>
    </row>
    <row r="270" customFormat="false" ht="15.75" hidden="false" customHeight="false" outlineLevel="0" collapsed="false">
      <c r="A270" s="9" t="n">
        <v>46128</v>
      </c>
      <c r="B270" s="10"/>
      <c r="C270" s="11" t="s">
        <v>386</v>
      </c>
      <c r="D270" s="11" t="s">
        <v>22</v>
      </c>
      <c r="E270" s="11" t="s">
        <v>44</v>
      </c>
      <c r="F270" s="11" t="s">
        <v>19</v>
      </c>
      <c r="G270" s="11" t="s">
        <v>384</v>
      </c>
    </row>
    <row r="271" customFormat="false" ht="15.75" hidden="false" customHeight="false" outlineLevel="0" collapsed="false">
      <c r="A271" s="9" t="n">
        <v>46128</v>
      </c>
      <c r="B271" s="10"/>
      <c r="C271" s="11" t="s">
        <v>386</v>
      </c>
      <c r="D271" s="11" t="s">
        <v>383</v>
      </c>
      <c r="E271" s="11" t="s">
        <v>44</v>
      </c>
      <c r="F271" s="11" t="s">
        <v>19</v>
      </c>
      <c r="G271" s="11" t="s">
        <v>385</v>
      </c>
    </row>
    <row r="272" customFormat="false" ht="15.75" hidden="false" customHeight="false" outlineLevel="0" collapsed="false">
      <c r="A272" s="9" t="n">
        <v>46128</v>
      </c>
      <c r="B272" s="10"/>
      <c r="C272" s="11" t="s">
        <v>386</v>
      </c>
      <c r="D272" s="11" t="s">
        <v>383</v>
      </c>
      <c r="E272" s="11" t="s">
        <v>44</v>
      </c>
      <c r="F272" s="11" t="s">
        <v>19</v>
      </c>
      <c r="G272" s="11" t="s">
        <v>384</v>
      </c>
    </row>
    <row r="273" customFormat="false" ht="15.75" hidden="false" customHeight="false" outlineLevel="0" collapsed="false">
      <c r="A273" s="9" t="n">
        <v>46127</v>
      </c>
      <c r="B273" s="10"/>
      <c r="C273" s="11" t="s">
        <v>91</v>
      </c>
      <c r="D273" s="11" t="s">
        <v>383</v>
      </c>
      <c r="E273" s="11" t="s">
        <v>19</v>
      </c>
      <c r="F273" s="11" t="s">
        <v>19</v>
      </c>
      <c r="G273" s="11" t="s">
        <v>385</v>
      </c>
    </row>
    <row r="274" customFormat="false" ht="15.75" hidden="false" customHeight="false" outlineLevel="0" collapsed="false">
      <c r="A274" s="9" t="n">
        <v>46127</v>
      </c>
      <c r="B274" s="10"/>
      <c r="C274" s="11" t="s">
        <v>91</v>
      </c>
      <c r="D274" s="11" t="s">
        <v>91</v>
      </c>
      <c r="E274" s="11" t="s">
        <v>44</v>
      </c>
      <c r="F274" s="11" t="s">
        <v>19</v>
      </c>
      <c r="G274" s="11" t="s">
        <v>385</v>
      </c>
    </row>
    <row r="275" customFormat="false" ht="15.75" hidden="false" customHeight="false" outlineLevel="0" collapsed="false">
      <c r="A275" s="9" t="n">
        <v>46127</v>
      </c>
      <c r="B275" s="10"/>
      <c r="C275" s="11" t="s">
        <v>386</v>
      </c>
      <c r="D275" s="11" t="s">
        <v>387</v>
      </c>
      <c r="E275" s="11" t="s">
        <v>44</v>
      </c>
      <c r="F275" s="11" t="s">
        <v>44</v>
      </c>
      <c r="G275" s="11" t="s">
        <v>385</v>
      </c>
    </row>
    <row r="276" customFormat="false" ht="15.75" hidden="false" customHeight="false" outlineLevel="0" collapsed="false">
      <c r="A276" s="9" t="n">
        <v>46127</v>
      </c>
      <c r="B276" s="10"/>
      <c r="C276" s="11" t="s">
        <v>386</v>
      </c>
      <c r="D276" s="11" t="s">
        <v>383</v>
      </c>
      <c r="E276" s="11" t="s">
        <v>44</v>
      </c>
      <c r="F276" s="11" t="s">
        <v>19</v>
      </c>
      <c r="G276" s="11" t="s">
        <v>384</v>
      </c>
    </row>
    <row r="277" customFormat="false" ht="15.75" hidden="false" customHeight="false" outlineLevel="0" collapsed="false">
      <c r="A277" s="9" t="n">
        <v>46127</v>
      </c>
      <c r="B277" s="10"/>
      <c r="C277" s="11" t="s">
        <v>386</v>
      </c>
      <c r="D277" s="11" t="s">
        <v>22</v>
      </c>
      <c r="E277" s="11" t="s">
        <v>44</v>
      </c>
      <c r="F277" s="11" t="s">
        <v>44</v>
      </c>
      <c r="G277" s="11" t="s">
        <v>385</v>
      </c>
    </row>
    <row r="278" customFormat="false" ht="15.75" hidden="false" customHeight="false" outlineLevel="0" collapsed="false">
      <c r="A278" s="9" t="n">
        <v>46127</v>
      </c>
      <c r="B278" s="10"/>
      <c r="C278" s="11" t="s">
        <v>386</v>
      </c>
      <c r="D278" s="11" t="s">
        <v>383</v>
      </c>
      <c r="E278" s="11" t="s">
        <v>44</v>
      </c>
      <c r="F278" s="11" t="s">
        <v>19</v>
      </c>
      <c r="G278" s="11" t="s">
        <v>385</v>
      </c>
    </row>
    <row r="279" customFormat="false" ht="15.75" hidden="false" customHeight="false" outlineLevel="0" collapsed="false">
      <c r="A279" s="9" t="n">
        <v>46127</v>
      </c>
      <c r="B279" s="10"/>
      <c r="C279" s="11" t="s">
        <v>386</v>
      </c>
      <c r="D279" s="11" t="s">
        <v>383</v>
      </c>
      <c r="E279" s="11" t="s">
        <v>44</v>
      </c>
      <c r="F279" s="11" t="s">
        <v>19</v>
      </c>
      <c r="G279" s="11" t="s">
        <v>384</v>
      </c>
    </row>
    <row r="280" customFormat="false" ht="15.75" hidden="false" customHeight="false" outlineLevel="0" collapsed="false">
      <c r="A280" s="9" t="n">
        <v>46126</v>
      </c>
      <c r="B280" s="10"/>
      <c r="C280" s="11" t="s">
        <v>91</v>
      </c>
      <c r="D280" s="11" t="s">
        <v>91</v>
      </c>
      <c r="E280" s="11" t="s">
        <v>19</v>
      </c>
      <c r="F280" s="11" t="s">
        <v>19</v>
      </c>
      <c r="G280" s="11" t="s">
        <v>385</v>
      </c>
    </row>
    <row r="281" customFormat="false" ht="15.75" hidden="false" customHeight="false" outlineLevel="0" collapsed="false">
      <c r="A281" s="9" t="n">
        <v>46126</v>
      </c>
      <c r="B281" s="10"/>
      <c r="C281" s="11" t="s">
        <v>386</v>
      </c>
      <c r="D281" s="11" t="s">
        <v>388</v>
      </c>
      <c r="E281" s="11" t="s">
        <v>44</v>
      </c>
      <c r="F281" s="11" t="s">
        <v>44</v>
      </c>
      <c r="G281" s="11" t="s">
        <v>385</v>
      </c>
    </row>
    <row r="282" customFormat="false" ht="15.75" hidden="false" customHeight="false" outlineLevel="0" collapsed="false">
      <c r="A282" s="9" t="n">
        <v>46126</v>
      </c>
      <c r="B282" s="10"/>
      <c r="C282" s="11" t="s">
        <v>91</v>
      </c>
      <c r="D282" s="11" t="s">
        <v>91</v>
      </c>
      <c r="E282" s="11" t="s">
        <v>44</v>
      </c>
      <c r="F282" s="11" t="s">
        <v>44</v>
      </c>
      <c r="G282" s="11" t="s">
        <v>385</v>
      </c>
    </row>
    <row r="283" customFormat="false" ht="15.75" hidden="false" customHeight="false" outlineLevel="0" collapsed="false">
      <c r="A283" s="9" t="n">
        <v>46126</v>
      </c>
      <c r="B283" s="10"/>
      <c r="C283" s="11" t="s">
        <v>91</v>
      </c>
      <c r="D283" s="11" t="s">
        <v>91</v>
      </c>
      <c r="E283" s="11" t="s">
        <v>44</v>
      </c>
      <c r="F283" s="11" t="s">
        <v>44</v>
      </c>
      <c r="G283" s="11" t="s">
        <v>385</v>
      </c>
    </row>
    <row r="284" customFormat="false" ht="15.75" hidden="false" customHeight="false" outlineLevel="0" collapsed="false">
      <c r="A284" s="9" t="n">
        <v>46126</v>
      </c>
      <c r="B284" s="10"/>
      <c r="C284" s="11" t="s">
        <v>386</v>
      </c>
      <c r="D284" s="11" t="s">
        <v>383</v>
      </c>
      <c r="E284" s="11" t="s">
        <v>44</v>
      </c>
      <c r="F284" s="11" t="s">
        <v>19</v>
      </c>
      <c r="G284" s="11" t="s">
        <v>385</v>
      </c>
    </row>
    <row r="285" customFormat="false" ht="15.75" hidden="false" customHeight="false" outlineLevel="0" collapsed="false">
      <c r="A285" s="9" t="n">
        <v>46126</v>
      </c>
      <c r="B285" s="10"/>
      <c r="C285" s="11" t="s">
        <v>386</v>
      </c>
      <c r="D285" s="11" t="s">
        <v>383</v>
      </c>
      <c r="E285" s="11" t="s">
        <v>44</v>
      </c>
      <c r="F285" s="11" t="s">
        <v>19</v>
      </c>
      <c r="G285" s="11" t="s">
        <v>384</v>
      </c>
    </row>
    <row r="286" customFormat="false" ht="15.75" hidden="false" customHeight="false" outlineLevel="0" collapsed="false">
      <c r="A286" s="9" t="n">
        <v>46125</v>
      </c>
      <c r="B286" s="10"/>
      <c r="C286" s="11" t="s">
        <v>386</v>
      </c>
      <c r="D286" s="11" t="s">
        <v>387</v>
      </c>
      <c r="E286" s="11" t="s">
        <v>44</v>
      </c>
      <c r="F286" s="11" t="s">
        <v>19</v>
      </c>
      <c r="G286" s="11" t="s">
        <v>385</v>
      </c>
    </row>
    <row r="287" customFormat="false" ht="15.75" hidden="false" customHeight="false" outlineLevel="0" collapsed="false">
      <c r="A287" s="9" t="n">
        <v>46125</v>
      </c>
      <c r="B287" s="10"/>
      <c r="C287" s="11" t="s">
        <v>386</v>
      </c>
      <c r="D287" s="11" t="s">
        <v>383</v>
      </c>
      <c r="E287" s="11" t="s">
        <v>44</v>
      </c>
      <c r="F287" s="11" t="s">
        <v>19</v>
      </c>
      <c r="G287" s="11" t="s">
        <v>385</v>
      </c>
    </row>
    <row r="288" customFormat="false" ht="15.75" hidden="false" customHeight="false" outlineLevel="0" collapsed="false">
      <c r="A288" s="9" t="n">
        <v>46125</v>
      </c>
      <c r="B288" s="10"/>
      <c r="C288" s="11" t="s">
        <v>386</v>
      </c>
      <c r="D288" s="11" t="s">
        <v>388</v>
      </c>
      <c r="E288" s="11" t="s">
        <v>44</v>
      </c>
      <c r="F288" s="11" t="s">
        <v>19</v>
      </c>
      <c r="G288" s="11" t="s">
        <v>385</v>
      </c>
    </row>
    <row r="289" customFormat="false" ht="15.75" hidden="false" customHeight="false" outlineLevel="0" collapsed="false">
      <c r="A289" s="9" t="n">
        <v>46125</v>
      </c>
      <c r="B289" s="10"/>
      <c r="C289" s="11" t="s">
        <v>386</v>
      </c>
      <c r="D289" s="11" t="s">
        <v>383</v>
      </c>
      <c r="E289" s="11" t="s">
        <v>44</v>
      </c>
      <c r="F289" s="11" t="s">
        <v>44</v>
      </c>
      <c r="G289" s="11" t="s">
        <v>385</v>
      </c>
    </row>
    <row r="290" customFormat="false" ht="15.75" hidden="false" customHeight="false" outlineLevel="0" collapsed="false">
      <c r="A290" s="9" t="n">
        <v>46125</v>
      </c>
      <c r="B290" s="10"/>
      <c r="C290" s="11" t="s">
        <v>386</v>
      </c>
      <c r="D290" s="11" t="s">
        <v>383</v>
      </c>
      <c r="E290" s="11" t="s">
        <v>44</v>
      </c>
      <c r="F290" s="11" t="s">
        <v>19</v>
      </c>
      <c r="G290" s="11" t="s">
        <v>385</v>
      </c>
    </row>
    <row r="291" customFormat="false" ht="15.75" hidden="false" customHeight="false" outlineLevel="0" collapsed="false">
      <c r="A291" s="9" t="n">
        <v>46125</v>
      </c>
      <c r="B291" s="10"/>
      <c r="C291" s="11" t="s">
        <v>386</v>
      </c>
      <c r="D291" s="11" t="s">
        <v>22</v>
      </c>
      <c r="E291" s="11" t="s">
        <v>44</v>
      </c>
      <c r="F291" s="11" t="s">
        <v>44</v>
      </c>
      <c r="G291" s="11" t="s">
        <v>385</v>
      </c>
    </row>
    <row r="292" customFormat="false" ht="15.75" hidden="false" customHeight="false" outlineLevel="0" collapsed="false">
      <c r="A292" s="9" t="n">
        <v>46125</v>
      </c>
      <c r="B292" s="10"/>
      <c r="C292" s="11" t="s">
        <v>386</v>
      </c>
      <c r="D292" s="11" t="s">
        <v>383</v>
      </c>
      <c r="E292" s="11" t="s">
        <v>44</v>
      </c>
      <c r="F292" s="11" t="s">
        <v>19</v>
      </c>
      <c r="G292" s="11" t="s">
        <v>384</v>
      </c>
    </row>
    <row r="293" customFormat="false" ht="15.75" hidden="false" customHeight="false" outlineLevel="0" collapsed="false">
      <c r="A293" s="9" t="n">
        <v>46123</v>
      </c>
      <c r="B293" s="10"/>
      <c r="C293" s="11" t="s">
        <v>386</v>
      </c>
      <c r="D293" s="11" t="s">
        <v>383</v>
      </c>
      <c r="E293" s="11" t="s">
        <v>19</v>
      </c>
      <c r="F293" s="11" t="s">
        <v>19</v>
      </c>
      <c r="G293" s="11" t="s">
        <v>384</v>
      </c>
    </row>
    <row r="294" customFormat="false" ht="15.75" hidden="false" customHeight="false" outlineLevel="0" collapsed="false">
      <c r="A294" s="9" t="n">
        <v>46123</v>
      </c>
      <c r="B294" s="10"/>
      <c r="C294" s="11" t="s">
        <v>386</v>
      </c>
      <c r="D294" s="11" t="s">
        <v>388</v>
      </c>
      <c r="E294" s="11" t="s">
        <v>44</v>
      </c>
      <c r="F294" s="11" t="s">
        <v>19</v>
      </c>
      <c r="G294" s="11" t="s">
        <v>385</v>
      </c>
    </row>
    <row r="295" customFormat="false" ht="15.75" hidden="false" customHeight="false" outlineLevel="0" collapsed="false">
      <c r="A295" s="9" t="n">
        <v>46123</v>
      </c>
      <c r="B295" s="10"/>
      <c r="C295" s="11" t="s">
        <v>386</v>
      </c>
      <c r="D295" s="11" t="s">
        <v>387</v>
      </c>
      <c r="E295" s="11" t="s">
        <v>44</v>
      </c>
      <c r="F295" s="11" t="s">
        <v>44</v>
      </c>
      <c r="G295" s="11" t="s">
        <v>385</v>
      </c>
    </row>
    <row r="296" customFormat="false" ht="15.75" hidden="false" customHeight="false" outlineLevel="0" collapsed="false">
      <c r="A296" s="9" t="n">
        <v>46123</v>
      </c>
      <c r="B296" s="10"/>
      <c r="C296" s="11" t="s">
        <v>386</v>
      </c>
      <c r="D296" s="11" t="s">
        <v>383</v>
      </c>
      <c r="E296" s="11" t="s">
        <v>44</v>
      </c>
      <c r="F296" s="11" t="s">
        <v>19</v>
      </c>
      <c r="G296" s="11" t="s">
        <v>385</v>
      </c>
    </row>
    <row r="297" customFormat="false" ht="15.75" hidden="false" customHeight="false" outlineLevel="0" collapsed="false">
      <c r="A297" s="9" t="n">
        <v>46123</v>
      </c>
      <c r="B297" s="10"/>
      <c r="C297" s="11" t="s">
        <v>386</v>
      </c>
      <c r="D297" s="11" t="s">
        <v>22</v>
      </c>
      <c r="E297" s="11" t="s">
        <v>44</v>
      </c>
      <c r="F297" s="11" t="s">
        <v>19</v>
      </c>
      <c r="G297" s="11" t="s">
        <v>384</v>
      </c>
    </row>
    <row r="298" customFormat="false" ht="15.75" hidden="false" customHeight="false" outlineLevel="0" collapsed="false">
      <c r="A298" s="9" t="n">
        <v>46122</v>
      </c>
      <c r="B298" s="10"/>
      <c r="C298" s="11" t="s">
        <v>386</v>
      </c>
      <c r="D298" s="11" t="s">
        <v>388</v>
      </c>
      <c r="E298" s="11" t="s">
        <v>44</v>
      </c>
      <c r="F298" s="11" t="s">
        <v>44</v>
      </c>
      <c r="G298" s="11" t="s">
        <v>385</v>
      </c>
    </row>
    <row r="299" customFormat="false" ht="15.75" hidden="false" customHeight="false" outlineLevel="0" collapsed="false">
      <c r="A299" s="9" t="n">
        <v>46122</v>
      </c>
      <c r="B299" s="10"/>
      <c r="C299" s="11" t="s">
        <v>386</v>
      </c>
      <c r="D299" s="11" t="s">
        <v>383</v>
      </c>
      <c r="E299" s="11" t="s">
        <v>44</v>
      </c>
      <c r="F299" s="11" t="s">
        <v>19</v>
      </c>
      <c r="G299" s="11" t="s">
        <v>385</v>
      </c>
    </row>
    <row r="300" customFormat="false" ht="15.75" hidden="false" customHeight="false" outlineLevel="0" collapsed="false">
      <c r="A300" s="9" t="n">
        <v>46122</v>
      </c>
      <c r="B300" s="10"/>
      <c r="C300" s="11" t="s">
        <v>386</v>
      </c>
      <c r="D300" s="11" t="s">
        <v>383</v>
      </c>
      <c r="E300" s="11" t="s">
        <v>44</v>
      </c>
      <c r="F300" s="11" t="s">
        <v>19</v>
      </c>
      <c r="G300" s="11" t="s">
        <v>385</v>
      </c>
    </row>
    <row r="301" customFormat="false" ht="15.75" hidden="false" customHeight="false" outlineLevel="0" collapsed="false">
      <c r="A301" s="9" t="n">
        <v>46122</v>
      </c>
      <c r="B301" s="10"/>
      <c r="C301" s="11" t="s">
        <v>386</v>
      </c>
      <c r="D301" s="11" t="s">
        <v>383</v>
      </c>
      <c r="E301" s="11" t="s">
        <v>44</v>
      </c>
      <c r="F301" s="11" t="s">
        <v>19</v>
      </c>
      <c r="G301" s="11" t="s">
        <v>384</v>
      </c>
    </row>
    <row r="302" customFormat="false" ht="15.75" hidden="false" customHeight="false" outlineLevel="0" collapsed="false">
      <c r="A302" s="9" t="n">
        <v>46121</v>
      </c>
      <c r="B302" s="10"/>
      <c r="C302" s="11" t="s">
        <v>386</v>
      </c>
      <c r="D302" s="11" t="s">
        <v>22</v>
      </c>
      <c r="E302" s="11" t="s">
        <v>44</v>
      </c>
      <c r="F302" s="11" t="s">
        <v>19</v>
      </c>
      <c r="G302" s="11" t="s">
        <v>385</v>
      </c>
    </row>
    <row r="303" customFormat="false" ht="15.75" hidden="false" customHeight="false" outlineLevel="0" collapsed="false">
      <c r="A303" s="9" t="n">
        <v>46121</v>
      </c>
      <c r="B303" s="10"/>
      <c r="C303" s="11" t="s">
        <v>386</v>
      </c>
      <c r="D303" s="11" t="s">
        <v>383</v>
      </c>
      <c r="E303" s="11" t="s">
        <v>44</v>
      </c>
      <c r="F303" s="11" t="s">
        <v>19</v>
      </c>
      <c r="G303" s="11" t="s">
        <v>385</v>
      </c>
    </row>
    <row r="304" customFormat="false" ht="15.75" hidden="false" customHeight="false" outlineLevel="0" collapsed="false">
      <c r="A304" s="9" t="n">
        <v>46121</v>
      </c>
      <c r="B304" s="10"/>
      <c r="C304" s="11" t="s">
        <v>386</v>
      </c>
      <c r="D304" s="11" t="s">
        <v>383</v>
      </c>
      <c r="E304" s="11" t="s">
        <v>44</v>
      </c>
      <c r="F304" s="11" t="s">
        <v>19</v>
      </c>
      <c r="G304" s="11" t="s">
        <v>384</v>
      </c>
    </row>
    <row r="305" customFormat="false" ht="15.75" hidden="false" customHeight="false" outlineLevel="0" collapsed="false">
      <c r="A305" s="9" t="n">
        <v>46121</v>
      </c>
      <c r="B305" s="10"/>
      <c r="C305" s="11" t="s">
        <v>386</v>
      </c>
      <c r="D305" s="11" t="s">
        <v>387</v>
      </c>
      <c r="E305" s="11" t="s">
        <v>44</v>
      </c>
      <c r="F305" s="11" t="s">
        <v>44</v>
      </c>
      <c r="G305" s="11" t="s">
        <v>385</v>
      </c>
    </row>
    <row r="306" customFormat="false" ht="15.75" hidden="false" customHeight="false" outlineLevel="0" collapsed="false">
      <c r="A306" s="9" t="n">
        <v>46121</v>
      </c>
      <c r="B306" s="10"/>
      <c r="C306" s="11" t="s">
        <v>386</v>
      </c>
      <c r="D306" s="11" t="s">
        <v>383</v>
      </c>
      <c r="E306" s="11" t="s">
        <v>44</v>
      </c>
      <c r="F306" s="11" t="s">
        <v>19</v>
      </c>
      <c r="G306" s="11" t="s">
        <v>385</v>
      </c>
    </row>
    <row r="307" customFormat="false" ht="15.75" hidden="false" customHeight="false" outlineLevel="0" collapsed="false">
      <c r="A307" s="9" t="n">
        <v>46121</v>
      </c>
      <c r="B307" s="10"/>
      <c r="C307" s="11" t="s">
        <v>386</v>
      </c>
      <c r="D307" s="11" t="s">
        <v>22</v>
      </c>
      <c r="E307" s="11" t="s">
        <v>44</v>
      </c>
      <c r="F307" s="11" t="s">
        <v>19</v>
      </c>
      <c r="G307" s="11" t="s">
        <v>385</v>
      </c>
    </row>
    <row r="308" customFormat="false" ht="15.75" hidden="false" customHeight="false" outlineLevel="0" collapsed="false">
      <c r="A308" s="9" t="n">
        <v>46120</v>
      </c>
      <c r="B308" s="10"/>
      <c r="C308" s="11" t="s">
        <v>386</v>
      </c>
      <c r="D308" s="11" t="s">
        <v>387</v>
      </c>
      <c r="E308" s="11" t="s">
        <v>44</v>
      </c>
      <c r="F308" s="11" t="s">
        <v>19</v>
      </c>
      <c r="G308" s="11" t="s">
        <v>385</v>
      </c>
    </row>
    <row r="309" customFormat="false" ht="15.75" hidden="false" customHeight="false" outlineLevel="0" collapsed="false">
      <c r="A309" s="9" t="n">
        <v>46120</v>
      </c>
      <c r="B309" s="10"/>
      <c r="C309" s="11" t="s">
        <v>386</v>
      </c>
      <c r="D309" s="11" t="s">
        <v>22</v>
      </c>
      <c r="E309" s="11" t="s">
        <v>19</v>
      </c>
      <c r="F309" s="11" t="s">
        <v>19</v>
      </c>
      <c r="G309" s="11" t="s">
        <v>385</v>
      </c>
    </row>
    <row r="310" customFormat="false" ht="15.75" hidden="false" customHeight="false" outlineLevel="0" collapsed="false">
      <c r="A310" s="9" t="n">
        <v>46120</v>
      </c>
      <c r="B310" s="10"/>
      <c r="C310" s="11" t="s">
        <v>386</v>
      </c>
      <c r="D310" s="11" t="s">
        <v>22</v>
      </c>
      <c r="E310" s="11" t="s">
        <v>44</v>
      </c>
      <c r="F310" s="11" t="s">
        <v>19</v>
      </c>
      <c r="G310" s="11" t="s">
        <v>385</v>
      </c>
    </row>
    <row r="311" customFormat="false" ht="15.75" hidden="false" customHeight="false" outlineLevel="0" collapsed="false">
      <c r="A311" s="9" t="n">
        <v>46120</v>
      </c>
      <c r="B311" s="10"/>
      <c r="C311" s="11" t="s">
        <v>386</v>
      </c>
      <c r="D311" s="11" t="s">
        <v>388</v>
      </c>
      <c r="E311" s="11" t="s">
        <v>44</v>
      </c>
      <c r="F311" s="11" t="s">
        <v>44</v>
      </c>
      <c r="G311" s="11" t="s">
        <v>385</v>
      </c>
    </row>
    <row r="312" customFormat="false" ht="15.75" hidden="false" customHeight="false" outlineLevel="0" collapsed="false">
      <c r="A312" s="9" t="n">
        <v>46120</v>
      </c>
      <c r="B312" s="10"/>
      <c r="C312" s="11" t="s">
        <v>386</v>
      </c>
      <c r="D312" s="11" t="s">
        <v>383</v>
      </c>
      <c r="E312" s="11" t="s">
        <v>44</v>
      </c>
      <c r="F312" s="11" t="s">
        <v>19</v>
      </c>
      <c r="G312" s="11" t="s">
        <v>385</v>
      </c>
    </row>
    <row r="313" customFormat="false" ht="15.75" hidden="false" customHeight="false" outlineLevel="0" collapsed="false">
      <c r="A313" s="9" t="n">
        <v>46120</v>
      </c>
      <c r="B313" s="10"/>
      <c r="C313" s="11" t="s">
        <v>386</v>
      </c>
      <c r="D313" s="11" t="s">
        <v>383</v>
      </c>
      <c r="E313" s="11" t="s">
        <v>44</v>
      </c>
      <c r="F313" s="11" t="s">
        <v>19</v>
      </c>
      <c r="G313" s="11" t="s">
        <v>385</v>
      </c>
    </row>
    <row r="314" customFormat="false" ht="15.75" hidden="false" customHeight="false" outlineLevel="0" collapsed="false">
      <c r="A314" s="9" t="n">
        <v>46119</v>
      </c>
      <c r="B314" s="10"/>
      <c r="C314" s="11" t="s">
        <v>386</v>
      </c>
      <c r="D314" s="11" t="s">
        <v>388</v>
      </c>
      <c r="E314" s="11" t="s">
        <v>44</v>
      </c>
      <c r="F314" s="11" t="s">
        <v>19</v>
      </c>
      <c r="G314" s="11" t="s">
        <v>385</v>
      </c>
    </row>
    <row r="315" customFormat="false" ht="15.75" hidden="false" customHeight="false" outlineLevel="0" collapsed="false">
      <c r="A315" s="9" t="n">
        <v>46119</v>
      </c>
      <c r="B315" s="10"/>
      <c r="C315" s="11" t="s">
        <v>386</v>
      </c>
      <c r="D315" s="11" t="s">
        <v>387</v>
      </c>
      <c r="E315" s="11" t="s">
        <v>44</v>
      </c>
      <c r="F315" s="11" t="s">
        <v>19</v>
      </c>
      <c r="G315" s="11" t="s">
        <v>385</v>
      </c>
    </row>
    <row r="316" customFormat="false" ht="15.75" hidden="false" customHeight="false" outlineLevel="0" collapsed="false">
      <c r="A316" s="9" t="n">
        <v>46119</v>
      </c>
      <c r="B316" s="10"/>
      <c r="C316" s="11" t="s">
        <v>386</v>
      </c>
      <c r="D316" s="11" t="s">
        <v>22</v>
      </c>
      <c r="E316" s="11" t="s">
        <v>44</v>
      </c>
      <c r="F316" s="11" t="s">
        <v>44</v>
      </c>
      <c r="G316" s="11" t="s">
        <v>385</v>
      </c>
    </row>
    <row r="317" customFormat="false" ht="15.75" hidden="false" customHeight="false" outlineLevel="0" collapsed="false">
      <c r="A317" s="9" t="n">
        <v>46119</v>
      </c>
      <c r="B317" s="10"/>
      <c r="C317" s="11" t="s">
        <v>386</v>
      </c>
      <c r="D317" s="11" t="s">
        <v>22</v>
      </c>
      <c r="E317" s="11" t="s">
        <v>44</v>
      </c>
      <c r="F317" s="11" t="s">
        <v>19</v>
      </c>
      <c r="G317" s="11" t="s">
        <v>384</v>
      </c>
    </row>
    <row r="318" customFormat="false" ht="15.75" hidden="false" customHeight="false" outlineLevel="0" collapsed="false">
      <c r="A318" s="9" t="n">
        <v>46119</v>
      </c>
      <c r="B318" s="10"/>
      <c r="C318" s="11" t="s">
        <v>386</v>
      </c>
      <c r="D318" s="11" t="s">
        <v>22</v>
      </c>
      <c r="E318" s="11" t="s">
        <v>44</v>
      </c>
      <c r="F318" s="11" t="s">
        <v>44</v>
      </c>
      <c r="G318" s="11" t="s">
        <v>385</v>
      </c>
    </row>
    <row r="319" customFormat="false" ht="15.75" hidden="false" customHeight="false" outlineLevel="0" collapsed="false">
      <c r="A319" s="9" t="n">
        <v>46119</v>
      </c>
      <c r="B319" s="10"/>
      <c r="C319" s="11" t="s">
        <v>386</v>
      </c>
      <c r="D319" s="11" t="s">
        <v>383</v>
      </c>
      <c r="E319" s="11" t="s">
        <v>44</v>
      </c>
      <c r="F319" s="11" t="s">
        <v>19</v>
      </c>
      <c r="G319" s="11" t="s">
        <v>384</v>
      </c>
    </row>
    <row r="320" customFormat="false" ht="15.75" hidden="false" customHeight="false" outlineLevel="0" collapsed="false">
      <c r="A320" s="9" t="n">
        <v>46119</v>
      </c>
      <c r="B320" s="10"/>
      <c r="C320" s="11" t="s">
        <v>386</v>
      </c>
      <c r="D320" s="11" t="s">
        <v>383</v>
      </c>
      <c r="E320" s="11" t="s">
        <v>44</v>
      </c>
      <c r="F320" s="11" t="s">
        <v>19</v>
      </c>
      <c r="G320" s="11" t="s">
        <v>384</v>
      </c>
    </row>
    <row r="321" customFormat="false" ht="15.75" hidden="false" customHeight="false" outlineLevel="0" collapsed="false">
      <c r="A321" s="9" t="n">
        <v>46118</v>
      </c>
      <c r="B321" s="10"/>
      <c r="C321" s="11" t="s">
        <v>386</v>
      </c>
      <c r="D321" s="11" t="s">
        <v>383</v>
      </c>
      <c r="E321" s="11" t="s">
        <v>19</v>
      </c>
      <c r="F321" s="11" t="s">
        <v>19</v>
      </c>
      <c r="G321" s="11" t="s">
        <v>385</v>
      </c>
    </row>
    <row r="322" customFormat="false" ht="15.75" hidden="false" customHeight="false" outlineLevel="0" collapsed="false">
      <c r="A322" s="9" t="n">
        <v>46118</v>
      </c>
      <c r="B322" s="10"/>
      <c r="C322" s="11" t="s">
        <v>386</v>
      </c>
      <c r="D322" s="11" t="s">
        <v>383</v>
      </c>
      <c r="E322" s="11" t="s">
        <v>19</v>
      </c>
      <c r="F322" s="11" t="s">
        <v>19</v>
      </c>
      <c r="G322" s="11" t="s">
        <v>384</v>
      </c>
    </row>
    <row r="323" customFormat="false" ht="15.75" hidden="false" customHeight="false" outlineLevel="0" collapsed="false">
      <c r="A323" s="9" t="n">
        <v>46118</v>
      </c>
      <c r="B323" s="10"/>
      <c r="C323" s="11" t="s">
        <v>386</v>
      </c>
      <c r="D323" s="11" t="s">
        <v>388</v>
      </c>
      <c r="E323" s="11" t="s">
        <v>44</v>
      </c>
      <c r="F323" s="11" t="s">
        <v>19</v>
      </c>
      <c r="G323" s="11" t="s">
        <v>385</v>
      </c>
    </row>
    <row r="324" customFormat="false" ht="15.75" hidden="false" customHeight="false" outlineLevel="0" collapsed="false">
      <c r="A324" s="9" t="n">
        <v>46118</v>
      </c>
      <c r="B324" s="10"/>
      <c r="C324" s="11" t="s">
        <v>386</v>
      </c>
      <c r="D324" s="11" t="s">
        <v>383</v>
      </c>
      <c r="E324" s="11" t="s">
        <v>44</v>
      </c>
      <c r="F324" s="11" t="s">
        <v>19</v>
      </c>
      <c r="G324" s="11" t="s">
        <v>384</v>
      </c>
    </row>
    <row r="325" customFormat="false" ht="15.75" hidden="false" customHeight="false" outlineLevel="0" collapsed="false">
      <c r="A325" s="9" t="n">
        <v>46118</v>
      </c>
      <c r="B325" s="10"/>
      <c r="C325" s="11" t="s">
        <v>386</v>
      </c>
      <c r="D325" s="11" t="s">
        <v>383</v>
      </c>
      <c r="E325" s="11" t="s">
        <v>19</v>
      </c>
      <c r="F325" s="11" t="s">
        <v>19</v>
      </c>
      <c r="G325" s="11" t="s">
        <v>384</v>
      </c>
    </row>
    <row r="326" customFormat="false" ht="15.75" hidden="false" customHeight="false" outlineLevel="0" collapsed="false">
      <c r="A326" s="9" t="n">
        <v>46118</v>
      </c>
      <c r="B326" s="10"/>
      <c r="C326" s="11" t="s">
        <v>386</v>
      </c>
      <c r="D326" s="11" t="s">
        <v>22</v>
      </c>
      <c r="E326" s="11" t="s">
        <v>44</v>
      </c>
      <c r="F326" s="11" t="s">
        <v>19</v>
      </c>
      <c r="G326" s="11" t="s">
        <v>385</v>
      </c>
    </row>
    <row r="327" customFormat="false" ht="15.75" hidden="false" customHeight="false" outlineLevel="0" collapsed="false">
      <c r="A327" s="9" t="n">
        <v>46118</v>
      </c>
      <c r="B327" s="10"/>
      <c r="C327" s="11" t="s">
        <v>386</v>
      </c>
      <c r="D327" s="11" t="s">
        <v>387</v>
      </c>
      <c r="E327" s="11" t="s">
        <v>44</v>
      </c>
      <c r="F327" s="11" t="s">
        <v>19</v>
      </c>
      <c r="G327" s="11" t="s">
        <v>385</v>
      </c>
    </row>
    <row r="328" customFormat="false" ht="15.75" hidden="false" customHeight="false" outlineLevel="0" collapsed="false">
      <c r="A328" s="9" t="n">
        <v>46118</v>
      </c>
      <c r="B328" s="10"/>
      <c r="C328" s="11" t="s">
        <v>386</v>
      </c>
      <c r="D328" s="11" t="s">
        <v>383</v>
      </c>
      <c r="E328" s="11" t="s">
        <v>44</v>
      </c>
      <c r="F328" s="11" t="s">
        <v>19</v>
      </c>
      <c r="G328" s="11" t="s">
        <v>384</v>
      </c>
    </row>
    <row r="329" customFormat="false" ht="15.75" hidden="false" customHeight="false" outlineLevel="0" collapsed="false">
      <c r="A329" s="9" t="n">
        <v>46114</v>
      </c>
      <c r="B329" s="10"/>
      <c r="C329" s="11" t="s">
        <v>386</v>
      </c>
      <c r="D329" s="11" t="s">
        <v>383</v>
      </c>
      <c r="E329" s="11" t="s">
        <v>44</v>
      </c>
      <c r="F329" s="11" t="s">
        <v>19</v>
      </c>
      <c r="G329" s="11" t="s">
        <v>384</v>
      </c>
    </row>
    <row r="330" customFormat="false" ht="15.75" hidden="false" customHeight="false" outlineLevel="0" collapsed="false">
      <c r="A330" s="9" t="n">
        <v>46114</v>
      </c>
      <c r="B330" s="10"/>
      <c r="C330" s="11" t="s">
        <v>386</v>
      </c>
      <c r="D330" s="11" t="s">
        <v>388</v>
      </c>
      <c r="E330" s="11" t="s">
        <v>44</v>
      </c>
      <c r="F330" s="11" t="s">
        <v>44</v>
      </c>
      <c r="G330" s="11" t="s">
        <v>385</v>
      </c>
    </row>
    <row r="331" customFormat="false" ht="15.75" hidden="false" customHeight="false" outlineLevel="0" collapsed="false">
      <c r="A331" s="9" t="n">
        <v>46114</v>
      </c>
      <c r="B331" s="10"/>
      <c r="C331" s="11" t="s">
        <v>386</v>
      </c>
      <c r="D331" s="11" t="s">
        <v>383</v>
      </c>
      <c r="E331" s="11" t="s">
        <v>44</v>
      </c>
      <c r="F331" s="11" t="s">
        <v>19</v>
      </c>
      <c r="G331" s="11" t="s">
        <v>385</v>
      </c>
    </row>
    <row r="332" customFormat="false" ht="15.75" hidden="false" customHeight="false" outlineLevel="0" collapsed="false">
      <c r="A332" s="9" t="n">
        <v>46113</v>
      </c>
      <c r="B332" s="10"/>
      <c r="C332" s="11" t="s">
        <v>386</v>
      </c>
      <c r="D332" s="11" t="s">
        <v>383</v>
      </c>
      <c r="E332" s="11" t="s">
        <v>44</v>
      </c>
      <c r="F332" s="11" t="s">
        <v>19</v>
      </c>
      <c r="G332" s="11" t="s">
        <v>384</v>
      </c>
    </row>
    <row r="333" customFormat="false" ht="15.75" hidden="false" customHeight="false" outlineLevel="0" collapsed="false">
      <c r="A333" s="9" t="n">
        <v>46113</v>
      </c>
      <c r="B333" s="10"/>
      <c r="C333" s="11" t="s">
        <v>386</v>
      </c>
      <c r="D333" s="11" t="s">
        <v>383</v>
      </c>
      <c r="E333" s="11" t="s">
        <v>44</v>
      </c>
      <c r="F333" s="11" t="s">
        <v>19</v>
      </c>
      <c r="G333" s="11" t="s">
        <v>385</v>
      </c>
    </row>
    <row r="334" customFormat="false" ht="15.75" hidden="false" customHeight="false" outlineLevel="0" collapsed="false">
      <c r="A334" s="9" t="n">
        <v>46113</v>
      </c>
      <c r="B334" s="10"/>
      <c r="C334" s="11" t="s">
        <v>386</v>
      </c>
      <c r="D334" s="11" t="s">
        <v>383</v>
      </c>
      <c r="E334" s="11" t="s">
        <v>44</v>
      </c>
      <c r="F334" s="11" t="s">
        <v>19</v>
      </c>
      <c r="G334" s="11" t="s">
        <v>384</v>
      </c>
    </row>
    <row r="335" customFormat="false" ht="15.75" hidden="false" customHeight="false" outlineLevel="0" collapsed="false">
      <c r="A335" s="9" t="n">
        <v>46113</v>
      </c>
      <c r="B335" s="10"/>
      <c r="C335" s="11" t="s">
        <v>386</v>
      </c>
      <c r="D335" s="11" t="s">
        <v>383</v>
      </c>
      <c r="E335" s="11" t="s">
        <v>44</v>
      </c>
      <c r="F335" s="11" t="s">
        <v>19</v>
      </c>
      <c r="G335" s="11" t="s">
        <v>385</v>
      </c>
    </row>
    <row r="336" customFormat="false" ht="15.75" hidden="false" customHeight="false" outlineLevel="0" collapsed="false">
      <c r="A336" s="9" t="n">
        <v>46113</v>
      </c>
      <c r="B336" s="10"/>
      <c r="C336" s="11" t="s">
        <v>386</v>
      </c>
      <c r="D336" s="11" t="s">
        <v>383</v>
      </c>
      <c r="E336" s="11" t="s">
        <v>44</v>
      </c>
      <c r="F336" s="11" t="s">
        <v>19</v>
      </c>
      <c r="G336" s="11" t="s">
        <v>385</v>
      </c>
    </row>
    <row r="337" customFormat="false" ht="15.75" hidden="false" customHeight="false" outlineLevel="0" collapsed="false">
      <c r="A337" s="9" t="n">
        <v>46113</v>
      </c>
      <c r="B337" s="10"/>
      <c r="C337" s="11" t="s">
        <v>386</v>
      </c>
      <c r="D337" s="11" t="s">
        <v>22</v>
      </c>
      <c r="E337" s="11" t="s">
        <v>44</v>
      </c>
      <c r="F337" s="11" t="s">
        <v>19</v>
      </c>
      <c r="G337" s="11" t="s">
        <v>384</v>
      </c>
    </row>
    <row r="338" customFormat="false" ht="15.75" hidden="false" customHeight="false" outlineLevel="0" collapsed="false">
      <c r="A338" s="9" t="n">
        <v>46112</v>
      </c>
      <c r="B338" s="10"/>
      <c r="C338" s="11" t="s">
        <v>386</v>
      </c>
      <c r="D338" s="11" t="s">
        <v>383</v>
      </c>
      <c r="E338" s="11" t="s">
        <v>19</v>
      </c>
      <c r="F338" s="11" t="s">
        <v>19</v>
      </c>
      <c r="G338" s="11" t="s">
        <v>385</v>
      </c>
    </row>
    <row r="339" customFormat="false" ht="15.75" hidden="false" customHeight="false" outlineLevel="0" collapsed="false">
      <c r="A339" s="9" t="n">
        <v>46112</v>
      </c>
      <c r="B339" s="10"/>
      <c r="C339" s="11" t="s">
        <v>386</v>
      </c>
      <c r="D339" s="11" t="s">
        <v>22</v>
      </c>
      <c r="E339" s="11" t="s">
        <v>44</v>
      </c>
      <c r="F339" s="11" t="s">
        <v>19</v>
      </c>
      <c r="G339" s="11" t="s">
        <v>384</v>
      </c>
    </row>
    <row r="340" customFormat="false" ht="15.75" hidden="false" customHeight="false" outlineLevel="0" collapsed="false">
      <c r="A340" s="9" t="n">
        <v>46112</v>
      </c>
      <c r="B340" s="10"/>
      <c r="C340" s="11" t="s">
        <v>389</v>
      </c>
      <c r="D340" s="11" t="s">
        <v>383</v>
      </c>
      <c r="E340" s="11" t="s">
        <v>44</v>
      </c>
      <c r="F340" s="11" t="s">
        <v>19</v>
      </c>
      <c r="G340" s="11" t="s">
        <v>385</v>
      </c>
    </row>
    <row r="341" customFormat="false" ht="15.75" hidden="false" customHeight="false" outlineLevel="0" collapsed="false">
      <c r="A341" s="9" t="n">
        <v>46112</v>
      </c>
      <c r="B341" s="10"/>
      <c r="C341" s="11" t="s">
        <v>386</v>
      </c>
      <c r="D341" s="11" t="s">
        <v>388</v>
      </c>
      <c r="E341" s="11" t="s">
        <v>44</v>
      </c>
      <c r="F341" s="11" t="s">
        <v>44</v>
      </c>
      <c r="G341" s="11" t="s">
        <v>385</v>
      </c>
    </row>
    <row r="342" customFormat="false" ht="15.75" hidden="false" customHeight="false" outlineLevel="0" collapsed="false">
      <c r="A342" s="9" t="n">
        <v>46112</v>
      </c>
      <c r="B342" s="10"/>
      <c r="C342" s="11" t="s">
        <v>91</v>
      </c>
      <c r="D342" s="11" t="s">
        <v>91</v>
      </c>
      <c r="E342" s="11" t="s">
        <v>44</v>
      </c>
      <c r="F342" s="11" t="s">
        <v>44</v>
      </c>
      <c r="G342" s="11" t="s">
        <v>385</v>
      </c>
    </row>
    <row r="343" customFormat="false" ht="15.75" hidden="false" customHeight="false" outlineLevel="0" collapsed="false">
      <c r="A343" s="9" t="n">
        <v>46112</v>
      </c>
      <c r="B343" s="10"/>
      <c r="C343" s="11" t="s">
        <v>91</v>
      </c>
      <c r="D343" s="11" t="s">
        <v>74</v>
      </c>
      <c r="E343" s="11" t="s">
        <v>19</v>
      </c>
      <c r="F343" s="11" t="s">
        <v>19</v>
      </c>
      <c r="G343" s="11" t="s">
        <v>384</v>
      </c>
    </row>
    <row r="344" customFormat="false" ht="15.75" hidden="false" customHeight="false" outlineLevel="0" collapsed="false">
      <c r="A344" s="9" t="n">
        <v>46112</v>
      </c>
      <c r="B344" s="10"/>
      <c r="C344" s="11" t="s">
        <v>386</v>
      </c>
      <c r="D344" s="11" t="s">
        <v>383</v>
      </c>
      <c r="E344" s="11" t="s">
        <v>44</v>
      </c>
      <c r="F344" s="11" t="s">
        <v>19</v>
      </c>
      <c r="G344" s="11" t="s">
        <v>384</v>
      </c>
    </row>
    <row r="345" customFormat="false" ht="15.75" hidden="false" customHeight="false" outlineLevel="0" collapsed="false">
      <c r="A345" s="9" t="n">
        <v>46112</v>
      </c>
      <c r="B345" s="10"/>
      <c r="C345" s="11" t="s">
        <v>386</v>
      </c>
      <c r="D345" s="11" t="s">
        <v>22</v>
      </c>
      <c r="E345" s="11" t="s">
        <v>44</v>
      </c>
      <c r="F345" s="11" t="s">
        <v>19</v>
      </c>
      <c r="G345" s="11" t="s">
        <v>385</v>
      </c>
    </row>
    <row r="346" customFormat="false" ht="15.75" hidden="false" customHeight="false" outlineLevel="0" collapsed="false">
      <c r="A346" s="9" t="n">
        <v>46111</v>
      </c>
      <c r="B346" s="10"/>
      <c r="C346" s="11" t="s">
        <v>389</v>
      </c>
      <c r="D346" s="11" t="s">
        <v>383</v>
      </c>
      <c r="E346" s="11" t="s">
        <v>44</v>
      </c>
      <c r="F346" s="11" t="s">
        <v>19</v>
      </c>
      <c r="G346" s="11" t="s">
        <v>385</v>
      </c>
    </row>
    <row r="347" customFormat="false" ht="15.75" hidden="false" customHeight="false" outlineLevel="0" collapsed="false">
      <c r="A347" s="9" t="n">
        <v>46111</v>
      </c>
      <c r="B347" s="10"/>
      <c r="C347" s="11" t="s">
        <v>386</v>
      </c>
      <c r="D347" s="11" t="s">
        <v>388</v>
      </c>
      <c r="E347" s="11" t="s">
        <v>44</v>
      </c>
      <c r="F347" s="11" t="s">
        <v>19</v>
      </c>
      <c r="G347" s="11" t="s">
        <v>385</v>
      </c>
    </row>
    <row r="348" customFormat="false" ht="15.75" hidden="false" customHeight="false" outlineLevel="0" collapsed="false">
      <c r="A348" s="9" t="n">
        <v>46111</v>
      </c>
      <c r="B348" s="10"/>
      <c r="C348" s="11" t="s">
        <v>386</v>
      </c>
      <c r="D348" s="11" t="s">
        <v>388</v>
      </c>
      <c r="E348" s="11" t="s">
        <v>44</v>
      </c>
      <c r="F348" s="11" t="s">
        <v>44</v>
      </c>
      <c r="G348" s="11" t="s">
        <v>385</v>
      </c>
    </row>
    <row r="349" customFormat="false" ht="15.75" hidden="false" customHeight="false" outlineLevel="0" collapsed="false">
      <c r="A349" s="9" t="n">
        <v>46111</v>
      </c>
      <c r="B349" s="10"/>
      <c r="C349" s="11" t="s">
        <v>386</v>
      </c>
      <c r="D349" s="11" t="s">
        <v>383</v>
      </c>
      <c r="E349" s="11" t="s">
        <v>44</v>
      </c>
      <c r="F349" s="11" t="s">
        <v>19</v>
      </c>
      <c r="G349" s="11" t="s">
        <v>384</v>
      </c>
    </row>
    <row r="350" customFormat="false" ht="15.75" hidden="false" customHeight="false" outlineLevel="0" collapsed="false">
      <c r="A350" s="9" t="n">
        <v>46111</v>
      </c>
      <c r="B350" s="10"/>
      <c r="C350" s="11" t="s">
        <v>389</v>
      </c>
      <c r="D350" s="11" t="s">
        <v>383</v>
      </c>
      <c r="E350" s="11" t="s">
        <v>44</v>
      </c>
      <c r="F350" s="11" t="s">
        <v>19</v>
      </c>
      <c r="G350" s="11" t="s">
        <v>384</v>
      </c>
    </row>
    <row r="351" customFormat="false" ht="15.75" hidden="false" customHeight="false" outlineLevel="0" collapsed="false">
      <c r="A351" s="9" t="n">
        <v>46111</v>
      </c>
      <c r="B351" s="10"/>
      <c r="C351" s="11" t="s">
        <v>386</v>
      </c>
      <c r="D351" s="11" t="s">
        <v>383</v>
      </c>
      <c r="E351" s="11" t="s">
        <v>44</v>
      </c>
      <c r="F351" s="11" t="s">
        <v>19</v>
      </c>
      <c r="G351" s="11" t="s">
        <v>384</v>
      </c>
    </row>
    <row r="352" customFormat="false" ht="15.75" hidden="false" customHeight="false" outlineLevel="0" collapsed="false">
      <c r="A352" s="9" t="n">
        <v>46111</v>
      </c>
      <c r="B352" s="10"/>
      <c r="C352" s="11" t="s">
        <v>91</v>
      </c>
      <c r="D352" s="11" t="s">
        <v>383</v>
      </c>
      <c r="E352" s="11" t="s">
        <v>19</v>
      </c>
      <c r="F352" s="11" t="s">
        <v>19</v>
      </c>
      <c r="G352" s="11" t="s">
        <v>385</v>
      </c>
    </row>
    <row r="353" customFormat="false" ht="15.75" hidden="false" customHeight="false" outlineLevel="0" collapsed="false">
      <c r="A353" s="9" t="n">
        <v>46109</v>
      </c>
      <c r="B353" s="10"/>
      <c r="C353" s="11" t="s">
        <v>91</v>
      </c>
      <c r="D353" s="11" t="s">
        <v>91</v>
      </c>
      <c r="E353" s="11" t="s">
        <v>44</v>
      </c>
      <c r="F353" s="11" t="s">
        <v>44</v>
      </c>
      <c r="G353" s="11" t="s">
        <v>385</v>
      </c>
    </row>
    <row r="354" customFormat="false" ht="15.75" hidden="false" customHeight="false" outlineLevel="0" collapsed="false">
      <c r="A354" s="9" t="n">
        <v>46109</v>
      </c>
      <c r="B354" s="10"/>
      <c r="C354" s="11" t="s">
        <v>386</v>
      </c>
      <c r="D354" s="11" t="s">
        <v>383</v>
      </c>
      <c r="E354" s="11" t="s">
        <v>44</v>
      </c>
      <c r="F354" s="11" t="s">
        <v>19</v>
      </c>
      <c r="G354" s="11" t="s">
        <v>385</v>
      </c>
    </row>
    <row r="355" customFormat="false" ht="15.75" hidden="false" customHeight="false" outlineLevel="0" collapsed="false">
      <c r="A355" s="9" t="n">
        <v>46109</v>
      </c>
      <c r="B355" s="10"/>
      <c r="C355" s="11" t="s">
        <v>386</v>
      </c>
      <c r="D355" s="11" t="s">
        <v>22</v>
      </c>
      <c r="E355" s="11" t="s">
        <v>44</v>
      </c>
      <c r="F355" s="11" t="s">
        <v>19</v>
      </c>
      <c r="G355" s="11" t="s">
        <v>384</v>
      </c>
    </row>
    <row r="356" customFormat="false" ht="15.75" hidden="false" customHeight="false" outlineLevel="0" collapsed="false">
      <c r="A356" s="9" t="n">
        <v>46109</v>
      </c>
      <c r="B356" s="10"/>
      <c r="C356" s="11" t="s">
        <v>386</v>
      </c>
      <c r="D356" s="11" t="s">
        <v>22</v>
      </c>
      <c r="E356" s="11" t="s">
        <v>44</v>
      </c>
      <c r="F356" s="11" t="s">
        <v>44</v>
      </c>
      <c r="G356" s="11" t="s">
        <v>385</v>
      </c>
    </row>
    <row r="357" customFormat="false" ht="15.75" hidden="false" customHeight="false" outlineLevel="0" collapsed="false">
      <c r="A357" s="9" t="n">
        <v>46109</v>
      </c>
      <c r="B357" s="10"/>
      <c r="C357" s="11" t="s">
        <v>386</v>
      </c>
      <c r="D357" s="11" t="s">
        <v>388</v>
      </c>
      <c r="E357" s="11" t="s">
        <v>44</v>
      </c>
      <c r="F357" s="11" t="s">
        <v>44</v>
      </c>
      <c r="G357" s="11" t="s">
        <v>385</v>
      </c>
    </row>
    <row r="358" customFormat="false" ht="15.75" hidden="false" customHeight="false" outlineLevel="0" collapsed="false">
      <c r="A358" s="9" t="n">
        <v>46109</v>
      </c>
      <c r="B358" s="10"/>
      <c r="C358" s="11" t="s">
        <v>386</v>
      </c>
      <c r="D358" s="11" t="s">
        <v>22</v>
      </c>
      <c r="E358" s="11" t="s">
        <v>44</v>
      </c>
      <c r="F358" s="11" t="s">
        <v>44</v>
      </c>
      <c r="G358" s="11" t="s">
        <v>385</v>
      </c>
    </row>
    <row r="359" customFormat="false" ht="15.75" hidden="false" customHeight="false" outlineLevel="0" collapsed="false">
      <c r="A359" s="9" t="n">
        <v>46109</v>
      </c>
      <c r="B359" s="10"/>
      <c r="C359" s="11" t="s">
        <v>386</v>
      </c>
      <c r="D359" s="11" t="s">
        <v>383</v>
      </c>
      <c r="E359" s="11" t="s">
        <v>44</v>
      </c>
      <c r="F359" s="11" t="s">
        <v>19</v>
      </c>
      <c r="G359" s="11" t="s">
        <v>385</v>
      </c>
    </row>
    <row r="360" customFormat="false" ht="15.75" hidden="false" customHeight="false" outlineLevel="0" collapsed="false">
      <c r="A360" s="9" t="n">
        <v>46108</v>
      </c>
      <c r="B360" s="10" t="n">
        <f aca="false">A360</f>
        <v>46108</v>
      </c>
      <c r="C360" s="11" t="s">
        <v>386</v>
      </c>
      <c r="D360" s="11" t="s">
        <v>388</v>
      </c>
      <c r="E360" s="11" t="s">
        <v>19</v>
      </c>
      <c r="F360" s="11" t="s">
        <v>19</v>
      </c>
      <c r="G360" s="11" t="s">
        <v>385</v>
      </c>
    </row>
    <row r="361" customFormat="false" ht="15.75" hidden="false" customHeight="false" outlineLevel="0" collapsed="false">
      <c r="A361" s="9" t="n">
        <v>46108</v>
      </c>
      <c r="B361" s="10" t="n">
        <f aca="false">A361</f>
        <v>46108</v>
      </c>
      <c r="C361" s="11" t="s">
        <v>91</v>
      </c>
      <c r="D361" s="11" t="s">
        <v>91</v>
      </c>
      <c r="E361" s="11" t="s">
        <v>44</v>
      </c>
      <c r="F361" s="11" t="s">
        <v>44</v>
      </c>
      <c r="G361" s="11" t="s">
        <v>385</v>
      </c>
    </row>
    <row r="362" customFormat="false" ht="15.75" hidden="false" customHeight="false" outlineLevel="0" collapsed="false">
      <c r="A362" s="9" t="n">
        <v>46108</v>
      </c>
      <c r="B362" s="10" t="n">
        <f aca="false">A362</f>
        <v>46108</v>
      </c>
      <c r="C362" s="11" t="s">
        <v>386</v>
      </c>
      <c r="D362" s="11" t="s">
        <v>388</v>
      </c>
      <c r="E362" s="11" t="s">
        <v>44</v>
      </c>
      <c r="F362" s="11" t="s">
        <v>44</v>
      </c>
      <c r="G362" s="11" t="s">
        <v>385</v>
      </c>
    </row>
    <row r="363" customFormat="false" ht="15.75" hidden="false" customHeight="false" outlineLevel="0" collapsed="false">
      <c r="A363" s="9" t="n">
        <v>46108</v>
      </c>
      <c r="B363" s="10" t="n">
        <f aca="false">A363</f>
        <v>46108</v>
      </c>
      <c r="C363" s="11" t="s">
        <v>386</v>
      </c>
      <c r="D363" s="11" t="s">
        <v>383</v>
      </c>
      <c r="E363" s="11" t="s">
        <v>44</v>
      </c>
      <c r="F363" s="11" t="s">
        <v>19</v>
      </c>
      <c r="G363" s="11" t="s">
        <v>384</v>
      </c>
    </row>
    <row r="364" customFormat="false" ht="15.75" hidden="false" customHeight="false" outlineLevel="0" collapsed="false">
      <c r="A364" s="9" t="n">
        <v>46107</v>
      </c>
      <c r="B364" s="10" t="n">
        <f aca="false">A364</f>
        <v>46107</v>
      </c>
      <c r="C364" s="11" t="s">
        <v>386</v>
      </c>
      <c r="D364" s="11" t="s">
        <v>383</v>
      </c>
      <c r="E364" s="11" t="s">
        <v>44</v>
      </c>
      <c r="F364" s="11" t="s">
        <v>19</v>
      </c>
      <c r="G364" s="11" t="s">
        <v>384</v>
      </c>
    </row>
    <row r="365" customFormat="false" ht="15.75" hidden="false" customHeight="false" outlineLevel="0" collapsed="false">
      <c r="A365" s="9" t="n">
        <v>46107</v>
      </c>
      <c r="B365" s="10" t="n">
        <f aca="false">A365</f>
        <v>46107</v>
      </c>
      <c r="C365" s="11" t="s">
        <v>386</v>
      </c>
      <c r="D365" s="11" t="s">
        <v>388</v>
      </c>
      <c r="E365" s="11" t="s">
        <v>44</v>
      </c>
      <c r="F365" s="11" t="s">
        <v>44</v>
      </c>
      <c r="G365" s="11" t="s">
        <v>385</v>
      </c>
    </row>
    <row r="366" customFormat="false" ht="15.75" hidden="false" customHeight="false" outlineLevel="0" collapsed="false">
      <c r="A366" s="9" t="n">
        <v>46107</v>
      </c>
      <c r="B366" s="10" t="n">
        <f aca="false">A366</f>
        <v>46107</v>
      </c>
      <c r="C366" s="11" t="s">
        <v>386</v>
      </c>
      <c r="D366" s="11" t="s">
        <v>388</v>
      </c>
      <c r="E366" s="11" t="s">
        <v>44</v>
      </c>
      <c r="F366" s="11" t="s">
        <v>44</v>
      </c>
      <c r="G366" s="11" t="s">
        <v>385</v>
      </c>
    </row>
    <row r="367" customFormat="false" ht="15.75" hidden="false" customHeight="false" outlineLevel="0" collapsed="false">
      <c r="A367" s="9" t="n">
        <v>46107</v>
      </c>
      <c r="B367" s="10" t="n">
        <f aca="false">A367</f>
        <v>46107</v>
      </c>
      <c r="C367" s="11" t="s">
        <v>386</v>
      </c>
      <c r="D367" s="11" t="s">
        <v>22</v>
      </c>
      <c r="E367" s="11" t="s">
        <v>44</v>
      </c>
      <c r="F367" s="11" t="s">
        <v>44</v>
      </c>
      <c r="G367" s="11" t="s">
        <v>384</v>
      </c>
    </row>
    <row r="368" customFormat="false" ht="15.75" hidden="false" customHeight="false" outlineLevel="0" collapsed="false">
      <c r="A368" s="9" t="n">
        <v>46107</v>
      </c>
      <c r="B368" s="10" t="n">
        <f aca="false">A368</f>
        <v>46107</v>
      </c>
      <c r="C368" s="11" t="s">
        <v>386</v>
      </c>
      <c r="D368" s="11" t="s">
        <v>383</v>
      </c>
      <c r="E368" s="11" t="s">
        <v>19</v>
      </c>
      <c r="F368" s="11" t="s">
        <v>19</v>
      </c>
      <c r="G368" s="11" t="s">
        <v>385</v>
      </c>
    </row>
    <row r="369" customFormat="false" ht="15.75" hidden="false" customHeight="false" outlineLevel="0" collapsed="false">
      <c r="A369" s="9" t="n">
        <v>46107</v>
      </c>
      <c r="B369" s="10" t="n">
        <f aca="false">A369</f>
        <v>46107</v>
      </c>
      <c r="C369" s="11" t="s">
        <v>386</v>
      </c>
      <c r="D369" s="11" t="s">
        <v>383</v>
      </c>
      <c r="E369" s="11" t="s">
        <v>44</v>
      </c>
      <c r="F369" s="11" t="s">
        <v>19</v>
      </c>
      <c r="G369" s="11" t="s">
        <v>384</v>
      </c>
    </row>
    <row r="370" customFormat="false" ht="15.75" hidden="false" customHeight="false" outlineLevel="0" collapsed="false">
      <c r="A370" s="9" t="n">
        <v>46107</v>
      </c>
      <c r="B370" s="10" t="n">
        <f aca="false">A370</f>
        <v>46107</v>
      </c>
      <c r="C370" s="11" t="s">
        <v>386</v>
      </c>
      <c r="D370" s="11" t="s">
        <v>383</v>
      </c>
      <c r="E370" s="11" t="s">
        <v>44</v>
      </c>
      <c r="F370" s="11" t="s">
        <v>19</v>
      </c>
      <c r="G370" s="11" t="s">
        <v>384</v>
      </c>
    </row>
    <row r="371" customFormat="false" ht="15.75" hidden="false" customHeight="false" outlineLevel="0" collapsed="false">
      <c r="A371" s="9" t="n">
        <v>46107</v>
      </c>
      <c r="B371" s="10" t="n">
        <f aca="false">A371</f>
        <v>46107</v>
      </c>
      <c r="C371" s="11" t="s">
        <v>386</v>
      </c>
      <c r="D371" s="11" t="s">
        <v>383</v>
      </c>
      <c r="E371" s="11" t="s">
        <v>44</v>
      </c>
      <c r="F371" s="11" t="s">
        <v>19</v>
      </c>
      <c r="G371" s="11" t="s">
        <v>385</v>
      </c>
    </row>
    <row r="372" customFormat="false" ht="15.75" hidden="false" customHeight="false" outlineLevel="0" collapsed="false">
      <c r="A372" s="9" t="n">
        <v>46107</v>
      </c>
      <c r="B372" s="10" t="n">
        <f aca="false">A372</f>
        <v>46107</v>
      </c>
      <c r="C372" s="11" t="s">
        <v>386</v>
      </c>
      <c r="D372" s="11" t="s">
        <v>383</v>
      </c>
      <c r="E372" s="11" t="s">
        <v>44</v>
      </c>
      <c r="F372" s="11" t="s">
        <v>19</v>
      </c>
      <c r="G372" s="11" t="s">
        <v>384</v>
      </c>
    </row>
    <row r="373" customFormat="false" ht="15.75" hidden="false" customHeight="false" outlineLevel="0" collapsed="false">
      <c r="A373" s="9" t="n">
        <v>46106</v>
      </c>
      <c r="B373" s="10" t="n">
        <f aca="false">A373</f>
        <v>46106</v>
      </c>
      <c r="C373" s="11" t="s">
        <v>91</v>
      </c>
      <c r="D373" s="11" t="s">
        <v>91</v>
      </c>
      <c r="E373" s="11" t="s">
        <v>44</v>
      </c>
      <c r="F373" s="11" t="s">
        <v>44</v>
      </c>
      <c r="G373" s="11" t="s">
        <v>385</v>
      </c>
    </row>
    <row r="374" customFormat="false" ht="15.75" hidden="false" customHeight="false" outlineLevel="0" collapsed="false">
      <c r="A374" s="9" t="n">
        <v>46106</v>
      </c>
      <c r="B374" s="10" t="n">
        <f aca="false">A374</f>
        <v>46106</v>
      </c>
      <c r="C374" s="11" t="s">
        <v>386</v>
      </c>
      <c r="D374" s="11" t="s">
        <v>388</v>
      </c>
      <c r="E374" s="11" t="s">
        <v>44</v>
      </c>
      <c r="F374" s="11" t="s">
        <v>19</v>
      </c>
      <c r="G374" s="11" t="s">
        <v>385</v>
      </c>
    </row>
    <row r="375" customFormat="false" ht="15.75" hidden="false" customHeight="false" outlineLevel="0" collapsed="false">
      <c r="A375" s="9" t="n">
        <v>46106</v>
      </c>
      <c r="B375" s="10" t="n">
        <f aca="false">A375</f>
        <v>46106</v>
      </c>
      <c r="C375" s="11" t="s">
        <v>386</v>
      </c>
      <c r="D375" s="11" t="s">
        <v>383</v>
      </c>
      <c r="E375" s="11" t="s">
        <v>44</v>
      </c>
      <c r="F375" s="11" t="s">
        <v>19</v>
      </c>
      <c r="G375" s="11" t="s">
        <v>384</v>
      </c>
    </row>
    <row r="376" customFormat="false" ht="15.75" hidden="false" customHeight="false" outlineLevel="0" collapsed="false">
      <c r="A376" s="9" t="n">
        <v>46106</v>
      </c>
      <c r="B376" s="10" t="n">
        <f aca="false">A376</f>
        <v>46106</v>
      </c>
      <c r="C376" s="11" t="s">
        <v>386</v>
      </c>
      <c r="D376" s="11" t="s">
        <v>22</v>
      </c>
      <c r="E376" s="11" t="s">
        <v>44</v>
      </c>
      <c r="F376" s="11" t="s">
        <v>44</v>
      </c>
      <c r="G376" s="11" t="s">
        <v>385</v>
      </c>
    </row>
    <row r="377" customFormat="false" ht="15.75" hidden="false" customHeight="false" outlineLevel="0" collapsed="false">
      <c r="A377" s="9" t="n">
        <v>46106</v>
      </c>
      <c r="B377" s="10" t="n">
        <f aca="false">A377</f>
        <v>46106</v>
      </c>
      <c r="C377" s="11" t="s">
        <v>386</v>
      </c>
      <c r="D377" s="11" t="s">
        <v>387</v>
      </c>
      <c r="E377" s="11" t="s">
        <v>44</v>
      </c>
      <c r="F377" s="11" t="s">
        <v>44</v>
      </c>
      <c r="G377" s="11" t="s">
        <v>385</v>
      </c>
    </row>
    <row r="378" customFormat="false" ht="15.75" hidden="false" customHeight="false" outlineLevel="0" collapsed="false">
      <c r="A378" s="9" t="n">
        <v>46106</v>
      </c>
      <c r="B378" s="10" t="n">
        <f aca="false">A378</f>
        <v>46106</v>
      </c>
      <c r="C378" s="11" t="s">
        <v>386</v>
      </c>
      <c r="D378" s="11" t="s">
        <v>388</v>
      </c>
      <c r="E378" s="11" t="s">
        <v>44</v>
      </c>
      <c r="F378" s="11" t="s">
        <v>44</v>
      </c>
      <c r="G378" s="11" t="s">
        <v>385</v>
      </c>
    </row>
    <row r="379" customFormat="false" ht="15.75" hidden="false" customHeight="false" outlineLevel="0" collapsed="false">
      <c r="A379" s="9" t="n">
        <v>46106</v>
      </c>
      <c r="B379" s="10" t="n">
        <f aca="false">A379</f>
        <v>46106</v>
      </c>
      <c r="C379" s="11" t="s">
        <v>386</v>
      </c>
      <c r="D379" s="11" t="s">
        <v>383</v>
      </c>
      <c r="E379" s="11" t="s">
        <v>44</v>
      </c>
      <c r="F379" s="11" t="s">
        <v>19</v>
      </c>
      <c r="G379" s="11" t="s">
        <v>384</v>
      </c>
    </row>
    <row r="380" customFormat="false" ht="15.75" hidden="false" customHeight="false" outlineLevel="0" collapsed="false">
      <c r="A380" s="9" t="n">
        <v>46104</v>
      </c>
      <c r="B380" s="10" t="n">
        <f aca="false">A380</f>
        <v>46104</v>
      </c>
      <c r="C380" s="11" t="s">
        <v>386</v>
      </c>
      <c r="D380" s="11" t="s">
        <v>22</v>
      </c>
      <c r="E380" s="11" t="s">
        <v>19</v>
      </c>
      <c r="F380" s="11" t="s">
        <v>19</v>
      </c>
      <c r="G380" s="11" t="s">
        <v>384</v>
      </c>
    </row>
    <row r="381" customFormat="false" ht="15.75" hidden="false" customHeight="false" outlineLevel="0" collapsed="false">
      <c r="A381" s="9" t="n">
        <v>46104</v>
      </c>
      <c r="B381" s="10" t="n">
        <f aca="false">A381</f>
        <v>46104</v>
      </c>
      <c r="C381" s="11" t="s">
        <v>386</v>
      </c>
      <c r="D381" s="11" t="s">
        <v>388</v>
      </c>
      <c r="E381" s="11" t="s">
        <v>44</v>
      </c>
      <c r="F381" s="11" t="s">
        <v>19</v>
      </c>
      <c r="G381" s="11" t="s">
        <v>385</v>
      </c>
    </row>
    <row r="382" customFormat="false" ht="15.75" hidden="false" customHeight="false" outlineLevel="0" collapsed="false">
      <c r="A382" s="9" t="n">
        <v>46104</v>
      </c>
      <c r="B382" s="10" t="n">
        <f aca="false">A382</f>
        <v>46104</v>
      </c>
      <c r="C382" s="11" t="s">
        <v>386</v>
      </c>
      <c r="D382" s="11" t="s">
        <v>383</v>
      </c>
      <c r="E382" s="11" t="s">
        <v>19</v>
      </c>
      <c r="F382" s="11" t="s">
        <v>19</v>
      </c>
      <c r="G382" s="11" t="s">
        <v>384</v>
      </c>
    </row>
    <row r="383" customFormat="false" ht="15.75" hidden="false" customHeight="false" outlineLevel="0" collapsed="false">
      <c r="A383" s="9" t="n">
        <v>46104</v>
      </c>
      <c r="B383" s="10" t="n">
        <f aca="false">A383</f>
        <v>46104</v>
      </c>
      <c r="C383" s="11" t="s">
        <v>386</v>
      </c>
      <c r="D383" s="11" t="s">
        <v>383</v>
      </c>
      <c r="E383" s="11" t="s">
        <v>44</v>
      </c>
      <c r="F383" s="11" t="s">
        <v>19</v>
      </c>
      <c r="G383" s="11" t="s">
        <v>384</v>
      </c>
    </row>
    <row r="384" customFormat="false" ht="15.75" hidden="false" customHeight="false" outlineLevel="0" collapsed="false">
      <c r="A384" s="9" t="n">
        <v>46104</v>
      </c>
      <c r="B384" s="10" t="n">
        <f aca="false">A384</f>
        <v>46104</v>
      </c>
      <c r="C384" s="11" t="s">
        <v>386</v>
      </c>
      <c r="D384" s="11" t="s">
        <v>388</v>
      </c>
      <c r="E384" s="11" t="s">
        <v>44</v>
      </c>
      <c r="F384" s="11" t="s">
        <v>44</v>
      </c>
      <c r="G384" s="11" t="s">
        <v>385</v>
      </c>
    </row>
    <row r="385" customFormat="false" ht="15.75" hidden="false" customHeight="false" outlineLevel="0" collapsed="false">
      <c r="A385" s="9" t="n">
        <v>46104</v>
      </c>
      <c r="B385" s="10" t="n">
        <f aca="false">A385</f>
        <v>46104</v>
      </c>
      <c r="C385" s="11" t="s">
        <v>91</v>
      </c>
      <c r="D385" s="11" t="s">
        <v>91</v>
      </c>
      <c r="E385" s="11" t="s">
        <v>44</v>
      </c>
      <c r="F385" s="11" t="s">
        <v>44</v>
      </c>
      <c r="G385" s="11" t="s">
        <v>385</v>
      </c>
    </row>
    <row r="386" customFormat="false" ht="15.75" hidden="false" customHeight="false" outlineLevel="0" collapsed="false">
      <c r="A386" s="9" t="n">
        <v>46104</v>
      </c>
      <c r="B386" s="10" t="n">
        <f aca="false">A386</f>
        <v>46104</v>
      </c>
      <c r="C386" s="11" t="s">
        <v>386</v>
      </c>
      <c r="D386" s="11" t="s">
        <v>22</v>
      </c>
      <c r="E386" s="11" t="s">
        <v>44</v>
      </c>
      <c r="F386" s="11" t="s">
        <v>44</v>
      </c>
      <c r="G386" s="11" t="s">
        <v>385</v>
      </c>
    </row>
    <row r="387" customFormat="false" ht="15.75" hidden="false" customHeight="false" outlineLevel="0" collapsed="false">
      <c r="A387" s="9" t="n">
        <v>46102</v>
      </c>
      <c r="B387" s="10" t="n">
        <f aca="false">A387</f>
        <v>46102</v>
      </c>
      <c r="C387" s="11" t="s">
        <v>91</v>
      </c>
      <c r="D387" s="11" t="s">
        <v>383</v>
      </c>
      <c r="E387" s="11" t="s">
        <v>19</v>
      </c>
      <c r="F387" s="11" t="s">
        <v>19</v>
      </c>
      <c r="G387" s="11" t="s">
        <v>385</v>
      </c>
    </row>
    <row r="388" customFormat="false" ht="15.75" hidden="false" customHeight="false" outlineLevel="0" collapsed="false">
      <c r="A388" s="9" t="n">
        <v>46102</v>
      </c>
      <c r="B388" s="10" t="n">
        <f aca="false">A388</f>
        <v>46102</v>
      </c>
      <c r="C388" s="11" t="s">
        <v>386</v>
      </c>
      <c r="D388" s="11" t="s">
        <v>383</v>
      </c>
      <c r="E388" s="11" t="s">
        <v>44</v>
      </c>
      <c r="F388" s="11" t="s">
        <v>19</v>
      </c>
      <c r="G388" s="11" t="s">
        <v>384</v>
      </c>
    </row>
    <row r="389" customFormat="false" ht="15.75" hidden="false" customHeight="false" outlineLevel="0" collapsed="false">
      <c r="A389" s="9" t="n">
        <v>46102</v>
      </c>
      <c r="B389" s="10" t="n">
        <f aca="false">A389</f>
        <v>46102</v>
      </c>
      <c r="C389" s="11" t="s">
        <v>386</v>
      </c>
      <c r="D389" s="11" t="s">
        <v>383</v>
      </c>
      <c r="E389" s="11" t="s">
        <v>44</v>
      </c>
      <c r="F389" s="11" t="s">
        <v>19</v>
      </c>
      <c r="G389" s="11" t="s">
        <v>384</v>
      </c>
    </row>
    <row r="390" customFormat="false" ht="15.75" hidden="false" customHeight="false" outlineLevel="0" collapsed="false">
      <c r="A390" s="9" t="n">
        <v>46101</v>
      </c>
      <c r="B390" s="10" t="n">
        <f aca="false">A390</f>
        <v>46101</v>
      </c>
      <c r="C390" s="11" t="s">
        <v>386</v>
      </c>
      <c r="D390" s="11" t="s">
        <v>383</v>
      </c>
      <c r="E390" s="11" t="s">
        <v>44</v>
      </c>
      <c r="F390" s="11" t="s">
        <v>44</v>
      </c>
      <c r="G390" s="11" t="s">
        <v>385</v>
      </c>
    </row>
    <row r="391" customFormat="false" ht="15.75" hidden="false" customHeight="false" outlineLevel="0" collapsed="false">
      <c r="A391" s="9" t="n">
        <v>46101</v>
      </c>
      <c r="B391" s="10" t="n">
        <f aca="false">A391</f>
        <v>46101</v>
      </c>
      <c r="C391" s="11" t="s">
        <v>386</v>
      </c>
      <c r="D391" s="11" t="s">
        <v>383</v>
      </c>
      <c r="E391" s="11" t="s">
        <v>19</v>
      </c>
      <c r="F391" s="11" t="s">
        <v>19</v>
      </c>
      <c r="G391" s="11" t="s">
        <v>384</v>
      </c>
    </row>
    <row r="392" customFormat="false" ht="15.75" hidden="false" customHeight="false" outlineLevel="0" collapsed="false">
      <c r="A392" s="9" t="n">
        <v>46101</v>
      </c>
      <c r="B392" s="10" t="n">
        <f aca="false">A392</f>
        <v>46101</v>
      </c>
      <c r="C392" s="11" t="s">
        <v>386</v>
      </c>
      <c r="D392" s="11" t="s">
        <v>383</v>
      </c>
      <c r="E392" s="11" t="s">
        <v>19</v>
      </c>
      <c r="F392" s="11" t="s">
        <v>19</v>
      </c>
      <c r="G392" s="11" t="s">
        <v>384</v>
      </c>
    </row>
    <row r="393" customFormat="false" ht="15.75" hidden="false" customHeight="false" outlineLevel="0" collapsed="false">
      <c r="A393" s="9" t="n">
        <v>46101</v>
      </c>
      <c r="B393" s="10" t="n">
        <f aca="false">A393</f>
        <v>46101</v>
      </c>
      <c r="C393" s="11" t="s">
        <v>386</v>
      </c>
      <c r="D393" s="11" t="s">
        <v>387</v>
      </c>
      <c r="E393" s="11" t="s">
        <v>44</v>
      </c>
      <c r="F393" s="11" t="s">
        <v>44</v>
      </c>
      <c r="G393" s="11" t="s">
        <v>385</v>
      </c>
    </row>
    <row r="394" customFormat="false" ht="15.75" hidden="false" customHeight="false" outlineLevel="0" collapsed="false">
      <c r="A394" s="9" t="n">
        <v>46101</v>
      </c>
      <c r="B394" s="10" t="n">
        <f aca="false">A394</f>
        <v>46101</v>
      </c>
      <c r="C394" s="11" t="s">
        <v>386</v>
      </c>
      <c r="D394" s="11" t="s">
        <v>383</v>
      </c>
      <c r="E394" s="11" t="s">
        <v>44</v>
      </c>
      <c r="F394" s="11" t="s">
        <v>19</v>
      </c>
      <c r="G394" s="11" t="s">
        <v>385</v>
      </c>
    </row>
    <row r="395" customFormat="false" ht="15.75" hidden="false" customHeight="false" outlineLevel="0" collapsed="false">
      <c r="A395" s="9" t="n">
        <v>46101</v>
      </c>
      <c r="B395" s="10" t="n">
        <f aca="false">A395</f>
        <v>46101</v>
      </c>
      <c r="C395" s="11" t="s">
        <v>386</v>
      </c>
      <c r="D395" s="11" t="s">
        <v>383</v>
      </c>
      <c r="E395" s="11" t="s">
        <v>44</v>
      </c>
      <c r="F395" s="11" t="s">
        <v>19</v>
      </c>
      <c r="G395" s="11" t="s">
        <v>384</v>
      </c>
    </row>
    <row r="396" customFormat="false" ht="15.75" hidden="false" customHeight="false" outlineLevel="0" collapsed="false">
      <c r="A396" s="9" t="n">
        <v>46101</v>
      </c>
      <c r="B396" s="10" t="n">
        <f aca="false">A396</f>
        <v>46101</v>
      </c>
      <c r="C396" s="11" t="s">
        <v>386</v>
      </c>
      <c r="D396" s="11" t="s">
        <v>22</v>
      </c>
      <c r="E396" s="11" t="s">
        <v>44</v>
      </c>
      <c r="F396" s="11" t="s">
        <v>19</v>
      </c>
      <c r="G396" s="11" t="s">
        <v>385</v>
      </c>
    </row>
    <row r="397" customFormat="false" ht="15.75" hidden="false" customHeight="false" outlineLevel="0" collapsed="false">
      <c r="A397" s="9" t="n">
        <v>46100</v>
      </c>
      <c r="B397" s="10" t="n">
        <f aca="false">A397</f>
        <v>46100</v>
      </c>
      <c r="C397" s="11" t="s">
        <v>386</v>
      </c>
      <c r="D397" s="11" t="s">
        <v>383</v>
      </c>
      <c r="E397" s="11" t="s">
        <v>44</v>
      </c>
      <c r="F397" s="11" t="s">
        <v>19</v>
      </c>
      <c r="G397" s="11" t="s">
        <v>384</v>
      </c>
    </row>
    <row r="398" customFormat="false" ht="15.75" hidden="false" customHeight="false" outlineLevel="0" collapsed="false">
      <c r="A398" s="9" t="n">
        <v>46100</v>
      </c>
      <c r="B398" s="10" t="n">
        <f aca="false">A398</f>
        <v>46100</v>
      </c>
      <c r="C398" s="11" t="s">
        <v>386</v>
      </c>
      <c r="D398" s="11" t="s">
        <v>383</v>
      </c>
      <c r="E398" s="11" t="s">
        <v>44</v>
      </c>
      <c r="F398" s="11" t="s">
        <v>19</v>
      </c>
      <c r="G398" s="11" t="s">
        <v>384</v>
      </c>
    </row>
    <row r="399" customFormat="false" ht="15.75" hidden="false" customHeight="false" outlineLevel="0" collapsed="false">
      <c r="A399" s="9" t="n">
        <v>46100</v>
      </c>
      <c r="B399" s="10" t="n">
        <f aca="false">A399</f>
        <v>46100</v>
      </c>
      <c r="C399" s="11" t="s">
        <v>386</v>
      </c>
      <c r="D399" s="11" t="s">
        <v>22</v>
      </c>
      <c r="E399" s="11" t="s">
        <v>44</v>
      </c>
      <c r="F399" s="11" t="s">
        <v>19</v>
      </c>
      <c r="G399" s="11" t="s">
        <v>385</v>
      </c>
    </row>
    <row r="400" customFormat="false" ht="15.75" hidden="false" customHeight="false" outlineLevel="0" collapsed="false">
      <c r="A400" s="9" t="n">
        <v>46100</v>
      </c>
      <c r="B400" s="10" t="n">
        <f aca="false">A400</f>
        <v>46100</v>
      </c>
      <c r="C400" s="11" t="s">
        <v>386</v>
      </c>
      <c r="D400" s="11" t="s">
        <v>387</v>
      </c>
      <c r="E400" s="11" t="s">
        <v>44</v>
      </c>
      <c r="F400" s="11" t="s">
        <v>19</v>
      </c>
      <c r="G400" s="11" t="s">
        <v>385</v>
      </c>
    </row>
    <row r="401" customFormat="false" ht="15.75" hidden="false" customHeight="false" outlineLevel="0" collapsed="false">
      <c r="A401" s="9" t="n">
        <v>46100</v>
      </c>
      <c r="B401" s="10" t="n">
        <f aca="false">A401</f>
        <v>46100</v>
      </c>
      <c r="C401" s="11" t="s">
        <v>386</v>
      </c>
      <c r="D401" s="11" t="s">
        <v>387</v>
      </c>
      <c r="E401" s="11" t="s">
        <v>44</v>
      </c>
      <c r="F401" s="11" t="s">
        <v>44</v>
      </c>
      <c r="G401" s="11" t="s">
        <v>385</v>
      </c>
    </row>
    <row r="402" customFormat="false" ht="15.75" hidden="false" customHeight="false" outlineLevel="0" collapsed="false">
      <c r="A402" s="9" t="n">
        <v>46100</v>
      </c>
      <c r="B402" s="10" t="n">
        <f aca="false">A402</f>
        <v>46100</v>
      </c>
      <c r="C402" s="11" t="s">
        <v>386</v>
      </c>
      <c r="D402" s="11" t="s">
        <v>383</v>
      </c>
      <c r="E402" s="11" t="s">
        <v>44</v>
      </c>
      <c r="F402" s="11" t="s">
        <v>19</v>
      </c>
      <c r="G402" s="11" t="s">
        <v>384</v>
      </c>
    </row>
    <row r="403" customFormat="false" ht="15.75" hidden="false" customHeight="false" outlineLevel="0" collapsed="false">
      <c r="A403" s="9" t="n">
        <v>46100</v>
      </c>
      <c r="B403" s="10" t="n">
        <f aca="false">A403</f>
        <v>46100</v>
      </c>
      <c r="C403" s="11" t="s">
        <v>386</v>
      </c>
      <c r="D403" s="11" t="s">
        <v>383</v>
      </c>
      <c r="E403" s="11" t="s">
        <v>44</v>
      </c>
      <c r="F403" s="11" t="s">
        <v>19</v>
      </c>
      <c r="G403" s="11" t="s">
        <v>384</v>
      </c>
    </row>
    <row r="404" customFormat="false" ht="15.75" hidden="false" customHeight="false" outlineLevel="0" collapsed="false">
      <c r="A404" s="9" t="n">
        <v>46099</v>
      </c>
      <c r="B404" s="10" t="n">
        <f aca="false">A404</f>
        <v>46099</v>
      </c>
      <c r="C404" s="11" t="s">
        <v>386</v>
      </c>
      <c r="D404" s="11" t="s">
        <v>387</v>
      </c>
      <c r="E404" s="11" t="s">
        <v>44</v>
      </c>
      <c r="F404" s="11" t="s">
        <v>19</v>
      </c>
      <c r="G404" s="11" t="s">
        <v>385</v>
      </c>
    </row>
    <row r="405" customFormat="false" ht="15.75" hidden="false" customHeight="false" outlineLevel="0" collapsed="false">
      <c r="A405" s="9" t="n">
        <v>46099</v>
      </c>
      <c r="B405" s="10" t="n">
        <f aca="false">A405</f>
        <v>46099</v>
      </c>
      <c r="C405" s="11" t="s">
        <v>386</v>
      </c>
      <c r="D405" s="11" t="s">
        <v>22</v>
      </c>
      <c r="E405" s="11" t="s">
        <v>19</v>
      </c>
      <c r="F405" s="11" t="s">
        <v>19</v>
      </c>
      <c r="G405" s="11" t="s">
        <v>385</v>
      </c>
    </row>
    <row r="406" customFormat="false" ht="15.75" hidden="false" customHeight="false" outlineLevel="0" collapsed="false">
      <c r="A406" s="9" t="n">
        <v>46099</v>
      </c>
      <c r="B406" s="10" t="n">
        <f aca="false">A406</f>
        <v>46099</v>
      </c>
      <c r="C406" s="11" t="s">
        <v>386</v>
      </c>
      <c r="D406" s="11" t="s">
        <v>383</v>
      </c>
      <c r="E406" s="11" t="s">
        <v>44</v>
      </c>
      <c r="F406" s="11" t="s">
        <v>19</v>
      </c>
      <c r="G406" s="11" t="s">
        <v>384</v>
      </c>
    </row>
    <row r="407" customFormat="false" ht="15.75" hidden="false" customHeight="false" outlineLevel="0" collapsed="false">
      <c r="A407" s="9" t="n">
        <v>46099</v>
      </c>
      <c r="B407" s="10" t="n">
        <f aca="false">A407</f>
        <v>46099</v>
      </c>
      <c r="C407" s="11" t="s">
        <v>386</v>
      </c>
      <c r="D407" s="11" t="s">
        <v>383</v>
      </c>
      <c r="E407" s="11" t="s">
        <v>44</v>
      </c>
      <c r="F407" s="11" t="s">
        <v>19</v>
      </c>
      <c r="G407" s="11" t="s">
        <v>384</v>
      </c>
    </row>
    <row r="408" customFormat="false" ht="15.75" hidden="false" customHeight="false" outlineLevel="0" collapsed="false">
      <c r="A408" s="9" t="n">
        <v>46099</v>
      </c>
      <c r="B408" s="10" t="n">
        <f aca="false">A408</f>
        <v>46099</v>
      </c>
      <c r="C408" s="11" t="s">
        <v>386</v>
      </c>
      <c r="D408" s="11" t="s">
        <v>22</v>
      </c>
      <c r="E408" s="11" t="s">
        <v>44</v>
      </c>
      <c r="F408" s="11" t="s">
        <v>44</v>
      </c>
      <c r="G408" s="11" t="s">
        <v>385</v>
      </c>
    </row>
    <row r="409" customFormat="false" ht="15.75" hidden="false" customHeight="false" outlineLevel="0" collapsed="false">
      <c r="A409" s="9" t="n">
        <v>46099</v>
      </c>
      <c r="B409" s="10" t="n">
        <f aca="false">A409</f>
        <v>46099</v>
      </c>
      <c r="C409" s="11" t="s">
        <v>386</v>
      </c>
      <c r="D409" s="11" t="s">
        <v>383</v>
      </c>
      <c r="E409" s="11" t="s">
        <v>44</v>
      </c>
      <c r="F409" s="11" t="s">
        <v>19</v>
      </c>
      <c r="G409" s="11" t="s">
        <v>384</v>
      </c>
    </row>
    <row r="410" customFormat="false" ht="15.75" hidden="false" customHeight="false" outlineLevel="0" collapsed="false">
      <c r="A410" s="9" t="n">
        <v>46098</v>
      </c>
      <c r="B410" s="10" t="n">
        <f aca="false">A410</f>
        <v>46098</v>
      </c>
      <c r="C410" s="11" t="s">
        <v>386</v>
      </c>
      <c r="D410" s="11" t="s">
        <v>388</v>
      </c>
      <c r="E410" s="11" t="s">
        <v>44</v>
      </c>
      <c r="F410" s="11" t="s">
        <v>44</v>
      </c>
      <c r="G410" s="11" t="s">
        <v>385</v>
      </c>
    </row>
    <row r="411" customFormat="false" ht="15.75" hidden="false" customHeight="false" outlineLevel="0" collapsed="false">
      <c r="A411" s="9" t="n">
        <v>46098</v>
      </c>
      <c r="B411" s="10" t="n">
        <f aca="false">A411</f>
        <v>46098</v>
      </c>
      <c r="C411" s="11" t="s">
        <v>386</v>
      </c>
      <c r="D411" s="11" t="s">
        <v>383</v>
      </c>
      <c r="E411" s="11" t="s">
        <v>44</v>
      </c>
      <c r="F411" s="11" t="s">
        <v>19</v>
      </c>
      <c r="G411" s="11" t="s">
        <v>384</v>
      </c>
    </row>
    <row r="412" customFormat="false" ht="15.75" hidden="false" customHeight="false" outlineLevel="0" collapsed="false">
      <c r="A412" s="9" t="n">
        <v>46098</v>
      </c>
      <c r="B412" s="10" t="n">
        <f aca="false">A412</f>
        <v>46098</v>
      </c>
      <c r="C412" s="11" t="s">
        <v>386</v>
      </c>
      <c r="D412" s="11" t="s">
        <v>383</v>
      </c>
      <c r="E412" s="11" t="s">
        <v>44</v>
      </c>
      <c r="F412" s="11" t="s">
        <v>19</v>
      </c>
      <c r="G412" s="11" t="s">
        <v>384</v>
      </c>
    </row>
    <row r="413" customFormat="false" ht="15.75" hidden="false" customHeight="false" outlineLevel="0" collapsed="false">
      <c r="A413" s="9" t="n">
        <v>46098</v>
      </c>
      <c r="B413" s="10" t="n">
        <f aca="false">A413</f>
        <v>46098</v>
      </c>
      <c r="C413" s="11" t="s">
        <v>386</v>
      </c>
      <c r="D413" s="11" t="s">
        <v>22</v>
      </c>
      <c r="E413" s="11" t="s">
        <v>44</v>
      </c>
      <c r="F413" s="11" t="s">
        <v>19</v>
      </c>
      <c r="G413" s="11" t="s">
        <v>384</v>
      </c>
    </row>
    <row r="414" customFormat="false" ht="15.75" hidden="false" customHeight="false" outlineLevel="0" collapsed="false">
      <c r="A414" s="9" t="n">
        <v>46097</v>
      </c>
      <c r="B414" s="10" t="n">
        <f aca="false">A414</f>
        <v>46097</v>
      </c>
      <c r="C414" s="11" t="s">
        <v>91</v>
      </c>
      <c r="D414" s="11" t="s">
        <v>91</v>
      </c>
      <c r="E414" s="11" t="s">
        <v>44</v>
      </c>
      <c r="F414" s="11" t="s">
        <v>44</v>
      </c>
      <c r="G414" s="11" t="s">
        <v>385</v>
      </c>
    </row>
    <row r="415" customFormat="false" ht="15.75" hidden="false" customHeight="false" outlineLevel="0" collapsed="false">
      <c r="A415" s="9" t="n">
        <v>46097</v>
      </c>
      <c r="B415" s="10" t="n">
        <f aca="false">A415</f>
        <v>46097</v>
      </c>
      <c r="C415" s="11" t="s">
        <v>386</v>
      </c>
      <c r="D415" s="11" t="s">
        <v>22</v>
      </c>
      <c r="E415" s="11" t="s">
        <v>19</v>
      </c>
      <c r="F415" s="11" t="s">
        <v>19</v>
      </c>
      <c r="G415" s="11" t="s">
        <v>384</v>
      </c>
    </row>
    <row r="416" customFormat="false" ht="15.75" hidden="false" customHeight="false" outlineLevel="0" collapsed="false">
      <c r="A416" s="9" t="n">
        <v>46097</v>
      </c>
      <c r="B416" s="10" t="n">
        <f aca="false">A416</f>
        <v>46097</v>
      </c>
      <c r="C416" s="11" t="s">
        <v>386</v>
      </c>
      <c r="D416" s="11" t="s">
        <v>22</v>
      </c>
      <c r="E416" s="11" t="s">
        <v>44</v>
      </c>
      <c r="F416" s="11" t="s">
        <v>19</v>
      </c>
      <c r="G416" s="11" t="s">
        <v>385</v>
      </c>
    </row>
    <row r="417" customFormat="false" ht="15.75" hidden="false" customHeight="false" outlineLevel="0" collapsed="false">
      <c r="A417" s="9" t="n">
        <v>46097</v>
      </c>
      <c r="B417" s="10" t="n">
        <f aca="false">A417</f>
        <v>46097</v>
      </c>
      <c r="C417" s="11" t="s">
        <v>386</v>
      </c>
      <c r="D417" s="11" t="s">
        <v>387</v>
      </c>
      <c r="E417" s="11" t="s">
        <v>44</v>
      </c>
      <c r="F417" s="11" t="s">
        <v>44</v>
      </c>
      <c r="G417" s="11" t="s">
        <v>385</v>
      </c>
    </row>
    <row r="418" customFormat="false" ht="15.75" hidden="false" customHeight="false" outlineLevel="0" collapsed="false">
      <c r="A418" s="9" t="n">
        <v>46097</v>
      </c>
      <c r="B418" s="10" t="n">
        <f aca="false">A418</f>
        <v>46097</v>
      </c>
      <c r="C418" s="11" t="s">
        <v>386</v>
      </c>
      <c r="D418" s="11" t="s">
        <v>387</v>
      </c>
      <c r="E418" s="11" t="s">
        <v>44</v>
      </c>
      <c r="F418" s="11" t="s">
        <v>44</v>
      </c>
      <c r="G418" s="11" t="s">
        <v>385</v>
      </c>
    </row>
    <row r="419" customFormat="false" ht="15.75" hidden="false" customHeight="false" outlineLevel="0" collapsed="false">
      <c r="A419" s="9" t="n">
        <v>46097</v>
      </c>
      <c r="B419" s="10" t="n">
        <f aca="false">A419</f>
        <v>46097</v>
      </c>
      <c r="C419" s="11" t="s">
        <v>386</v>
      </c>
      <c r="D419" s="11" t="s">
        <v>22</v>
      </c>
      <c r="E419" s="11" t="s">
        <v>44</v>
      </c>
      <c r="F419" s="11" t="s">
        <v>44</v>
      </c>
      <c r="G419" s="11" t="s">
        <v>385</v>
      </c>
    </row>
    <row r="420" customFormat="false" ht="15.75" hidden="false" customHeight="false" outlineLevel="0" collapsed="false">
      <c r="A420" s="9" t="n">
        <v>46097</v>
      </c>
      <c r="B420" s="10" t="n">
        <f aca="false">A420</f>
        <v>46097</v>
      </c>
      <c r="C420" s="11" t="s">
        <v>386</v>
      </c>
      <c r="D420" s="11" t="s">
        <v>22</v>
      </c>
      <c r="E420" s="11" t="s">
        <v>44</v>
      </c>
      <c r="F420" s="11" t="s">
        <v>44</v>
      </c>
      <c r="G420" s="11" t="s">
        <v>385</v>
      </c>
    </row>
    <row r="421" customFormat="false" ht="15.75" hidden="false" customHeight="false" outlineLevel="0" collapsed="false">
      <c r="A421" s="9" t="n">
        <v>46097</v>
      </c>
      <c r="B421" s="10" t="n">
        <f aca="false">A421</f>
        <v>46097</v>
      </c>
      <c r="C421" s="11" t="s">
        <v>386</v>
      </c>
      <c r="D421" s="11" t="s">
        <v>22</v>
      </c>
      <c r="E421" s="11" t="s">
        <v>44</v>
      </c>
      <c r="F421" s="11" t="s">
        <v>19</v>
      </c>
      <c r="G421" s="11" t="s">
        <v>384</v>
      </c>
    </row>
    <row r="422" customFormat="false" ht="15.75" hidden="false" customHeight="false" outlineLevel="0" collapsed="false">
      <c r="A422" s="9" t="n">
        <v>46094</v>
      </c>
      <c r="B422" s="10" t="n">
        <f aca="false">A422</f>
        <v>46094</v>
      </c>
      <c r="C422" s="11" t="s">
        <v>386</v>
      </c>
      <c r="D422" s="11" t="s">
        <v>22</v>
      </c>
      <c r="E422" s="11" t="s">
        <v>44</v>
      </c>
      <c r="F422" s="11" t="s">
        <v>19</v>
      </c>
      <c r="G422" s="11" t="s">
        <v>385</v>
      </c>
    </row>
    <row r="423" customFormat="false" ht="15.75" hidden="false" customHeight="false" outlineLevel="0" collapsed="false">
      <c r="A423" s="9" t="n">
        <v>46094</v>
      </c>
      <c r="B423" s="10" t="n">
        <f aca="false">A423</f>
        <v>46094</v>
      </c>
      <c r="C423" s="11" t="s">
        <v>386</v>
      </c>
      <c r="D423" s="11" t="s">
        <v>383</v>
      </c>
      <c r="E423" s="11" t="s">
        <v>44</v>
      </c>
      <c r="F423" s="11" t="s">
        <v>19</v>
      </c>
      <c r="G423" s="11" t="s">
        <v>385</v>
      </c>
    </row>
    <row r="424" customFormat="false" ht="15.75" hidden="false" customHeight="false" outlineLevel="0" collapsed="false">
      <c r="A424" s="9" t="n">
        <v>46094</v>
      </c>
      <c r="B424" s="10" t="n">
        <f aca="false">A424</f>
        <v>46094</v>
      </c>
      <c r="C424" s="11" t="s">
        <v>386</v>
      </c>
      <c r="D424" s="11" t="s">
        <v>22</v>
      </c>
      <c r="E424" s="11" t="s">
        <v>44</v>
      </c>
      <c r="F424" s="11" t="s">
        <v>44</v>
      </c>
      <c r="G424" s="11" t="s">
        <v>385</v>
      </c>
    </row>
    <row r="425" customFormat="false" ht="15.75" hidden="false" customHeight="false" outlineLevel="0" collapsed="false">
      <c r="A425" s="9" t="n">
        <v>46094</v>
      </c>
      <c r="B425" s="10" t="n">
        <f aca="false">A425</f>
        <v>46094</v>
      </c>
      <c r="C425" s="11" t="s">
        <v>386</v>
      </c>
      <c r="D425" s="11" t="s">
        <v>383</v>
      </c>
      <c r="E425" s="11" t="s">
        <v>44</v>
      </c>
      <c r="F425" s="11" t="s">
        <v>19</v>
      </c>
      <c r="G425" s="11" t="s">
        <v>384</v>
      </c>
    </row>
    <row r="426" customFormat="false" ht="15.75" hidden="false" customHeight="false" outlineLevel="0" collapsed="false">
      <c r="A426" s="9" t="n">
        <v>46094</v>
      </c>
      <c r="B426" s="10" t="n">
        <f aca="false">A426</f>
        <v>46094</v>
      </c>
      <c r="C426" s="11" t="s">
        <v>386</v>
      </c>
      <c r="D426" s="11" t="s">
        <v>383</v>
      </c>
      <c r="E426" s="11" t="s">
        <v>44</v>
      </c>
      <c r="F426" s="11" t="s">
        <v>44</v>
      </c>
      <c r="G426" s="11" t="s">
        <v>385</v>
      </c>
    </row>
    <row r="427" customFormat="false" ht="15.75" hidden="false" customHeight="false" outlineLevel="0" collapsed="false">
      <c r="A427" s="9" t="n">
        <v>46094</v>
      </c>
      <c r="B427" s="10" t="n">
        <f aca="false">A427</f>
        <v>46094</v>
      </c>
      <c r="C427" s="11" t="s">
        <v>386</v>
      </c>
      <c r="D427" s="11" t="s">
        <v>383</v>
      </c>
      <c r="E427" s="11" t="s">
        <v>44</v>
      </c>
      <c r="F427" s="11" t="s">
        <v>19</v>
      </c>
      <c r="G427" s="11" t="s">
        <v>384</v>
      </c>
    </row>
    <row r="428" customFormat="false" ht="15.75" hidden="false" customHeight="false" outlineLevel="0" collapsed="false">
      <c r="A428" s="9" t="n">
        <v>46094</v>
      </c>
      <c r="B428" s="10" t="n">
        <f aca="false">A428</f>
        <v>46094</v>
      </c>
      <c r="C428" s="11" t="s">
        <v>386</v>
      </c>
      <c r="D428" s="11" t="s">
        <v>383</v>
      </c>
      <c r="E428" s="11" t="s">
        <v>44</v>
      </c>
      <c r="F428" s="11" t="s">
        <v>19</v>
      </c>
      <c r="G428" s="11" t="s">
        <v>384</v>
      </c>
    </row>
    <row r="429" customFormat="false" ht="15.75" hidden="false" customHeight="false" outlineLevel="0" collapsed="false">
      <c r="A429" s="9" t="n">
        <v>46093</v>
      </c>
      <c r="B429" s="10" t="n">
        <f aca="false">A429</f>
        <v>46093</v>
      </c>
      <c r="C429" s="11" t="s">
        <v>386</v>
      </c>
      <c r="D429" s="11" t="s">
        <v>388</v>
      </c>
      <c r="E429" s="11" t="s">
        <v>44</v>
      </c>
      <c r="F429" s="11" t="s">
        <v>44</v>
      </c>
      <c r="G429" s="11" t="s">
        <v>385</v>
      </c>
    </row>
    <row r="430" customFormat="false" ht="15.75" hidden="false" customHeight="false" outlineLevel="0" collapsed="false">
      <c r="A430" s="9" t="n">
        <v>46093</v>
      </c>
      <c r="B430" s="10" t="n">
        <f aca="false">A430</f>
        <v>46093</v>
      </c>
      <c r="C430" s="11" t="s">
        <v>386</v>
      </c>
      <c r="D430" s="11" t="s">
        <v>387</v>
      </c>
      <c r="E430" s="11" t="s">
        <v>44</v>
      </c>
      <c r="F430" s="11" t="s">
        <v>44</v>
      </c>
      <c r="G430" s="11" t="s">
        <v>385</v>
      </c>
    </row>
    <row r="431" customFormat="false" ht="15.75" hidden="false" customHeight="false" outlineLevel="0" collapsed="false">
      <c r="A431" s="9" t="n">
        <v>46093</v>
      </c>
      <c r="B431" s="10" t="n">
        <f aca="false">A431</f>
        <v>46093</v>
      </c>
      <c r="C431" s="11" t="s">
        <v>386</v>
      </c>
      <c r="D431" s="11" t="s">
        <v>387</v>
      </c>
      <c r="E431" s="11" t="s">
        <v>44</v>
      </c>
      <c r="F431" s="11" t="s">
        <v>44</v>
      </c>
      <c r="G431" s="11" t="s">
        <v>385</v>
      </c>
    </row>
    <row r="432" customFormat="false" ht="15.75" hidden="false" customHeight="false" outlineLevel="0" collapsed="false">
      <c r="A432" s="9" t="n">
        <v>46093</v>
      </c>
      <c r="B432" s="10" t="n">
        <f aca="false">A432</f>
        <v>46093</v>
      </c>
      <c r="C432" s="11" t="s">
        <v>91</v>
      </c>
      <c r="D432" s="11" t="s">
        <v>91</v>
      </c>
      <c r="E432" s="11" t="s">
        <v>44</v>
      </c>
      <c r="F432" s="11" t="s">
        <v>19</v>
      </c>
      <c r="G432" s="11" t="s">
        <v>385</v>
      </c>
    </row>
    <row r="433" customFormat="false" ht="15.75" hidden="false" customHeight="false" outlineLevel="0" collapsed="false">
      <c r="A433" s="9" t="n">
        <v>46093</v>
      </c>
      <c r="B433" s="10" t="n">
        <f aca="false">A433</f>
        <v>46093</v>
      </c>
      <c r="C433" s="11" t="s">
        <v>386</v>
      </c>
      <c r="D433" s="11" t="s">
        <v>383</v>
      </c>
      <c r="E433" s="11" t="s">
        <v>44</v>
      </c>
      <c r="F433" s="11" t="s">
        <v>19</v>
      </c>
      <c r="G433" s="11" t="s">
        <v>384</v>
      </c>
    </row>
    <row r="434" customFormat="false" ht="15.75" hidden="false" customHeight="false" outlineLevel="0" collapsed="false">
      <c r="A434" s="9" t="n">
        <v>46093</v>
      </c>
      <c r="B434" s="10" t="n">
        <f aca="false">A434</f>
        <v>46093</v>
      </c>
      <c r="C434" s="11" t="s">
        <v>386</v>
      </c>
      <c r="D434" s="11" t="s">
        <v>383</v>
      </c>
      <c r="E434" s="11" t="s">
        <v>44</v>
      </c>
      <c r="F434" s="11" t="s">
        <v>19</v>
      </c>
      <c r="G434" s="11" t="s">
        <v>384</v>
      </c>
    </row>
    <row r="435" customFormat="false" ht="15.75" hidden="false" customHeight="false" outlineLevel="0" collapsed="false">
      <c r="A435" s="9" t="n">
        <v>46093</v>
      </c>
      <c r="B435" s="10" t="n">
        <f aca="false">A435</f>
        <v>46093</v>
      </c>
      <c r="C435" s="11" t="s">
        <v>386</v>
      </c>
      <c r="D435" s="11" t="s">
        <v>383</v>
      </c>
      <c r="E435" s="11" t="s">
        <v>44</v>
      </c>
      <c r="F435" s="11" t="s">
        <v>19</v>
      </c>
      <c r="G435" s="11" t="s">
        <v>384</v>
      </c>
    </row>
    <row r="436" customFormat="false" ht="15.75" hidden="false" customHeight="false" outlineLevel="0" collapsed="false">
      <c r="A436" s="9" t="n">
        <v>46092</v>
      </c>
      <c r="B436" s="10" t="n">
        <f aca="false">A436</f>
        <v>46092</v>
      </c>
      <c r="C436" s="11" t="s">
        <v>386</v>
      </c>
      <c r="D436" s="11" t="s">
        <v>383</v>
      </c>
      <c r="E436" s="11" t="s">
        <v>44</v>
      </c>
      <c r="F436" s="11" t="s">
        <v>19</v>
      </c>
      <c r="G436" s="11" t="s">
        <v>384</v>
      </c>
    </row>
    <row r="437" customFormat="false" ht="15.75" hidden="false" customHeight="false" outlineLevel="0" collapsed="false">
      <c r="A437" s="9" t="n">
        <v>46092</v>
      </c>
      <c r="B437" s="10" t="n">
        <f aca="false">A437</f>
        <v>46092</v>
      </c>
      <c r="C437" s="11" t="s">
        <v>386</v>
      </c>
      <c r="D437" s="11" t="s">
        <v>387</v>
      </c>
      <c r="E437" s="11" t="s">
        <v>44</v>
      </c>
      <c r="F437" s="11" t="s">
        <v>19</v>
      </c>
      <c r="G437" s="11" t="s">
        <v>385</v>
      </c>
    </row>
    <row r="438" customFormat="false" ht="15.75" hidden="false" customHeight="false" outlineLevel="0" collapsed="false">
      <c r="A438" s="9" t="n">
        <v>46092</v>
      </c>
      <c r="B438" s="10" t="n">
        <f aca="false">A438</f>
        <v>46092</v>
      </c>
      <c r="C438" s="11" t="s">
        <v>386</v>
      </c>
      <c r="D438" s="11" t="s">
        <v>387</v>
      </c>
      <c r="E438" s="11" t="s">
        <v>44</v>
      </c>
      <c r="F438" s="11" t="s">
        <v>44</v>
      </c>
      <c r="G438" s="11" t="s">
        <v>385</v>
      </c>
    </row>
    <row r="439" customFormat="false" ht="15.75" hidden="false" customHeight="false" outlineLevel="0" collapsed="false">
      <c r="A439" s="9"/>
      <c r="B439" s="10"/>
      <c r="C439" s="11"/>
      <c r="D439" s="11"/>
      <c r="E439" s="11"/>
      <c r="F439" s="11"/>
      <c r="G439" s="11"/>
    </row>
    <row r="440" customFormat="false" ht="15.75" hidden="false" customHeight="false" outlineLevel="0" collapsed="false">
      <c r="A440" s="9"/>
      <c r="B440" s="10"/>
      <c r="C440" s="11"/>
      <c r="D440" s="11"/>
      <c r="E440" s="11"/>
      <c r="F440" s="11"/>
      <c r="G440" s="11"/>
    </row>
    <row r="441" customFormat="false" ht="15.75" hidden="false" customHeight="false" outlineLevel="0" collapsed="false">
      <c r="A441" s="9"/>
      <c r="B441" s="10"/>
      <c r="C441" s="11"/>
      <c r="D441" s="11"/>
      <c r="E441" s="11"/>
      <c r="F441" s="11"/>
      <c r="G441" s="11"/>
    </row>
    <row r="442" customFormat="false" ht="15.75" hidden="false" customHeight="false" outlineLevel="0" collapsed="false">
      <c r="A442" s="9"/>
      <c r="B442" s="10"/>
      <c r="C442" s="11"/>
      <c r="D442" s="11"/>
      <c r="E442" s="11"/>
      <c r="F442" s="11"/>
      <c r="G442" s="11"/>
    </row>
    <row r="443" customFormat="false" ht="15.75" hidden="false" customHeight="false" outlineLevel="0" collapsed="false">
      <c r="A443" s="9"/>
      <c r="B443" s="10"/>
      <c r="C443" s="11"/>
      <c r="D443" s="11"/>
      <c r="E443" s="11"/>
      <c r="F443" s="11"/>
      <c r="G443" s="11"/>
    </row>
    <row r="444" customFormat="false" ht="15.75" hidden="false" customHeight="false" outlineLevel="0" collapsed="false">
      <c r="A444" s="9"/>
      <c r="B444" s="10"/>
      <c r="C444" s="11"/>
      <c r="D444" s="11"/>
      <c r="E444" s="11"/>
      <c r="F444" s="11"/>
      <c r="G444" s="11"/>
    </row>
    <row r="445" customFormat="false" ht="15.75" hidden="false" customHeight="false" outlineLevel="0" collapsed="false">
      <c r="A445" s="9"/>
      <c r="B445" s="10"/>
      <c r="C445" s="11"/>
      <c r="D445" s="11"/>
      <c r="E445" s="11"/>
      <c r="F445" s="11"/>
      <c r="G445" s="11"/>
    </row>
    <row r="446" customFormat="false" ht="15.75" hidden="false" customHeight="false" outlineLevel="0" collapsed="false">
      <c r="A446" s="9"/>
      <c r="B446" s="10"/>
      <c r="C446" s="11"/>
      <c r="D446" s="11"/>
      <c r="E446" s="11"/>
      <c r="F446" s="11"/>
      <c r="G446" s="11"/>
    </row>
    <row r="447" customFormat="false" ht="15.75" hidden="false" customHeight="false" outlineLevel="0" collapsed="false">
      <c r="A447" s="9"/>
      <c r="B447" s="10"/>
      <c r="C447" s="11"/>
      <c r="D447" s="11"/>
      <c r="E447" s="11"/>
      <c r="F447" s="11"/>
      <c r="G447" s="11"/>
    </row>
    <row r="448" customFormat="false" ht="15.75" hidden="false" customHeight="false" outlineLevel="0" collapsed="false">
      <c r="A448" s="9"/>
      <c r="B448" s="10"/>
      <c r="C448" s="11"/>
      <c r="D448" s="11"/>
      <c r="E448" s="11"/>
      <c r="F448" s="11"/>
      <c r="G448" s="11"/>
    </row>
    <row r="449" customFormat="false" ht="15.75" hidden="false" customHeight="false" outlineLevel="0" collapsed="false">
      <c r="A449" s="9"/>
      <c r="B449" s="10"/>
      <c r="C449" s="11"/>
      <c r="D449" s="11"/>
      <c r="E449" s="11"/>
      <c r="F449" s="11"/>
      <c r="G449" s="11"/>
    </row>
    <row r="450" customFormat="false" ht="15.75" hidden="false" customHeight="false" outlineLevel="0" collapsed="false">
      <c r="A450" s="9"/>
      <c r="B450" s="10"/>
      <c r="C450" s="11"/>
      <c r="D450" s="11"/>
      <c r="E450" s="11"/>
      <c r="F450" s="11"/>
      <c r="G450" s="11"/>
    </row>
    <row r="451" customFormat="false" ht="15.75" hidden="false" customHeight="false" outlineLevel="0" collapsed="false">
      <c r="A451" s="9"/>
      <c r="B451" s="10"/>
      <c r="C451" s="11"/>
      <c r="D451" s="11"/>
      <c r="E451" s="11"/>
      <c r="F451" s="11"/>
      <c r="G451" s="11"/>
    </row>
    <row r="452" customFormat="false" ht="15.75" hidden="false" customHeight="false" outlineLevel="0" collapsed="false">
      <c r="A452" s="9"/>
      <c r="B452" s="10"/>
      <c r="C452" s="11"/>
      <c r="D452" s="11"/>
      <c r="E452" s="11"/>
      <c r="F452" s="11"/>
      <c r="G452" s="11"/>
    </row>
    <row r="453" customFormat="false" ht="15.75" hidden="false" customHeight="false" outlineLevel="0" collapsed="false">
      <c r="A453" s="9"/>
      <c r="B453" s="10"/>
      <c r="C453" s="11"/>
      <c r="D453" s="11"/>
      <c r="E453" s="11"/>
      <c r="F453" s="11"/>
      <c r="G453" s="11"/>
    </row>
    <row r="454" customFormat="false" ht="15.75" hidden="false" customHeight="false" outlineLevel="0" collapsed="false">
      <c r="A454" s="9"/>
      <c r="B454" s="10"/>
      <c r="C454" s="11"/>
      <c r="D454" s="11"/>
      <c r="E454" s="11"/>
      <c r="F454" s="11"/>
      <c r="G454" s="11"/>
    </row>
    <row r="455" customFormat="false" ht="15.75" hidden="false" customHeight="false" outlineLevel="0" collapsed="false">
      <c r="A455" s="9"/>
      <c r="B455" s="10"/>
      <c r="C455" s="11"/>
      <c r="D455" s="11"/>
      <c r="E455" s="11"/>
      <c r="F455" s="11"/>
      <c r="G455" s="11"/>
    </row>
    <row r="456" customFormat="false" ht="15.75" hidden="false" customHeight="false" outlineLevel="0" collapsed="false">
      <c r="A456" s="9"/>
      <c r="B456" s="10"/>
      <c r="C456" s="11"/>
      <c r="D456" s="11"/>
      <c r="E456" s="11"/>
      <c r="F456" s="11"/>
      <c r="G456" s="11"/>
    </row>
    <row r="457" customFormat="false" ht="15.75" hidden="false" customHeight="false" outlineLevel="0" collapsed="false">
      <c r="A457" s="9"/>
      <c r="B457" s="10"/>
      <c r="C457" s="11"/>
      <c r="D457" s="11"/>
      <c r="E457" s="11"/>
      <c r="F457" s="11"/>
      <c r="G457" s="11"/>
    </row>
    <row r="458" customFormat="false" ht="15.75" hidden="false" customHeight="false" outlineLevel="0" collapsed="false">
      <c r="A458" s="9"/>
      <c r="B458" s="10"/>
      <c r="C458" s="11"/>
      <c r="D458" s="11"/>
      <c r="E458" s="11"/>
      <c r="F458" s="11"/>
      <c r="G458" s="11"/>
    </row>
    <row r="459" customFormat="false" ht="15.75" hidden="false" customHeight="false" outlineLevel="0" collapsed="false">
      <c r="A459" s="9"/>
      <c r="B459" s="10"/>
      <c r="C459" s="11"/>
      <c r="D459" s="11"/>
      <c r="E459" s="11"/>
      <c r="F459" s="11"/>
      <c r="G459" s="11"/>
    </row>
    <row r="460" customFormat="false" ht="15.75" hidden="false" customHeight="false" outlineLevel="0" collapsed="false">
      <c r="A460" s="9"/>
      <c r="B460" s="10"/>
      <c r="C460" s="11"/>
      <c r="D460" s="11"/>
      <c r="E460" s="11"/>
      <c r="F460" s="11"/>
      <c r="G460" s="11"/>
    </row>
    <row r="461" customFormat="false" ht="15.75" hidden="false" customHeight="false" outlineLevel="0" collapsed="false">
      <c r="A461" s="9"/>
      <c r="B461" s="10"/>
      <c r="C461" s="11"/>
      <c r="D461" s="11"/>
      <c r="E461" s="11"/>
      <c r="F461" s="11"/>
      <c r="G461" s="11"/>
    </row>
    <row r="462" customFormat="false" ht="15.75" hidden="false" customHeight="false" outlineLevel="0" collapsed="false">
      <c r="A462" s="9"/>
      <c r="B462" s="10"/>
      <c r="C462" s="11"/>
      <c r="D462" s="11"/>
      <c r="E462" s="11"/>
      <c r="F462" s="11"/>
      <c r="G462" s="11"/>
    </row>
    <row r="463" customFormat="false" ht="15.75" hidden="false" customHeight="false" outlineLevel="0" collapsed="false">
      <c r="A463" s="9"/>
      <c r="B463" s="10"/>
      <c r="C463" s="11"/>
      <c r="D463" s="11"/>
      <c r="E463" s="11"/>
      <c r="F463" s="11"/>
      <c r="G463" s="11"/>
    </row>
    <row r="464" customFormat="false" ht="15.75" hidden="false" customHeight="false" outlineLevel="0" collapsed="false">
      <c r="A464" s="9"/>
      <c r="B464" s="10"/>
      <c r="C464" s="11"/>
      <c r="D464" s="11"/>
      <c r="E464" s="11"/>
      <c r="F464" s="11"/>
      <c r="G464" s="11"/>
    </row>
    <row r="465" customFormat="false" ht="15.75" hidden="false" customHeight="false" outlineLevel="0" collapsed="false">
      <c r="A465" s="9"/>
      <c r="B465" s="10"/>
      <c r="C465" s="11"/>
      <c r="D465" s="11"/>
      <c r="E465" s="11"/>
      <c r="F465" s="11"/>
      <c r="G465" s="11"/>
    </row>
    <row r="466" customFormat="false" ht="15.75" hidden="false" customHeight="false" outlineLevel="0" collapsed="false">
      <c r="A466" s="9"/>
      <c r="B466" s="10"/>
      <c r="C466" s="11"/>
      <c r="D466" s="11"/>
      <c r="E466" s="11"/>
      <c r="F466" s="11"/>
      <c r="G466" s="11"/>
    </row>
    <row r="467" customFormat="false" ht="15.75" hidden="false" customHeight="false" outlineLevel="0" collapsed="false">
      <c r="A467" s="9"/>
      <c r="B467" s="10"/>
      <c r="C467" s="11"/>
      <c r="D467" s="11"/>
      <c r="E467" s="11"/>
      <c r="F467" s="11"/>
      <c r="G467" s="11"/>
    </row>
    <row r="468" customFormat="false" ht="15.75" hidden="false" customHeight="false" outlineLevel="0" collapsed="false">
      <c r="A468" s="9"/>
      <c r="B468" s="10"/>
      <c r="C468" s="11"/>
      <c r="D468" s="11"/>
      <c r="E468" s="11"/>
      <c r="F468" s="11"/>
      <c r="G468" s="11"/>
    </row>
    <row r="469" customFormat="false" ht="15.75" hidden="false" customHeight="false" outlineLevel="0" collapsed="false">
      <c r="A469" s="9"/>
      <c r="B469" s="10"/>
      <c r="C469" s="11"/>
      <c r="D469" s="11"/>
      <c r="E469" s="11"/>
      <c r="F469" s="11"/>
      <c r="G469" s="11"/>
    </row>
    <row r="470" customFormat="false" ht="15.75" hidden="false" customHeight="false" outlineLevel="0" collapsed="false">
      <c r="A470" s="9"/>
      <c r="B470" s="10"/>
      <c r="C470" s="11"/>
      <c r="D470" s="11"/>
      <c r="E470" s="11"/>
      <c r="F470" s="11"/>
      <c r="G470" s="11"/>
    </row>
    <row r="471" customFormat="false" ht="15.75" hidden="false" customHeight="false" outlineLevel="0" collapsed="false">
      <c r="A471" s="9"/>
      <c r="B471" s="10"/>
      <c r="C471" s="11"/>
      <c r="D471" s="11"/>
      <c r="E471" s="11"/>
      <c r="F471" s="11"/>
      <c r="G471" s="11"/>
    </row>
    <row r="472" customFormat="false" ht="15.75" hidden="false" customHeight="false" outlineLevel="0" collapsed="false">
      <c r="A472" s="9"/>
      <c r="B472" s="10"/>
      <c r="C472" s="11"/>
      <c r="D472" s="11"/>
      <c r="E472" s="11"/>
      <c r="F472" s="11"/>
      <c r="G472" s="11"/>
    </row>
    <row r="473" customFormat="false" ht="15.75" hidden="false" customHeight="false" outlineLevel="0" collapsed="false">
      <c r="A473" s="9"/>
      <c r="B473" s="10"/>
      <c r="C473" s="11"/>
      <c r="D473" s="11"/>
      <c r="E473" s="11"/>
      <c r="F473" s="11"/>
      <c r="G473" s="11"/>
    </row>
    <row r="474" customFormat="false" ht="15.75" hidden="false" customHeight="false" outlineLevel="0" collapsed="false">
      <c r="A474" s="9"/>
      <c r="B474" s="10"/>
      <c r="C474" s="11"/>
      <c r="D474" s="11"/>
      <c r="E474" s="11"/>
      <c r="F474" s="11"/>
      <c r="G474" s="11"/>
    </row>
    <row r="475" customFormat="false" ht="15.75" hidden="false" customHeight="false" outlineLevel="0" collapsed="false">
      <c r="A475" s="9"/>
      <c r="B475" s="10"/>
      <c r="C475" s="11"/>
      <c r="D475" s="11"/>
      <c r="E475" s="11"/>
      <c r="F475" s="11"/>
      <c r="G475" s="11"/>
    </row>
    <row r="476" customFormat="false" ht="15.75" hidden="false" customHeight="false" outlineLevel="0" collapsed="false">
      <c r="A476" s="9"/>
      <c r="B476" s="10"/>
      <c r="C476" s="11"/>
      <c r="D476" s="11"/>
      <c r="E476" s="11"/>
      <c r="F476" s="11"/>
      <c r="G476" s="11"/>
    </row>
    <row r="477" customFormat="false" ht="15.75" hidden="false" customHeight="false" outlineLevel="0" collapsed="false">
      <c r="A477" s="9"/>
      <c r="B477" s="10"/>
      <c r="C477" s="11"/>
      <c r="D477" s="11"/>
      <c r="E477" s="11"/>
      <c r="F477" s="11"/>
      <c r="G477" s="11"/>
    </row>
    <row r="478" customFormat="false" ht="15.75" hidden="false" customHeight="false" outlineLevel="0" collapsed="false">
      <c r="A478" s="9"/>
      <c r="B478" s="10"/>
      <c r="C478" s="11"/>
      <c r="D478" s="11"/>
      <c r="E478" s="11"/>
      <c r="F478" s="11"/>
      <c r="G478" s="11"/>
    </row>
    <row r="479" customFormat="false" ht="15.75" hidden="false" customHeight="false" outlineLevel="0" collapsed="false">
      <c r="A479" s="9"/>
      <c r="B479" s="10"/>
      <c r="C479" s="11"/>
      <c r="D479" s="11"/>
      <c r="E479" s="11"/>
      <c r="F479" s="11"/>
      <c r="G479" s="11"/>
    </row>
    <row r="480" customFormat="false" ht="15.75" hidden="false" customHeight="false" outlineLevel="0" collapsed="false">
      <c r="A480" s="9"/>
      <c r="B480" s="10"/>
      <c r="C480" s="11"/>
      <c r="D480" s="11"/>
      <c r="E480" s="11"/>
      <c r="F480" s="11"/>
      <c r="G480" s="11"/>
    </row>
    <row r="481" customFormat="false" ht="15.75" hidden="false" customHeight="false" outlineLevel="0" collapsed="false">
      <c r="A481" s="9"/>
      <c r="B481" s="10"/>
      <c r="C481" s="11"/>
      <c r="D481" s="11"/>
      <c r="E481" s="11"/>
      <c r="F481" s="11"/>
      <c r="G481" s="11"/>
    </row>
    <row r="482" customFormat="false" ht="15.75" hidden="false" customHeight="false" outlineLevel="0" collapsed="false">
      <c r="A482" s="9"/>
      <c r="B482" s="10"/>
      <c r="C482" s="11"/>
      <c r="D482" s="11"/>
      <c r="E482" s="11"/>
      <c r="F482" s="11"/>
      <c r="G482" s="11"/>
    </row>
    <row r="483" customFormat="false" ht="15.75" hidden="false" customHeight="false" outlineLevel="0" collapsed="false">
      <c r="A483" s="9"/>
      <c r="B483" s="10"/>
      <c r="C483" s="11"/>
      <c r="D483" s="11"/>
      <c r="E483" s="11"/>
      <c r="F483" s="11"/>
      <c r="G483" s="11"/>
    </row>
    <row r="484" customFormat="false" ht="15.75" hidden="false" customHeight="false" outlineLevel="0" collapsed="false">
      <c r="A484" s="9"/>
      <c r="B484" s="10"/>
      <c r="C484" s="11"/>
      <c r="D484" s="11"/>
      <c r="E484" s="11"/>
      <c r="F484" s="11"/>
      <c r="G484" s="11"/>
    </row>
    <row r="485" customFormat="false" ht="15.75" hidden="false" customHeight="false" outlineLevel="0" collapsed="false">
      <c r="A485" s="9"/>
      <c r="B485" s="10"/>
      <c r="C485" s="11"/>
      <c r="D485" s="11"/>
      <c r="E485" s="11"/>
      <c r="F485" s="11"/>
      <c r="G485" s="11"/>
    </row>
    <row r="486" customFormat="false" ht="15.75" hidden="false" customHeight="false" outlineLevel="0" collapsed="false">
      <c r="A486" s="9"/>
      <c r="B486" s="10"/>
      <c r="C486" s="11"/>
      <c r="D486" s="11"/>
      <c r="E486" s="11"/>
      <c r="F486" s="11"/>
      <c r="G486" s="11"/>
    </row>
    <row r="487" customFormat="false" ht="15.75" hidden="false" customHeight="false" outlineLevel="0" collapsed="false">
      <c r="A487" s="9"/>
      <c r="B487" s="10"/>
      <c r="C487" s="11"/>
      <c r="D487" s="11"/>
      <c r="E487" s="11"/>
      <c r="F487" s="11"/>
      <c r="G487" s="11"/>
    </row>
    <row r="488" customFormat="false" ht="15.75" hidden="false" customHeight="false" outlineLevel="0" collapsed="false">
      <c r="A488" s="9"/>
      <c r="B488" s="10"/>
      <c r="C488" s="11"/>
      <c r="D488" s="11"/>
      <c r="E488" s="11"/>
      <c r="F488" s="11"/>
      <c r="G488" s="11"/>
    </row>
    <row r="489" customFormat="false" ht="15.75" hidden="false" customHeight="false" outlineLevel="0" collapsed="false">
      <c r="A489" s="9"/>
      <c r="B489" s="10"/>
      <c r="C489" s="11"/>
      <c r="D489" s="11"/>
      <c r="E489" s="11"/>
      <c r="F489" s="11"/>
      <c r="G489" s="11"/>
    </row>
    <row r="490" customFormat="false" ht="15.75" hidden="false" customHeight="false" outlineLevel="0" collapsed="false">
      <c r="A490" s="9"/>
      <c r="B490" s="10"/>
      <c r="C490" s="11"/>
      <c r="D490" s="11"/>
      <c r="E490" s="11"/>
      <c r="F490" s="11"/>
      <c r="G490" s="11"/>
    </row>
    <row r="491" customFormat="false" ht="15.75" hidden="false" customHeight="false" outlineLevel="0" collapsed="false">
      <c r="A491" s="9"/>
      <c r="B491" s="10"/>
      <c r="C491" s="11"/>
      <c r="D491" s="11"/>
      <c r="E491" s="11"/>
      <c r="F491" s="11"/>
      <c r="G491" s="11"/>
    </row>
    <row r="492" customFormat="false" ht="15.75" hidden="false" customHeight="false" outlineLevel="0" collapsed="false">
      <c r="A492" s="9"/>
      <c r="B492" s="10"/>
      <c r="C492" s="11"/>
      <c r="D492" s="11"/>
      <c r="E492" s="11"/>
      <c r="F492" s="11"/>
      <c r="G492" s="11"/>
    </row>
    <row r="493" customFormat="false" ht="15.75" hidden="false" customHeight="false" outlineLevel="0" collapsed="false">
      <c r="A493" s="9"/>
      <c r="B493" s="10"/>
      <c r="C493" s="11"/>
      <c r="D493" s="11"/>
      <c r="E493" s="11"/>
      <c r="F493" s="11"/>
      <c r="G493" s="11"/>
    </row>
    <row r="494" customFormat="false" ht="15.75" hidden="false" customHeight="false" outlineLevel="0" collapsed="false">
      <c r="A494" s="9"/>
      <c r="B494" s="10"/>
      <c r="C494" s="11"/>
      <c r="D494" s="11"/>
      <c r="E494" s="11"/>
      <c r="F494" s="11"/>
      <c r="G494" s="11"/>
    </row>
    <row r="495" customFormat="false" ht="15.75" hidden="false" customHeight="false" outlineLevel="0" collapsed="false">
      <c r="A495" s="9"/>
      <c r="B495" s="10"/>
      <c r="C495" s="11"/>
      <c r="D495" s="11"/>
      <c r="E495" s="11"/>
      <c r="F495" s="11"/>
      <c r="G495" s="11"/>
    </row>
    <row r="496" customFormat="false" ht="15.75" hidden="false" customHeight="false" outlineLevel="0" collapsed="false">
      <c r="A496" s="9"/>
      <c r="B496" s="10"/>
      <c r="C496" s="11"/>
      <c r="D496" s="11"/>
      <c r="E496" s="11"/>
      <c r="F496" s="11"/>
      <c r="G496" s="11"/>
    </row>
    <row r="497" customFormat="false" ht="15.75" hidden="false" customHeight="false" outlineLevel="0" collapsed="false">
      <c r="A497" s="9"/>
      <c r="B497" s="10"/>
      <c r="C497" s="11"/>
      <c r="D497" s="11"/>
      <c r="E497" s="11"/>
      <c r="F497" s="11"/>
      <c r="G497" s="11"/>
    </row>
    <row r="498" customFormat="false" ht="15.75" hidden="false" customHeight="false" outlineLevel="0" collapsed="false">
      <c r="A498" s="9"/>
      <c r="B498" s="10"/>
      <c r="C498" s="11"/>
      <c r="D498" s="11"/>
      <c r="E498" s="11"/>
      <c r="F498" s="11"/>
      <c r="G498" s="11"/>
    </row>
    <row r="499" customFormat="false" ht="15.75" hidden="false" customHeight="false" outlineLevel="0" collapsed="false">
      <c r="A499" s="9"/>
      <c r="B499" s="10"/>
      <c r="C499" s="11"/>
      <c r="D499" s="11"/>
      <c r="E499" s="11"/>
      <c r="F499" s="11"/>
      <c r="G499" s="11"/>
    </row>
    <row r="500" customFormat="false" ht="15.75" hidden="false" customHeight="false" outlineLevel="0" collapsed="false">
      <c r="A500" s="9"/>
      <c r="B500" s="10"/>
      <c r="C500" s="11"/>
      <c r="D500" s="11"/>
      <c r="E500" s="11"/>
      <c r="F500" s="11"/>
      <c r="G500" s="11"/>
    </row>
    <row r="501" customFormat="false" ht="15.75" hidden="false" customHeight="false" outlineLevel="0" collapsed="false">
      <c r="A501" s="9"/>
      <c r="B501" s="10"/>
      <c r="C501" s="11"/>
      <c r="D501" s="11"/>
      <c r="E501" s="11"/>
      <c r="F501" s="11"/>
      <c r="G501" s="11"/>
    </row>
    <row r="502" customFormat="false" ht="15.75" hidden="false" customHeight="false" outlineLevel="0" collapsed="false">
      <c r="A502" s="9"/>
      <c r="B502" s="10"/>
      <c r="C502" s="11"/>
      <c r="D502" s="11"/>
      <c r="E502" s="11"/>
      <c r="F502" s="11"/>
      <c r="G502" s="11"/>
    </row>
    <row r="503" customFormat="false" ht="15.75" hidden="false" customHeight="false" outlineLevel="0" collapsed="false">
      <c r="A503" s="9"/>
      <c r="B503" s="10"/>
      <c r="C503" s="11"/>
      <c r="D503" s="11"/>
      <c r="E503" s="11"/>
      <c r="F503" s="11"/>
      <c r="G503" s="11"/>
    </row>
    <row r="504" customFormat="false" ht="15.75" hidden="false" customHeight="false" outlineLevel="0" collapsed="false">
      <c r="A504" s="9"/>
      <c r="B504" s="10"/>
      <c r="C504" s="11"/>
      <c r="D504" s="11"/>
      <c r="E504" s="11"/>
      <c r="F504" s="11"/>
      <c r="G504" s="11"/>
    </row>
    <row r="505" customFormat="false" ht="15.75" hidden="false" customHeight="false" outlineLevel="0" collapsed="false">
      <c r="A505" s="9"/>
      <c r="B505" s="10"/>
      <c r="C505" s="11"/>
      <c r="D505" s="11"/>
      <c r="E505" s="11"/>
      <c r="F505" s="11"/>
      <c r="G505" s="11"/>
    </row>
    <row r="506" customFormat="false" ht="15.75" hidden="false" customHeight="false" outlineLevel="0" collapsed="false">
      <c r="A506" s="9"/>
      <c r="B506" s="10"/>
      <c r="C506" s="11"/>
      <c r="D506" s="11"/>
      <c r="E506" s="11"/>
      <c r="F506" s="11"/>
      <c r="G506" s="11"/>
    </row>
    <row r="507" customFormat="false" ht="15.75" hidden="false" customHeight="false" outlineLevel="0" collapsed="false">
      <c r="A507" s="9"/>
      <c r="B507" s="10"/>
      <c r="C507" s="11"/>
      <c r="D507" s="11"/>
      <c r="E507" s="11"/>
      <c r="F507" s="11"/>
      <c r="G507" s="11"/>
    </row>
    <row r="508" customFormat="false" ht="15.75" hidden="false" customHeight="false" outlineLevel="0" collapsed="false">
      <c r="A508" s="9"/>
      <c r="B508" s="10"/>
      <c r="C508" s="11"/>
      <c r="D508" s="11"/>
      <c r="E508" s="11"/>
      <c r="F508" s="11"/>
      <c r="G508" s="11"/>
    </row>
    <row r="509" customFormat="false" ht="15.75" hidden="false" customHeight="false" outlineLevel="0" collapsed="false">
      <c r="A509" s="9"/>
      <c r="B509" s="10"/>
      <c r="C509" s="11"/>
      <c r="D509" s="11"/>
      <c r="E509" s="11"/>
      <c r="F509" s="11"/>
      <c r="G509" s="11"/>
    </row>
    <row r="510" customFormat="false" ht="15.75" hidden="false" customHeight="false" outlineLevel="0" collapsed="false">
      <c r="A510" s="9"/>
      <c r="B510" s="10"/>
      <c r="C510" s="11"/>
      <c r="D510" s="11"/>
      <c r="E510" s="11"/>
      <c r="F510" s="11"/>
      <c r="G510" s="11"/>
    </row>
    <row r="511" customFormat="false" ht="15.75" hidden="false" customHeight="false" outlineLevel="0" collapsed="false">
      <c r="A511" s="9"/>
      <c r="B511" s="10"/>
      <c r="C511" s="11"/>
      <c r="D511" s="11"/>
      <c r="E511" s="11"/>
      <c r="F511" s="11"/>
      <c r="G511" s="11"/>
    </row>
    <row r="512" customFormat="false" ht="15.75" hidden="false" customHeight="false" outlineLevel="0" collapsed="false">
      <c r="A512" s="9"/>
      <c r="B512" s="10"/>
      <c r="C512" s="11"/>
      <c r="D512" s="11"/>
      <c r="E512" s="11"/>
      <c r="F512" s="11"/>
      <c r="G512" s="11"/>
    </row>
    <row r="513" customFormat="false" ht="15.75" hidden="false" customHeight="false" outlineLevel="0" collapsed="false">
      <c r="A513" s="9"/>
      <c r="B513" s="10"/>
      <c r="C513" s="11"/>
      <c r="D513" s="11"/>
      <c r="E513" s="11"/>
      <c r="F513" s="11"/>
      <c r="G513" s="11"/>
    </row>
    <row r="514" customFormat="false" ht="15.75" hidden="false" customHeight="false" outlineLevel="0" collapsed="false">
      <c r="A514" s="9"/>
      <c r="B514" s="10"/>
      <c r="C514" s="11"/>
      <c r="D514" s="11"/>
      <c r="E514" s="11"/>
      <c r="F514" s="11"/>
      <c r="G514" s="11"/>
    </row>
    <row r="515" customFormat="false" ht="15.75" hidden="false" customHeight="false" outlineLevel="0" collapsed="false">
      <c r="A515" s="9"/>
      <c r="B515" s="10"/>
      <c r="C515" s="11"/>
      <c r="D515" s="11"/>
      <c r="E515" s="11"/>
      <c r="F515" s="11"/>
      <c r="G515" s="11"/>
    </row>
    <row r="516" customFormat="false" ht="15.75" hidden="false" customHeight="false" outlineLevel="0" collapsed="false">
      <c r="A516" s="9"/>
      <c r="B516" s="10"/>
      <c r="C516" s="11"/>
      <c r="D516" s="11"/>
      <c r="E516" s="11"/>
      <c r="F516" s="11"/>
      <c r="G516" s="11"/>
    </row>
    <row r="517" customFormat="false" ht="15.75" hidden="false" customHeight="false" outlineLevel="0" collapsed="false">
      <c r="A517" s="9"/>
      <c r="B517" s="10"/>
      <c r="C517" s="11"/>
      <c r="D517" s="11"/>
      <c r="E517" s="11"/>
      <c r="F517" s="11"/>
      <c r="G517" s="11"/>
    </row>
    <row r="518" customFormat="false" ht="15.75" hidden="false" customHeight="false" outlineLevel="0" collapsed="false">
      <c r="A518" s="9"/>
      <c r="B518" s="10"/>
      <c r="C518" s="11"/>
      <c r="D518" s="11"/>
      <c r="E518" s="11"/>
      <c r="F518" s="11"/>
      <c r="G518" s="11"/>
    </row>
    <row r="519" customFormat="false" ht="15.75" hidden="false" customHeight="false" outlineLevel="0" collapsed="false">
      <c r="A519" s="9"/>
      <c r="B519" s="10"/>
      <c r="C519" s="11"/>
      <c r="D519" s="11"/>
      <c r="E519" s="11"/>
      <c r="F519" s="11"/>
      <c r="G519" s="11"/>
    </row>
    <row r="520" customFormat="false" ht="15.75" hidden="false" customHeight="false" outlineLevel="0" collapsed="false">
      <c r="A520" s="9"/>
      <c r="B520" s="10"/>
      <c r="C520" s="11"/>
      <c r="D520" s="11"/>
      <c r="E520" s="11"/>
      <c r="F520" s="11"/>
      <c r="G520" s="11"/>
    </row>
    <row r="521" customFormat="false" ht="15.75" hidden="false" customHeight="false" outlineLevel="0" collapsed="false">
      <c r="A521" s="9"/>
      <c r="B521" s="10"/>
      <c r="C521" s="11"/>
      <c r="D521" s="11"/>
      <c r="E521" s="11"/>
      <c r="F521" s="11"/>
      <c r="G521" s="11"/>
    </row>
    <row r="522" customFormat="false" ht="15.75" hidden="false" customHeight="false" outlineLevel="0" collapsed="false">
      <c r="A522" s="9"/>
      <c r="B522" s="10"/>
      <c r="C522" s="11"/>
      <c r="D522" s="11"/>
      <c r="E522" s="11"/>
      <c r="F522" s="11"/>
      <c r="G522" s="11"/>
    </row>
    <row r="523" customFormat="false" ht="15.75" hidden="false" customHeight="false" outlineLevel="0" collapsed="false">
      <c r="A523" s="9"/>
      <c r="B523" s="10"/>
      <c r="C523" s="11"/>
      <c r="D523" s="11"/>
      <c r="E523" s="11"/>
      <c r="F523" s="11"/>
      <c r="G523" s="11"/>
    </row>
    <row r="524" customFormat="false" ht="15.75" hidden="false" customHeight="false" outlineLevel="0" collapsed="false">
      <c r="A524" s="9"/>
      <c r="B524" s="10"/>
      <c r="C524" s="11"/>
      <c r="D524" s="11"/>
      <c r="E524" s="11"/>
      <c r="F524" s="11"/>
      <c r="G524" s="11"/>
    </row>
    <row r="525" customFormat="false" ht="15.75" hidden="false" customHeight="false" outlineLevel="0" collapsed="false">
      <c r="A525" s="9"/>
      <c r="B525" s="10"/>
      <c r="C525" s="11"/>
      <c r="D525" s="11"/>
      <c r="E525" s="11"/>
      <c r="F525" s="11"/>
      <c r="G525" s="11"/>
    </row>
    <row r="526" customFormat="false" ht="15.75" hidden="false" customHeight="false" outlineLevel="0" collapsed="false">
      <c r="A526" s="9"/>
      <c r="B526" s="10"/>
      <c r="C526" s="11"/>
      <c r="D526" s="11"/>
      <c r="E526" s="11"/>
      <c r="F526" s="11"/>
      <c r="G526" s="11"/>
    </row>
    <row r="527" customFormat="false" ht="15.75" hidden="false" customHeight="false" outlineLevel="0" collapsed="false">
      <c r="A527" s="9"/>
      <c r="B527" s="10"/>
      <c r="C527" s="11"/>
      <c r="D527" s="11"/>
      <c r="E527" s="11"/>
      <c r="F527" s="11"/>
      <c r="G527" s="11"/>
    </row>
    <row r="528" customFormat="false" ht="15.75" hidden="false" customHeight="false" outlineLevel="0" collapsed="false">
      <c r="A528" s="9"/>
      <c r="B528" s="10"/>
      <c r="C528" s="11"/>
      <c r="D528" s="11"/>
      <c r="E528" s="11"/>
      <c r="F528" s="11"/>
      <c r="G528" s="11"/>
    </row>
    <row r="529" customFormat="false" ht="15.75" hidden="false" customHeight="false" outlineLevel="0" collapsed="false">
      <c r="A529" s="9"/>
      <c r="B529" s="10"/>
      <c r="C529" s="11"/>
      <c r="D529" s="11"/>
      <c r="E529" s="11"/>
      <c r="F529" s="11"/>
      <c r="G529" s="11"/>
    </row>
    <row r="530" customFormat="false" ht="15.75" hidden="false" customHeight="false" outlineLevel="0" collapsed="false">
      <c r="A530" s="9"/>
      <c r="B530" s="10"/>
      <c r="C530" s="11"/>
      <c r="D530" s="11"/>
      <c r="E530" s="11"/>
      <c r="F530" s="11"/>
      <c r="G530" s="11"/>
    </row>
    <row r="531" customFormat="false" ht="15.75" hidden="false" customHeight="false" outlineLevel="0" collapsed="false">
      <c r="A531" s="9"/>
      <c r="B531" s="10"/>
      <c r="C531" s="11"/>
      <c r="D531" s="11"/>
      <c r="E531" s="11"/>
      <c r="F531" s="11"/>
      <c r="G531" s="11"/>
    </row>
    <row r="532" customFormat="false" ht="15.75" hidden="false" customHeight="false" outlineLevel="0" collapsed="false">
      <c r="A532" s="9"/>
      <c r="B532" s="10"/>
      <c r="C532" s="11"/>
      <c r="D532" s="11"/>
      <c r="E532" s="11"/>
      <c r="F532" s="11"/>
      <c r="G532" s="11"/>
    </row>
    <row r="533" customFormat="false" ht="15.75" hidden="false" customHeight="false" outlineLevel="0" collapsed="false">
      <c r="A533" s="9"/>
      <c r="B533" s="10"/>
      <c r="C533" s="11"/>
      <c r="D533" s="11"/>
      <c r="E533" s="11"/>
      <c r="F533" s="11"/>
      <c r="G533" s="11"/>
    </row>
    <row r="534" customFormat="false" ht="15.75" hidden="false" customHeight="false" outlineLevel="0" collapsed="false">
      <c r="A534" s="9"/>
      <c r="B534" s="10"/>
      <c r="C534" s="11"/>
      <c r="D534" s="11"/>
      <c r="E534" s="11"/>
      <c r="F534" s="11"/>
      <c r="G534" s="11"/>
    </row>
    <row r="535" customFormat="false" ht="15.75" hidden="false" customHeight="false" outlineLevel="0" collapsed="false">
      <c r="A535" s="9"/>
      <c r="B535" s="10"/>
      <c r="C535" s="11"/>
      <c r="D535" s="11"/>
      <c r="E535" s="11"/>
      <c r="F535" s="11"/>
      <c r="G535" s="11"/>
    </row>
    <row r="536" customFormat="false" ht="15.75" hidden="false" customHeight="false" outlineLevel="0" collapsed="false">
      <c r="A536" s="9"/>
      <c r="B536" s="10"/>
      <c r="C536" s="11"/>
      <c r="D536" s="11"/>
      <c r="E536" s="11"/>
      <c r="F536" s="11"/>
      <c r="G536" s="11"/>
    </row>
    <row r="537" customFormat="false" ht="15.75" hidden="false" customHeight="false" outlineLevel="0" collapsed="false">
      <c r="A537" s="9"/>
      <c r="B537" s="10"/>
      <c r="C537" s="11"/>
      <c r="D537" s="11"/>
      <c r="E537" s="11"/>
      <c r="F537" s="11"/>
      <c r="G537" s="11"/>
    </row>
    <row r="538" customFormat="false" ht="15.75" hidden="false" customHeight="false" outlineLevel="0" collapsed="false">
      <c r="A538" s="9"/>
      <c r="B538" s="10"/>
      <c r="C538" s="11"/>
      <c r="D538" s="11"/>
      <c r="E538" s="11"/>
      <c r="F538" s="11"/>
      <c r="G538" s="11"/>
    </row>
    <row r="539" customFormat="false" ht="15.75" hidden="false" customHeight="false" outlineLevel="0" collapsed="false">
      <c r="A539" s="9"/>
      <c r="B539" s="10"/>
      <c r="C539" s="11"/>
      <c r="D539" s="11"/>
      <c r="E539" s="11"/>
      <c r="F539" s="11"/>
      <c r="G539" s="11"/>
    </row>
    <row r="540" customFormat="false" ht="15.75" hidden="false" customHeight="false" outlineLevel="0" collapsed="false">
      <c r="A540" s="9"/>
      <c r="B540" s="10"/>
      <c r="C540" s="11"/>
      <c r="D540" s="11"/>
      <c r="E540" s="11"/>
      <c r="F540" s="11"/>
      <c r="G540" s="11"/>
    </row>
    <row r="541" customFormat="false" ht="15.75" hidden="false" customHeight="false" outlineLevel="0" collapsed="false">
      <c r="A541" s="9"/>
      <c r="B541" s="10"/>
      <c r="C541" s="11"/>
      <c r="D541" s="11"/>
      <c r="E541" s="11"/>
      <c r="F541" s="11"/>
      <c r="G541" s="11"/>
    </row>
    <row r="542" customFormat="false" ht="15.75" hidden="false" customHeight="false" outlineLevel="0" collapsed="false">
      <c r="A542" s="9"/>
      <c r="B542" s="10"/>
      <c r="C542" s="11"/>
      <c r="D542" s="11"/>
      <c r="E542" s="11"/>
      <c r="F542" s="11"/>
      <c r="G542" s="11"/>
    </row>
    <row r="543" customFormat="false" ht="15.75" hidden="false" customHeight="false" outlineLevel="0" collapsed="false">
      <c r="A543" s="9"/>
      <c r="B543" s="10"/>
      <c r="C543" s="11"/>
      <c r="D543" s="11"/>
      <c r="E543" s="11"/>
      <c r="F543" s="11"/>
      <c r="G543" s="11"/>
    </row>
    <row r="544" customFormat="false" ht="15.75" hidden="false" customHeight="false" outlineLevel="0" collapsed="false">
      <c r="A544" s="9"/>
      <c r="B544" s="10"/>
      <c r="C544" s="11"/>
      <c r="D544" s="11"/>
      <c r="E544" s="11"/>
      <c r="F544" s="11"/>
      <c r="G544" s="11"/>
    </row>
    <row r="545" customFormat="false" ht="15.75" hidden="false" customHeight="false" outlineLevel="0" collapsed="false">
      <c r="A545" s="9"/>
      <c r="B545" s="10"/>
      <c r="C545" s="11"/>
      <c r="D545" s="11"/>
      <c r="E545" s="11"/>
      <c r="F545" s="11"/>
      <c r="G545" s="11"/>
    </row>
    <row r="546" customFormat="false" ht="15.75" hidden="false" customHeight="false" outlineLevel="0" collapsed="false">
      <c r="A546" s="9"/>
      <c r="B546" s="10"/>
      <c r="C546" s="11"/>
      <c r="D546" s="11"/>
      <c r="E546" s="11"/>
      <c r="F546" s="11"/>
      <c r="G546" s="11"/>
    </row>
    <row r="547" customFormat="false" ht="15.75" hidden="false" customHeight="false" outlineLevel="0" collapsed="false">
      <c r="A547" s="9"/>
      <c r="B547" s="10"/>
      <c r="C547" s="11"/>
      <c r="D547" s="11"/>
      <c r="E547" s="11"/>
      <c r="F547" s="11"/>
      <c r="G547" s="11"/>
    </row>
    <row r="548" customFormat="false" ht="15.75" hidden="false" customHeight="false" outlineLevel="0" collapsed="false">
      <c r="A548" s="9"/>
      <c r="B548" s="10"/>
      <c r="C548" s="11"/>
      <c r="D548" s="11"/>
      <c r="E548" s="11"/>
      <c r="F548" s="11"/>
      <c r="G548" s="11"/>
    </row>
    <row r="549" customFormat="false" ht="15.75" hidden="false" customHeight="false" outlineLevel="0" collapsed="false">
      <c r="A549" s="9"/>
      <c r="B549" s="10"/>
      <c r="C549" s="11"/>
      <c r="D549" s="11"/>
      <c r="E549" s="11"/>
      <c r="F549" s="11"/>
      <c r="G549" s="11"/>
    </row>
    <row r="550" customFormat="false" ht="15.75" hidden="false" customHeight="false" outlineLevel="0" collapsed="false">
      <c r="A550" s="9"/>
      <c r="B550" s="10"/>
      <c r="C550" s="11"/>
      <c r="D550" s="11"/>
      <c r="E550" s="11"/>
      <c r="F550" s="11"/>
      <c r="G550" s="11"/>
    </row>
    <row r="551" customFormat="false" ht="15.75" hidden="false" customHeight="false" outlineLevel="0" collapsed="false">
      <c r="A551" s="9"/>
      <c r="B551" s="10"/>
      <c r="C551" s="11"/>
      <c r="D551" s="11"/>
      <c r="E551" s="11"/>
      <c r="F551" s="11"/>
      <c r="G551" s="11"/>
    </row>
    <row r="552" customFormat="false" ht="15.75" hidden="false" customHeight="false" outlineLevel="0" collapsed="false">
      <c r="A552" s="9"/>
      <c r="B552" s="10"/>
      <c r="C552" s="11"/>
      <c r="D552" s="11"/>
      <c r="E552" s="11"/>
      <c r="F552" s="11"/>
      <c r="G552" s="11"/>
    </row>
    <row r="553" customFormat="false" ht="15.75" hidden="false" customHeight="false" outlineLevel="0" collapsed="false">
      <c r="A553" s="9"/>
      <c r="B553" s="10"/>
      <c r="C553" s="11"/>
      <c r="D553" s="11"/>
      <c r="E553" s="11"/>
      <c r="F553" s="11"/>
      <c r="G553" s="11"/>
    </row>
    <row r="554" customFormat="false" ht="15.75" hidden="false" customHeight="false" outlineLevel="0" collapsed="false">
      <c r="A554" s="9"/>
      <c r="B554" s="10"/>
      <c r="C554" s="11"/>
      <c r="D554" s="11"/>
      <c r="E554" s="11"/>
      <c r="F554" s="11"/>
      <c r="G554" s="11"/>
    </row>
    <row r="555" customFormat="false" ht="15.75" hidden="false" customHeight="false" outlineLevel="0" collapsed="false">
      <c r="A555" s="9"/>
      <c r="B555" s="10"/>
      <c r="C555" s="11"/>
      <c r="D555" s="11"/>
      <c r="E555" s="11"/>
      <c r="F555" s="11"/>
      <c r="G555" s="11"/>
    </row>
    <row r="556" customFormat="false" ht="15.75" hidden="false" customHeight="false" outlineLevel="0" collapsed="false">
      <c r="A556" s="9"/>
      <c r="B556" s="10"/>
      <c r="C556" s="11"/>
      <c r="D556" s="11"/>
      <c r="E556" s="11"/>
      <c r="F556" s="11"/>
      <c r="G556" s="11"/>
    </row>
    <row r="557" customFormat="false" ht="15.75" hidden="false" customHeight="false" outlineLevel="0" collapsed="false">
      <c r="A557" s="9"/>
      <c r="B557" s="10"/>
      <c r="C557" s="11"/>
      <c r="D557" s="11"/>
      <c r="E557" s="11"/>
      <c r="F557" s="11"/>
      <c r="G557" s="11"/>
    </row>
    <row r="558" customFormat="false" ht="15.75" hidden="false" customHeight="false" outlineLevel="0" collapsed="false">
      <c r="A558" s="9"/>
      <c r="B558" s="10"/>
      <c r="C558" s="11"/>
      <c r="D558" s="11"/>
      <c r="E558" s="11"/>
      <c r="F558" s="11"/>
      <c r="G558" s="11"/>
    </row>
    <row r="559" customFormat="false" ht="15.75" hidden="false" customHeight="false" outlineLevel="0" collapsed="false">
      <c r="A559" s="9"/>
      <c r="B559" s="10"/>
      <c r="C559" s="11"/>
      <c r="D559" s="11"/>
      <c r="E559" s="11"/>
      <c r="F559" s="11"/>
      <c r="G559" s="11"/>
    </row>
    <row r="560" customFormat="false" ht="15.75" hidden="false" customHeight="false" outlineLevel="0" collapsed="false">
      <c r="A560" s="9"/>
      <c r="B560" s="10"/>
      <c r="C560" s="11"/>
      <c r="D560" s="11"/>
      <c r="E560" s="11"/>
      <c r="F560" s="11"/>
      <c r="G560" s="11"/>
    </row>
    <row r="561" customFormat="false" ht="15.75" hidden="false" customHeight="false" outlineLevel="0" collapsed="false">
      <c r="A561" s="9"/>
      <c r="B561" s="10"/>
      <c r="C561" s="11"/>
      <c r="D561" s="11"/>
      <c r="E561" s="11"/>
      <c r="F561" s="11"/>
      <c r="G561" s="11"/>
    </row>
    <row r="562" customFormat="false" ht="15.75" hidden="false" customHeight="false" outlineLevel="0" collapsed="false">
      <c r="A562" s="9"/>
      <c r="B562" s="10"/>
      <c r="C562" s="11"/>
      <c r="D562" s="11"/>
      <c r="E562" s="11"/>
      <c r="F562" s="11"/>
      <c r="G562" s="11"/>
    </row>
    <row r="563" customFormat="false" ht="15.75" hidden="false" customHeight="false" outlineLevel="0" collapsed="false">
      <c r="A563" s="9"/>
      <c r="B563" s="10"/>
      <c r="C563" s="11"/>
      <c r="D563" s="11"/>
      <c r="E563" s="11"/>
      <c r="F563" s="11"/>
      <c r="G563" s="11"/>
    </row>
    <row r="564" customFormat="false" ht="15.75" hidden="false" customHeight="false" outlineLevel="0" collapsed="false">
      <c r="A564" s="9"/>
      <c r="B564" s="10"/>
      <c r="C564" s="11"/>
      <c r="D564" s="11"/>
      <c r="E564" s="11"/>
      <c r="F564" s="11"/>
      <c r="G564" s="11"/>
    </row>
    <row r="565" customFormat="false" ht="15.75" hidden="false" customHeight="false" outlineLevel="0" collapsed="false">
      <c r="A565" s="9"/>
      <c r="B565" s="10"/>
      <c r="C565" s="11"/>
      <c r="D565" s="11"/>
      <c r="E565" s="11"/>
      <c r="F565" s="11"/>
      <c r="G565" s="11"/>
    </row>
    <row r="566" customFormat="false" ht="15.75" hidden="false" customHeight="false" outlineLevel="0" collapsed="false">
      <c r="A566" s="9"/>
      <c r="B566" s="10"/>
      <c r="C566" s="11"/>
      <c r="D566" s="11"/>
      <c r="E566" s="11"/>
      <c r="F566" s="11"/>
      <c r="G566" s="11"/>
    </row>
    <row r="567" customFormat="false" ht="15.75" hidden="false" customHeight="false" outlineLevel="0" collapsed="false">
      <c r="A567" s="9"/>
      <c r="B567" s="10"/>
      <c r="C567" s="11"/>
      <c r="D567" s="11"/>
      <c r="E567" s="11"/>
      <c r="F567" s="11"/>
      <c r="G567" s="11"/>
    </row>
    <row r="568" customFormat="false" ht="15.75" hidden="false" customHeight="false" outlineLevel="0" collapsed="false">
      <c r="A568" s="9"/>
      <c r="B568" s="10"/>
      <c r="C568" s="11"/>
      <c r="D568" s="11"/>
      <c r="E568" s="11"/>
      <c r="F568" s="11"/>
      <c r="G568" s="11"/>
    </row>
    <row r="569" customFormat="false" ht="15.75" hidden="false" customHeight="false" outlineLevel="0" collapsed="false">
      <c r="A569" s="9"/>
      <c r="B569" s="10"/>
      <c r="C569" s="11"/>
      <c r="D569" s="11"/>
      <c r="E569" s="11"/>
      <c r="F569" s="11"/>
      <c r="G569" s="11"/>
    </row>
    <row r="570" customFormat="false" ht="15.75" hidden="false" customHeight="false" outlineLevel="0" collapsed="false">
      <c r="A570" s="9"/>
      <c r="B570" s="10"/>
      <c r="C570" s="11"/>
      <c r="D570" s="11"/>
      <c r="E570" s="11"/>
      <c r="F570" s="11"/>
      <c r="G570" s="11"/>
    </row>
    <row r="571" customFormat="false" ht="15.75" hidden="false" customHeight="false" outlineLevel="0" collapsed="false">
      <c r="A571" s="9"/>
      <c r="B571" s="10"/>
      <c r="C571" s="11"/>
      <c r="D571" s="11"/>
      <c r="E571" s="11"/>
      <c r="F571" s="11"/>
      <c r="G571" s="11"/>
    </row>
    <row r="572" customFormat="false" ht="15.75" hidden="false" customHeight="false" outlineLevel="0" collapsed="false">
      <c r="A572" s="9"/>
      <c r="B572" s="10"/>
      <c r="C572" s="11"/>
      <c r="D572" s="11"/>
      <c r="E572" s="11"/>
      <c r="F572" s="11"/>
      <c r="G572" s="11"/>
    </row>
    <row r="573" customFormat="false" ht="15.75" hidden="false" customHeight="false" outlineLevel="0" collapsed="false">
      <c r="A573" s="9"/>
      <c r="B573" s="10"/>
      <c r="C573" s="11"/>
      <c r="D573" s="11"/>
      <c r="E573" s="11"/>
      <c r="F573" s="11"/>
      <c r="G573" s="11"/>
    </row>
    <row r="574" customFormat="false" ht="15.75" hidden="false" customHeight="false" outlineLevel="0" collapsed="false">
      <c r="A574" s="9"/>
      <c r="B574" s="10"/>
      <c r="C574" s="11"/>
      <c r="D574" s="11"/>
      <c r="E574" s="11"/>
      <c r="F574" s="11"/>
      <c r="G574" s="11"/>
    </row>
    <row r="575" customFormat="false" ht="15.75" hidden="false" customHeight="false" outlineLevel="0" collapsed="false">
      <c r="A575" s="9"/>
      <c r="B575" s="10"/>
      <c r="C575" s="11"/>
      <c r="D575" s="11"/>
      <c r="E575" s="11"/>
      <c r="F575" s="11"/>
      <c r="G575" s="11"/>
    </row>
    <row r="576" customFormat="false" ht="15.75" hidden="false" customHeight="false" outlineLevel="0" collapsed="false">
      <c r="A576" s="9"/>
      <c r="B576" s="10"/>
      <c r="C576" s="11"/>
      <c r="D576" s="11"/>
      <c r="E576" s="11"/>
      <c r="F576" s="11"/>
      <c r="G576" s="11"/>
    </row>
    <row r="577" customFormat="false" ht="15.75" hidden="false" customHeight="false" outlineLevel="0" collapsed="false">
      <c r="A577" s="9"/>
      <c r="B577" s="10"/>
      <c r="C577" s="11"/>
      <c r="D577" s="11"/>
      <c r="E577" s="11"/>
      <c r="F577" s="11"/>
      <c r="G577" s="11"/>
    </row>
    <row r="578" customFormat="false" ht="15.75" hidden="false" customHeight="false" outlineLevel="0" collapsed="false">
      <c r="A578" s="9"/>
      <c r="B578" s="10"/>
      <c r="C578" s="11"/>
      <c r="D578" s="11"/>
      <c r="E578" s="11"/>
      <c r="F578" s="11"/>
      <c r="G578" s="11"/>
    </row>
    <row r="579" customFormat="false" ht="15.75" hidden="false" customHeight="false" outlineLevel="0" collapsed="false">
      <c r="A579" s="9"/>
      <c r="B579" s="10"/>
      <c r="C579" s="11"/>
      <c r="D579" s="11"/>
      <c r="E579" s="11"/>
      <c r="F579" s="11"/>
      <c r="G579" s="11"/>
    </row>
    <row r="580" customFormat="false" ht="15.75" hidden="false" customHeight="false" outlineLevel="0" collapsed="false">
      <c r="A580" s="9"/>
      <c r="B580" s="10"/>
      <c r="C580" s="11"/>
      <c r="D580" s="11"/>
      <c r="E580" s="11"/>
      <c r="F580" s="11"/>
      <c r="G580" s="11"/>
    </row>
    <row r="581" customFormat="false" ht="15.75" hidden="false" customHeight="false" outlineLevel="0" collapsed="false">
      <c r="A581" s="9"/>
      <c r="B581" s="10"/>
      <c r="C581" s="11"/>
      <c r="D581" s="11"/>
      <c r="E581" s="11"/>
      <c r="F581" s="11"/>
      <c r="G581" s="11"/>
    </row>
    <row r="582" customFormat="false" ht="15.75" hidden="false" customHeight="false" outlineLevel="0" collapsed="false">
      <c r="A582" s="9"/>
      <c r="B582" s="10"/>
      <c r="C582" s="11"/>
      <c r="D582" s="11"/>
      <c r="E582" s="11"/>
      <c r="F582" s="11"/>
      <c r="G582" s="11"/>
    </row>
    <row r="583" customFormat="false" ht="15.75" hidden="false" customHeight="false" outlineLevel="0" collapsed="false">
      <c r="A583" s="9"/>
      <c r="B583" s="10"/>
      <c r="C583" s="11"/>
      <c r="D583" s="11"/>
      <c r="E583" s="11"/>
      <c r="F583" s="11"/>
      <c r="G583" s="11"/>
    </row>
    <row r="584" customFormat="false" ht="15.75" hidden="false" customHeight="false" outlineLevel="0" collapsed="false">
      <c r="A584" s="9"/>
      <c r="B584" s="10"/>
      <c r="C584" s="11"/>
      <c r="D584" s="11"/>
      <c r="E584" s="11"/>
      <c r="F584" s="11"/>
      <c r="G584" s="11"/>
    </row>
    <row r="585" customFormat="false" ht="15.75" hidden="false" customHeight="false" outlineLevel="0" collapsed="false">
      <c r="A585" s="9"/>
      <c r="B585" s="10"/>
      <c r="C585" s="11"/>
      <c r="D585" s="11"/>
      <c r="E585" s="11"/>
      <c r="F585" s="11"/>
      <c r="G585" s="11"/>
    </row>
    <row r="586" customFormat="false" ht="15.75" hidden="false" customHeight="false" outlineLevel="0" collapsed="false">
      <c r="A586" s="9"/>
      <c r="B586" s="10"/>
      <c r="C586" s="11"/>
      <c r="D586" s="11"/>
      <c r="E586" s="11"/>
      <c r="F586" s="11"/>
      <c r="G586" s="11"/>
    </row>
    <row r="587" customFormat="false" ht="15.75" hidden="false" customHeight="false" outlineLevel="0" collapsed="false">
      <c r="A587" s="9"/>
      <c r="B587" s="10"/>
      <c r="C587" s="11"/>
      <c r="D587" s="11"/>
      <c r="E587" s="11"/>
      <c r="F587" s="11"/>
      <c r="G587" s="11"/>
    </row>
    <row r="588" customFormat="false" ht="15.75" hidden="false" customHeight="false" outlineLevel="0" collapsed="false">
      <c r="A588" s="9"/>
      <c r="B588" s="10"/>
      <c r="C588" s="11"/>
      <c r="D588" s="11"/>
      <c r="E588" s="11"/>
      <c r="F588" s="11"/>
      <c r="G588" s="11"/>
    </row>
    <row r="589" customFormat="false" ht="15.75" hidden="false" customHeight="false" outlineLevel="0" collapsed="false">
      <c r="A589" s="9"/>
      <c r="B589" s="10"/>
      <c r="C589" s="11"/>
      <c r="D589" s="11"/>
      <c r="E589" s="11"/>
      <c r="F589" s="11"/>
      <c r="G589" s="11"/>
    </row>
    <row r="590" customFormat="false" ht="15.75" hidden="false" customHeight="false" outlineLevel="0" collapsed="false">
      <c r="A590" s="9"/>
      <c r="B590" s="10"/>
      <c r="C590" s="11"/>
      <c r="D590" s="11"/>
      <c r="E590" s="11"/>
      <c r="F590" s="11"/>
      <c r="G590" s="11"/>
    </row>
    <row r="591" customFormat="false" ht="15.75" hidden="false" customHeight="false" outlineLevel="0" collapsed="false">
      <c r="A591" s="9"/>
      <c r="B591" s="10"/>
      <c r="C591" s="11"/>
      <c r="D591" s="11"/>
      <c r="E591" s="11"/>
      <c r="F591" s="11"/>
      <c r="G591" s="11"/>
    </row>
    <row r="592" customFormat="false" ht="15.75" hidden="false" customHeight="false" outlineLevel="0" collapsed="false">
      <c r="A592" s="9"/>
      <c r="B592" s="10"/>
      <c r="C592" s="11"/>
      <c r="D592" s="11"/>
      <c r="E592" s="11"/>
      <c r="F592" s="11"/>
      <c r="G592" s="11"/>
    </row>
    <row r="593" customFormat="false" ht="15.75" hidden="false" customHeight="false" outlineLevel="0" collapsed="false">
      <c r="A593" s="9"/>
      <c r="B593" s="10"/>
      <c r="C593" s="11"/>
      <c r="D593" s="11"/>
      <c r="E593" s="11"/>
      <c r="F593" s="11"/>
      <c r="G593" s="11"/>
    </row>
    <row r="594" customFormat="false" ht="15.75" hidden="false" customHeight="false" outlineLevel="0" collapsed="false">
      <c r="A594" s="9"/>
      <c r="B594" s="10"/>
      <c r="C594" s="11"/>
      <c r="D594" s="11"/>
      <c r="E594" s="11"/>
      <c r="F594" s="11"/>
      <c r="G594" s="11"/>
    </row>
    <row r="595" customFormat="false" ht="15.75" hidden="false" customHeight="false" outlineLevel="0" collapsed="false">
      <c r="A595" s="9"/>
      <c r="B595" s="10"/>
      <c r="C595" s="11"/>
      <c r="D595" s="11"/>
      <c r="E595" s="11"/>
      <c r="F595" s="11"/>
      <c r="G595" s="11"/>
    </row>
    <row r="596" customFormat="false" ht="15.75" hidden="false" customHeight="false" outlineLevel="0" collapsed="false">
      <c r="A596" s="9"/>
      <c r="B596" s="10"/>
      <c r="C596" s="11"/>
      <c r="D596" s="11"/>
      <c r="E596" s="11"/>
      <c r="F596" s="11"/>
      <c r="G596" s="11"/>
    </row>
    <row r="597" customFormat="false" ht="15.75" hidden="false" customHeight="false" outlineLevel="0" collapsed="false">
      <c r="A597" s="9"/>
      <c r="B597" s="10"/>
      <c r="C597" s="11"/>
      <c r="D597" s="11"/>
      <c r="E597" s="11"/>
      <c r="F597" s="11"/>
      <c r="G597" s="11"/>
    </row>
    <row r="598" customFormat="false" ht="15.75" hidden="false" customHeight="false" outlineLevel="0" collapsed="false">
      <c r="A598" s="9"/>
      <c r="B598" s="10"/>
      <c r="C598" s="11"/>
      <c r="D598" s="11"/>
      <c r="E598" s="11"/>
      <c r="F598" s="11"/>
      <c r="G598" s="11"/>
    </row>
    <row r="599" customFormat="false" ht="15.75" hidden="false" customHeight="false" outlineLevel="0" collapsed="false">
      <c r="A599" s="9"/>
      <c r="B599" s="10"/>
      <c r="C599" s="11"/>
      <c r="D599" s="11"/>
      <c r="E599" s="11"/>
      <c r="F599" s="11"/>
      <c r="G599" s="11"/>
    </row>
    <row r="600" customFormat="false" ht="15.75" hidden="false" customHeight="false" outlineLevel="0" collapsed="false">
      <c r="A600" s="9"/>
      <c r="B600" s="10"/>
      <c r="C600" s="11"/>
      <c r="D600" s="11"/>
      <c r="E600" s="11"/>
      <c r="F600" s="11"/>
      <c r="G600" s="11"/>
    </row>
    <row r="601" customFormat="false" ht="15.75" hidden="false" customHeight="false" outlineLevel="0" collapsed="false">
      <c r="A601" s="9"/>
      <c r="B601" s="10"/>
      <c r="C601" s="11"/>
      <c r="D601" s="11"/>
      <c r="E601" s="11"/>
      <c r="F601" s="11"/>
      <c r="G601" s="11"/>
    </row>
    <row r="602" customFormat="false" ht="15.75" hidden="false" customHeight="false" outlineLevel="0" collapsed="false">
      <c r="A602" s="9"/>
      <c r="B602" s="10"/>
      <c r="C602" s="11"/>
      <c r="D602" s="11"/>
      <c r="E602" s="11"/>
      <c r="F602" s="11"/>
      <c r="G602" s="11"/>
    </row>
    <row r="603" customFormat="false" ht="15.75" hidden="false" customHeight="false" outlineLevel="0" collapsed="false">
      <c r="A603" s="9"/>
      <c r="B603" s="10"/>
      <c r="C603" s="11"/>
      <c r="D603" s="11"/>
      <c r="E603" s="11"/>
      <c r="F603" s="11"/>
      <c r="G603" s="11"/>
    </row>
    <row r="604" customFormat="false" ht="15.75" hidden="false" customHeight="false" outlineLevel="0" collapsed="false">
      <c r="A604" s="9"/>
      <c r="B604" s="10"/>
      <c r="C604" s="11"/>
      <c r="D604" s="11"/>
      <c r="E604" s="11"/>
      <c r="F604" s="11"/>
      <c r="G604" s="11"/>
    </row>
    <row r="605" customFormat="false" ht="15.75" hidden="false" customHeight="false" outlineLevel="0" collapsed="false">
      <c r="A605" s="9"/>
      <c r="B605" s="10"/>
      <c r="C605" s="11"/>
      <c r="D605" s="11"/>
      <c r="E605" s="11"/>
      <c r="F605" s="11"/>
      <c r="G605" s="11"/>
    </row>
    <row r="606" customFormat="false" ht="15.75" hidden="false" customHeight="false" outlineLevel="0" collapsed="false">
      <c r="A606" s="9"/>
      <c r="B606" s="10"/>
      <c r="C606" s="11"/>
      <c r="D606" s="11"/>
      <c r="E606" s="11"/>
      <c r="F606" s="11"/>
      <c r="G606" s="11"/>
    </row>
    <row r="607" customFormat="false" ht="15.75" hidden="false" customHeight="false" outlineLevel="0" collapsed="false">
      <c r="A607" s="9"/>
      <c r="B607" s="10"/>
      <c r="C607" s="11"/>
      <c r="D607" s="11"/>
      <c r="E607" s="11"/>
      <c r="F607" s="11"/>
      <c r="G607" s="11"/>
    </row>
    <row r="608" customFormat="false" ht="15.75" hidden="false" customHeight="false" outlineLevel="0" collapsed="false">
      <c r="A608" s="9"/>
      <c r="B608" s="10"/>
      <c r="C608" s="11"/>
      <c r="D608" s="11"/>
      <c r="E608" s="11"/>
      <c r="F608" s="11"/>
      <c r="G608" s="11"/>
    </row>
    <row r="609" customFormat="false" ht="15.75" hidden="false" customHeight="false" outlineLevel="0" collapsed="false">
      <c r="A609" s="9"/>
      <c r="B609" s="10"/>
      <c r="C609" s="11"/>
      <c r="D609" s="11"/>
      <c r="E609" s="11"/>
      <c r="F609" s="11"/>
      <c r="G609" s="11"/>
    </row>
    <row r="610" customFormat="false" ht="15.75" hidden="false" customHeight="false" outlineLevel="0" collapsed="false">
      <c r="A610" s="9"/>
      <c r="B610" s="10"/>
      <c r="C610" s="11"/>
      <c r="D610" s="11"/>
      <c r="E610" s="11"/>
      <c r="F610" s="11"/>
      <c r="G610" s="11"/>
    </row>
    <row r="611" customFormat="false" ht="15.75" hidden="false" customHeight="false" outlineLevel="0" collapsed="false">
      <c r="A611" s="9"/>
      <c r="B611" s="10"/>
      <c r="C611" s="11"/>
      <c r="D611" s="11"/>
      <c r="E611" s="11"/>
      <c r="F611" s="11"/>
      <c r="G611" s="11"/>
    </row>
    <row r="612" customFormat="false" ht="15.75" hidden="false" customHeight="false" outlineLevel="0" collapsed="false">
      <c r="A612" s="9"/>
      <c r="B612" s="10"/>
      <c r="C612" s="11"/>
      <c r="D612" s="11"/>
      <c r="E612" s="11"/>
      <c r="F612" s="11"/>
      <c r="G612" s="11"/>
    </row>
    <row r="613" customFormat="false" ht="15.75" hidden="false" customHeight="false" outlineLevel="0" collapsed="false">
      <c r="A613" s="9"/>
      <c r="B613" s="10"/>
      <c r="C613" s="11"/>
      <c r="D613" s="11"/>
      <c r="E613" s="11"/>
      <c r="F613" s="11"/>
      <c r="G613" s="11"/>
    </row>
    <row r="614" customFormat="false" ht="15.75" hidden="false" customHeight="false" outlineLevel="0" collapsed="false">
      <c r="A614" s="9"/>
      <c r="B614" s="10"/>
      <c r="C614" s="11"/>
      <c r="D614" s="11"/>
      <c r="E614" s="11"/>
      <c r="F614" s="11"/>
      <c r="G614" s="11"/>
    </row>
    <row r="615" customFormat="false" ht="15.75" hidden="false" customHeight="false" outlineLevel="0" collapsed="false">
      <c r="A615" s="9"/>
      <c r="B615" s="10"/>
      <c r="C615" s="11"/>
      <c r="D615" s="11"/>
      <c r="E615" s="11"/>
      <c r="F615" s="11"/>
      <c r="G615" s="11"/>
    </row>
    <row r="616" customFormat="false" ht="15.75" hidden="false" customHeight="false" outlineLevel="0" collapsed="false">
      <c r="A616" s="9"/>
      <c r="B616" s="10"/>
      <c r="C616" s="11"/>
      <c r="D616" s="11"/>
      <c r="E616" s="11"/>
      <c r="F616" s="11"/>
      <c r="G616" s="11"/>
    </row>
    <row r="617" customFormat="false" ht="15.75" hidden="false" customHeight="false" outlineLevel="0" collapsed="false">
      <c r="A617" s="9"/>
      <c r="B617" s="10"/>
      <c r="C617" s="11"/>
      <c r="D617" s="11"/>
      <c r="E617" s="11"/>
      <c r="F617" s="11"/>
      <c r="G617" s="11"/>
    </row>
    <row r="618" customFormat="false" ht="15.75" hidden="false" customHeight="false" outlineLevel="0" collapsed="false">
      <c r="A618" s="9"/>
      <c r="B618" s="10"/>
      <c r="C618" s="11"/>
      <c r="D618" s="11"/>
      <c r="E618" s="11"/>
      <c r="F618" s="11"/>
      <c r="G618" s="11"/>
    </row>
    <row r="619" customFormat="false" ht="15.75" hidden="false" customHeight="false" outlineLevel="0" collapsed="false">
      <c r="A619" s="9"/>
      <c r="B619" s="10"/>
      <c r="C619" s="11"/>
      <c r="D619" s="11"/>
      <c r="E619" s="11"/>
      <c r="F619" s="11"/>
      <c r="G619" s="11"/>
    </row>
    <row r="620" customFormat="false" ht="15.75" hidden="false" customHeight="false" outlineLevel="0" collapsed="false">
      <c r="A620" s="9"/>
      <c r="B620" s="10"/>
      <c r="C620" s="11"/>
      <c r="D620" s="11"/>
      <c r="E620" s="11"/>
      <c r="F620" s="11"/>
      <c r="G620" s="11"/>
    </row>
    <row r="621" customFormat="false" ht="15.75" hidden="false" customHeight="false" outlineLevel="0" collapsed="false">
      <c r="A621" s="9"/>
      <c r="B621" s="10"/>
      <c r="C621" s="11"/>
      <c r="D621" s="11"/>
      <c r="E621" s="11"/>
      <c r="F621" s="11"/>
      <c r="G621" s="11"/>
    </row>
    <row r="622" customFormat="false" ht="15.75" hidden="false" customHeight="false" outlineLevel="0" collapsed="false">
      <c r="A622" s="9"/>
      <c r="B622" s="10"/>
      <c r="C622" s="11"/>
      <c r="D622" s="11"/>
      <c r="E622" s="11"/>
      <c r="F622" s="11"/>
      <c r="G622" s="11"/>
    </row>
    <row r="623" customFormat="false" ht="15.75" hidden="false" customHeight="false" outlineLevel="0" collapsed="false">
      <c r="A623" s="9"/>
      <c r="B623" s="10"/>
      <c r="C623" s="11"/>
      <c r="D623" s="11"/>
      <c r="E623" s="11"/>
      <c r="F623" s="11"/>
      <c r="G623" s="11"/>
    </row>
    <row r="624" customFormat="false" ht="15.75" hidden="false" customHeight="false" outlineLevel="0" collapsed="false">
      <c r="A624" s="9"/>
      <c r="B624" s="10"/>
      <c r="C624" s="11"/>
      <c r="D624" s="11"/>
      <c r="E624" s="11"/>
      <c r="F624" s="11"/>
      <c r="G624" s="11"/>
    </row>
    <row r="625" customFormat="false" ht="15.75" hidden="false" customHeight="false" outlineLevel="0" collapsed="false">
      <c r="A625" s="9"/>
      <c r="B625" s="10"/>
      <c r="C625" s="11"/>
      <c r="D625" s="11"/>
      <c r="E625" s="11"/>
      <c r="F625" s="11"/>
      <c r="G625" s="11"/>
    </row>
    <row r="626" customFormat="false" ht="15.75" hidden="false" customHeight="false" outlineLevel="0" collapsed="false">
      <c r="A626" s="9"/>
      <c r="B626" s="10"/>
      <c r="C626" s="11"/>
      <c r="D626" s="11"/>
      <c r="E626" s="11"/>
      <c r="F626" s="11"/>
      <c r="G626" s="11"/>
    </row>
    <row r="627" customFormat="false" ht="15.75" hidden="false" customHeight="false" outlineLevel="0" collapsed="false">
      <c r="A627" s="9"/>
      <c r="B627" s="10"/>
      <c r="C627" s="11"/>
      <c r="D627" s="11"/>
      <c r="E627" s="11"/>
      <c r="F627" s="11"/>
      <c r="G627" s="11"/>
    </row>
    <row r="628" customFormat="false" ht="15.75" hidden="false" customHeight="false" outlineLevel="0" collapsed="false">
      <c r="A628" s="9"/>
      <c r="B628" s="10"/>
      <c r="C628" s="11"/>
      <c r="D628" s="11"/>
      <c r="E628" s="11"/>
      <c r="F628" s="11"/>
      <c r="G628" s="11"/>
    </row>
    <row r="629" customFormat="false" ht="15.75" hidden="false" customHeight="false" outlineLevel="0" collapsed="false">
      <c r="A629" s="9"/>
      <c r="B629" s="10"/>
      <c r="C629" s="11"/>
      <c r="D629" s="11"/>
      <c r="E629" s="11"/>
      <c r="F629" s="11"/>
      <c r="G629" s="11"/>
    </row>
    <row r="630" customFormat="false" ht="15.75" hidden="false" customHeight="false" outlineLevel="0" collapsed="false">
      <c r="A630" s="9"/>
      <c r="B630" s="10"/>
      <c r="C630" s="11"/>
      <c r="D630" s="11"/>
      <c r="E630" s="11"/>
      <c r="F630" s="11"/>
      <c r="G630" s="11"/>
    </row>
    <row r="631" customFormat="false" ht="15.75" hidden="false" customHeight="false" outlineLevel="0" collapsed="false">
      <c r="A631" s="9"/>
      <c r="B631" s="10"/>
      <c r="C631" s="11"/>
      <c r="D631" s="11"/>
      <c r="E631" s="11"/>
      <c r="F631" s="11"/>
      <c r="G631" s="11"/>
    </row>
    <row r="632" customFormat="false" ht="15.75" hidden="false" customHeight="false" outlineLevel="0" collapsed="false">
      <c r="A632" s="9"/>
      <c r="B632" s="10"/>
      <c r="C632" s="11"/>
      <c r="D632" s="11"/>
      <c r="E632" s="11"/>
      <c r="F632" s="11"/>
      <c r="G632" s="11"/>
    </row>
    <row r="633" customFormat="false" ht="15.75" hidden="false" customHeight="false" outlineLevel="0" collapsed="false">
      <c r="A633" s="9"/>
      <c r="B633" s="10"/>
      <c r="C633" s="11"/>
      <c r="D633" s="11"/>
      <c r="E633" s="11"/>
      <c r="F633" s="11"/>
      <c r="G633" s="11"/>
    </row>
    <row r="634" customFormat="false" ht="15.75" hidden="false" customHeight="false" outlineLevel="0" collapsed="false">
      <c r="A634" s="9"/>
      <c r="B634" s="10"/>
      <c r="C634" s="11"/>
      <c r="D634" s="11"/>
      <c r="E634" s="11"/>
      <c r="F634" s="11"/>
      <c r="G634" s="11"/>
    </row>
    <row r="635" customFormat="false" ht="15.75" hidden="false" customHeight="false" outlineLevel="0" collapsed="false">
      <c r="A635" s="9"/>
      <c r="B635" s="10"/>
      <c r="C635" s="11"/>
      <c r="D635" s="11"/>
      <c r="E635" s="11"/>
      <c r="F635" s="11"/>
      <c r="G635" s="11"/>
    </row>
    <row r="636" customFormat="false" ht="15.75" hidden="false" customHeight="false" outlineLevel="0" collapsed="false">
      <c r="A636" s="9"/>
      <c r="B636" s="10"/>
      <c r="C636" s="11"/>
      <c r="D636" s="11"/>
      <c r="E636" s="11"/>
      <c r="F636" s="11"/>
      <c r="G636" s="11"/>
    </row>
    <row r="637" customFormat="false" ht="15.75" hidden="false" customHeight="false" outlineLevel="0" collapsed="false">
      <c r="A637" s="9"/>
      <c r="B637" s="10"/>
      <c r="C637" s="11"/>
      <c r="D637" s="11"/>
      <c r="E637" s="11"/>
      <c r="F637" s="11"/>
      <c r="G637" s="11"/>
    </row>
    <row r="638" customFormat="false" ht="15.75" hidden="false" customHeight="false" outlineLevel="0" collapsed="false">
      <c r="A638" s="9"/>
      <c r="B638" s="10"/>
      <c r="C638" s="11"/>
      <c r="D638" s="11"/>
      <c r="E638" s="11"/>
      <c r="F638" s="11"/>
      <c r="G638" s="11"/>
    </row>
    <row r="639" customFormat="false" ht="15.75" hidden="false" customHeight="false" outlineLevel="0" collapsed="false">
      <c r="A639" s="9"/>
      <c r="B639" s="10"/>
      <c r="C639" s="11"/>
      <c r="D639" s="11"/>
      <c r="E639" s="11"/>
      <c r="F639" s="11"/>
      <c r="G639" s="11"/>
    </row>
    <row r="640" customFormat="false" ht="15.75" hidden="false" customHeight="false" outlineLevel="0" collapsed="false">
      <c r="A640" s="9"/>
      <c r="B640" s="10"/>
      <c r="C640" s="11"/>
      <c r="D640" s="11"/>
      <c r="E640" s="11"/>
      <c r="F640" s="11"/>
      <c r="G640" s="11"/>
    </row>
    <row r="641" customFormat="false" ht="15.75" hidden="false" customHeight="false" outlineLevel="0" collapsed="false">
      <c r="A641" s="9"/>
      <c r="B641" s="10"/>
      <c r="C641" s="11"/>
      <c r="D641" s="11"/>
      <c r="E641" s="11"/>
      <c r="F641" s="11"/>
      <c r="G641" s="11"/>
    </row>
    <row r="642" customFormat="false" ht="15.75" hidden="false" customHeight="false" outlineLevel="0" collapsed="false">
      <c r="A642" s="9"/>
      <c r="B642" s="10"/>
      <c r="C642" s="11"/>
      <c r="D642" s="11"/>
      <c r="E642" s="11"/>
      <c r="F642" s="11"/>
      <c r="G642" s="11"/>
    </row>
    <row r="643" customFormat="false" ht="15.75" hidden="false" customHeight="false" outlineLevel="0" collapsed="false">
      <c r="A643" s="9"/>
      <c r="B643" s="10"/>
      <c r="C643" s="11"/>
      <c r="D643" s="11"/>
      <c r="E643" s="11"/>
      <c r="F643" s="11"/>
      <c r="G643" s="11"/>
    </row>
    <row r="644" customFormat="false" ht="15.75" hidden="false" customHeight="false" outlineLevel="0" collapsed="false">
      <c r="A644" s="9"/>
      <c r="B644" s="10"/>
      <c r="C644" s="11"/>
      <c r="D644" s="11"/>
      <c r="E644" s="11"/>
      <c r="F644" s="11"/>
      <c r="G644" s="11"/>
    </row>
    <row r="645" customFormat="false" ht="15.75" hidden="false" customHeight="false" outlineLevel="0" collapsed="false">
      <c r="A645" s="9"/>
      <c r="B645" s="10"/>
      <c r="C645" s="11"/>
      <c r="D645" s="11"/>
      <c r="E645" s="11"/>
      <c r="F645" s="11"/>
      <c r="G645" s="11"/>
    </row>
    <row r="646" customFormat="false" ht="15.75" hidden="false" customHeight="false" outlineLevel="0" collapsed="false">
      <c r="A646" s="9"/>
      <c r="B646" s="10"/>
      <c r="C646" s="11"/>
      <c r="D646" s="11"/>
      <c r="E646" s="11"/>
      <c r="F646" s="11"/>
      <c r="G646" s="11"/>
    </row>
    <row r="647" customFormat="false" ht="15.75" hidden="false" customHeight="false" outlineLevel="0" collapsed="false">
      <c r="A647" s="9"/>
      <c r="B647" s="10"/>
      <c r="C647" s="11"/>
      <c r="D647" s="11"/>
      <c r="E647" s="11"/>
      <c r="F647" s="11"/>
      <c r="G647" s="11"/>
    </row>
    <row r="648" customFormat="false" ht="15.75" hidden="false" customHeight="false" outlineLevel="0" collapsed="false">
      <c r="A648" s="9"/>
      <c r="B648" s="10"/>
      <c r="C648" s="11"/>
      <c r="D648" s="11"/>
      <c r="E648" s="11"/>
      <c r="F648" s="11"/>
      <c r="G648" s="11"/>
    </row>
    <row r="649" customFormat="false" ht="15.75" hidden="false" customHeight="false" outlineLevel="0" collapsed="false">
      <c r="A649" s="9"/>
      <c r="B649" s="10"/>
      <c r="C649" s="11"/>
      <c r="D649" s="11"/>
      <c r="E649" s="11"/>
      <c r="F649" s="11"/>
      <c r="G649" s="11"/>
    </row>
    <row r="650" customFormat="false" ht="15.75" hidden="false" customHeight="false" outlineLevel="0" collapsed="false">
      <c r="A650" s="9"/>
      <c r="B650" s="10"/>
      <c r="C650" s="11"/>
      <c r="D650" s="11"/>
      <c r="E650" s="11"/>
      <c r="F650" s="11"/>
      <c r="G650" s="11"/>
    </row>
    <row r="651" customFormat="false" ht="15.75" hidden="false" customHeight="false" outlineLevel="0" collapsed="false">
      <c r="A651" s="9"/>
      <c r="B651" s="10"/>
      <c r="C651" s="11"/>
      <c r="D651" s="11"/>
      <c r="E651" s="11"/>
      <c r="F651" s="11"/>
      <c r="G651" s="11"/>
    </row>
    <row r="652" customFormat="false" ht="15.75" hidden="false" customHeight="false" outlineLevel="0" collapsed="false">
      <c r="A652" s="9"/>
      <c r="B652" s="10"/>
      <c r="C652" s="11"/>
      <c r="D652" s="11"/>
      <c r="E652" s="11"/>
      <c r="F652" s="11"/>
      <c r="G652" s="11"/>
    </row>
    <row r="653" customFormat="false" ht="15.75" hidden="false" customHeight="false" outlineLevel="0" collapsed="false">
      <c r="A653" s="9"/>
      <c r="B653" s="10"/>
      <c r="C653" s="11"/>
      <c r="D653" s="11"/>
      <c r="E653" s="11"/>
      <c r="F653" s="11"/>
      <c r="G653" s="11"/>
    </row>
    <row r="654" customFormat="false" ht="15.75" hidden="false" customHeight="false" outlineLevel="0" collapsed="false">
      <c r="A654" s="9"/>
      <c r="B654" s="10"/>
      <c r="C654" s="11"/>
      <c r="D654" s="11"/>
      <c r="E654" s="11"/>
      <c r="F654" s="11"/>
      <c r="G654" s="11"/>
    </row>
    <row r="655" customFormat="false" ht="15.75" hidden="false" customHeight="false" outlineLevel="0" collapsed="false">
      <c r="A655" s="9"/>
      <c r="B655" s="10"/>
      <c r="C655" s="11"/>
      <c r="D655" s="11"/>
      <c r="E655" s="11"/>
      <c r="F655" s="11"/>
      <c r="G655" s="11"/>
    </row>
    <row r="656" customFormat="false" ht="15.75" hidden="false" customHeight="false" outlineLevel="0" collapsed="false">
      <c r="A656" s="9"/>
      <c r="B656" s="10"/>
      <c r="C656" s="11"/>
      <c r="D656" s="11"/>
      <c r="E656" s="11"/>
      <c r="F656" s="11"/>
      <c r="G656" s="11"/>
    </row>
    <row r="657" customFormat="false" ht="15.75" hidden="false" customHeight="false" outlineLevel="0" collapsed="false">
      <c r="A657" s="9"/>
      <c r="B657" s="10"/>
      <c r="C657" s="11"/>
      <c r="D657" s="11"/>
      <c r="E657" s="11"/>
      <c r="F657" s="11"/>
      <c r="G657" s="11"/>
    </row>
    <row r="658" customFormat="false" ht="15.75" hidden="false" customHeight="false" outlineLevel="0" collapsed="false">
      <c r="A658" s="9"/>
      <c r="B658" s="10"/>
      <c r="C658" s="11"/>
      <c r="D658" s="11"/>
      <c r="E658" s="11"/>
      <c r="F658" s="11"/>
      <c r="G658" s="11"/>
    </row>
    <row r="659" customFormat="false" ht="15.75" hidden="false" customHeight="false" outlineLevel="0" collapsed="false">
      <c r="A659" s="9"/>
      <c r="B659" s="10"/>
      <c r="C659" s="11"/>
      <c r="D659" s="11"/>
      <c r="E659" s="11"/>
      <c r="F659" s="11"/>
      <c r="G659" s="11"/>
    </row>
    <row r="660" customFormat="false" ht="15.75" hidden="false" customHeight="false" outlineLevel="0" collapsed="false">
      <c r="A660" s="9"/>
      <c r="B660" s="10"/>
      <c r="C660" s="11"/>
      <c r="D660" s="11"/>
      <c r="E660" s="11"/>
      <c r="F660" s="11"/>
      <c r="G660" s="11"/>
    </row>
    <row r="661" customFormat="false" ht="15.75" hidden="false" customHeight="false" outlineLevel="0" collapsed="false">
      <c r="A661" s="9"/>
      <c r="B661" s="10"/>
      <c r="C661" s="11"/>
      <c r="D661" s="11"/>
      <c r="E661" s="11"/>
      <c r="F661" s="11"/>
      <c r="G661" s="11"/>
    </row>
    <row r="662" customFormat="false" ht="15.75" hidden="false" customHeight="false" outlineLevel="0" collapsed="false">
      <c r="A662" s="9"/>
      <c r="B662" s="10"/>
      <c r="C662" s="11"/>
      <c r="D662" s="11"/>
      <c r="E662" s="11"/>
      <c r="F662" s="11"/>
      <c r="G662" s="11"/>
    </row>
    <row r="663" customFormat="false" ht="15.75" hidden="false" customHeight="false" outlineLevel="0" collapsed="false">
      <c r="A663" s="9"/>
      <c r="B663" s="10"/>
      <c r="C663" s="11"/>
      <c r="D663" s="11"/>
      <c r="E663" s="11"/>
      <c r="F663" s="11"/>
      <c r="G663" s="11"/>
    </row>
    <row r="664" customFormat="false" ht="15.75" hidden="false" customHeight="false" outlineLevel="0" collapsed="false">
      <c r="A664" s="9"/>
      <c r="B664" s="10"/>
      <c r="C664" s="11"/>
      <c r="D664" s="11"/>
      <c r="E664" s="11"/>
      <c r="F664" s="11"/>
      <c r="G664" s="11"/>
    </row>
    <row r="665" customFormat="false" ht="15.75" hidden="false" customHeight="false" outlineLevel="0" collapsed="false">
      <c r="A665" s="9"/>
      <c r="B665" s="10"/>
      <c r="C665" s="11"/>
      <c r="D665" s="11"/>
      <c r="E665" s="11"/>
      <c r="F665" s="11"/>
      <c r="G665" s="11"/>
    </row>
    <row r="666" customFormat="false" ht="15.75" hidden="false" customHeight="false" outlineLevel="0" collapsed="false">
      <c r="A666" s="9"/>
      <c r="B666" s="10"/>
      <c r="C666" s="11"/>
      <c r="D666" s="11"/>
      <c r="E666" s="11"/>
      <c r="F666" s="11"/>
      <c r="G666" s="11"/>
    </row>
    <row r="667" customFormat="false" ht="15.75" hidden="false" customHeight="false" outlineLevel="0" collapsed="false">
      <c r="A667" s="9"/>
      <c r="B667" s="10"/>
      <c r="C667" s="11"/>
      <c r="D667" s="11"/>
      <c r="E667" s="11"/>
      <c r="F667" s="11"/>
      <c r="G667" s="11"/>
    </row>
    <row r="668" customFormat="false" ht="15.75" hidden="false" customHeight="false" outlineLevel="0" collapsed="false">
      <c r="A668" s="9"/>
      <c r="B668" s="10"/>
      <c r="C668" s="11"/>
      <c r="D668" s="11"/>
      <c r="E668" s="11"/>
      <c r="F668" s="11"/>
      <c r="G668" s="11"/>
    </row>
    <row r="669" customFormat="false" ht="15.75" hidden="false" customHeight="false" outlineLevel="0" collapsed="false">
      <c r="A669" s="9"/>
      <c r="B669" s="10"/>
      <c r="C669" s="11"/>
      <c r="D669" s="11"/>
      <c r="E669" s="11"/>
      <c r="F669" s="11"/>
      <c r="G669" s="11"/>
    </row>
    <row r="670" customFormat="false" ht="15.75" hidden="false" customHeight="false" outlineLevel="0" collapsed="false">
      <c r="A670" s="9"/>
      <c r="B670" s="10"/>
      <c r="C670" s="11"/>
      <c r="D670" s="11"/>
      <c r="E670" s="11"/>
      <c r="F670" s="11"/>
      <c r="G670" s="11"/>
    </row>
    <row r="671" customFormat="false" ht="15.75" hidden="false" customHeight="false" outlineLevel="0" collapsed="false">
      <c r="A671" s="9"/>
      <c r="B671" s="10"/>
      <c r="C671" s="11"/>
      <c r="D671" s="11"/>
      <c r="E671" s="11"/>
      <c r="F671" s="11"/>
      <c r="G671" s="11"/>
    </row>
    <row r="672" customFormat="false" ht="15.75" hidden="false" customHeight="false" outlineLevel="0" collapsed="false">
      <c r="A672" s="9"/>
      <c r="B672" s="10"/>
      <c r="C672" s="11"/>
      <c r="D672" s="11"/>
      <c r="E672" s="11"/>
      <c r="F672" s="11"/>
      <c r="G672" s="11"/>
    </row>
    <row r="673" customFormat="false" ht="15.75" hidden="false" customHeight="false" outlineLevel="0" collapsed="false">
      <c r="A673" s="9"/>
      <c r="B673" s="10"/>
      <c r="C673" s="11"/>
      <c r="D673" s="11"/>
      <c r="E673" s="11"/>
      <c r="F673" s="11"/>
      <c r="G673" s="11"/>
    </row>
    <row r="674" customFormat="false" ht="15.75" hidden="false" customHeight="false" outlineLevel="0" collapsed="false">
      <c r="A674" s="9"/>
      <c r="B674" s="10"/>
      <c r="C674" s="11"/>
      <c r="D674" s="11"/>
      <c r="E674" s="11"/>
      <c r="F674" s="11"/>
      <c r="G674" s="11"/>
    </row>
    <row r="675" customFormat="false" ht="15.75" hidden="false" customHeight="false" outlineLevel="0" collapsed="false">
      <c r="A675" s="9"/>
      <c r="B675" s="10"/>
      <c r="C675" s="11"/>
      <c r="D675" s="11"/>
      <c r="E675" s="11"/>
      <c r="F675" s="11"/>
      <c r="G675" s="11"/>
    </row>
    <row r="676" customFormat="false" ht="15.75" hidden="false" customHeight="false" outlineLevel="0" collapsed="false">
      <c r="A676" s="9"/>
      <c r="B676" s="10"/>
      <c r="C676" s="11"/>
      <c r="D676" s="11"/>
      <c r="E676" s="11"/>
      <c r="F676" s="11"/>
      <c r="G676" s="11"/>
    </row>
    <row r="677" customFormat="false" ht="15.75" hidden="false" customHeight="false" outlineLevel="0" collapsed="false">
      <c r="A677" s="9"/>
      <c r="B677" s="10"/>
      <c r="C677" s="11"/>
      <c r="D677" s="11"/>
      <c r="E677" s="11"/>
      <c r="F677" s="11"/>
      <c r="G677" s="11"/>
    </row>
    <row r="678" customFormat="false" ht="15.75" hidden="false" customHeight="false" outlineLevel="0" collapsed="false">
      <c r="A678" s="9"/>
      <c r="B678" s="10"/>
      <c r="C678" s="11"/>
      <c r="D678" s="11"/>
      <c r="E678" s="11"/>
      <c r="F678" s="11"/>
      <c r="G678" s="11"/>
    </row>
    <row r="679" customFormat="false" ht="15.75" hidden="false" customHeight="false" outlineLevel="0" collapsed="false">
      <c r="A679" s="9"/>
      <c r="B679" s="10"/>
      <c r="C679" s="11"/>
      <c r="D679" s="11"/>
      <c r="E679" s="11"/>
      <c r="F679" s="11"/>
      <c r="G679" s="11"/>
    </row>
    <row r="680" customFormat="false" ht="15.75" hidden="false" customHeight="false" outlineLevel="0" collapsed="false">
      <c r="A680" s="9"/>
      <c r="B680" s="10"/>
      <c r="C680" s="11"/>
      <c r="D680" s="11"/>
      <c r="E680" s="11"/>
      <c r="F680" s="11"/>
      <c r="G680" s="11"/>
    </row>
    <row r="681" customFormat="false" ht="15.75" hidden="false" customHeight="false" outlineLevel="0" collapsed="false">
      <c r="A681" s="9"/>
      <c r="B681" s="10"/>
      <c r="C681" s="11"/>
      <c r="D681" s="11"/>
      <c r="E681" s="11"/>
      <c r="F681" s="11"/>
      <c r="G681" s="11"/>
    </row>
    <row r="682" customFormat="false" ht="15.75" hidden="false" customHeight="false" outlineLevel="0" collapsed="false">
      <c r="A682" s="9"/>
      <c r="B682" s="10"/>
      <c r="C682" s="11"/>
      <c r="D682" s="11"/>
      <c r="E682" s="11"/>
      <c r="F682" s="11"/>
      <c r="G682" s="11"/>
    </row>
    <row r="683" customFormat="false" ht="15.75" hidden="false" customHeight="false" outlineLevel="0" collapsed="false">
      <c r="A683" s="9"/>
      <c r="B683" s="10"/>
      <c r="C683" s="11"/>
      <c r="D683" s="11"/>
      <c r="E683" s="11"/>
      <c r="F683" s="11"/>
      <c r="G683" s="11"/>
    </row>
    <row r="684" customFormat="false" ht="15.75" hidden="false" customHeight="false" outlineLevel="0" collapsed="false">
      <c r="A684" s="9"/>
      <c r="B684" s="10"/>
      <c r="C684" s="11"/>
      <c r="D684" s="11"/>
      <c r="E684" s="11"/>
      <c r="F684" s="11"/>
      <c r="G684" s="11"/>
    </row>
    <row r="685" customFormat="false" ht="15.75" hidden="false" customHeight="false" outlineLevel="0" collapsed="false">
      <c r="A685" s="9"/>
      <c r="B685" s="10"/>
      <c r="C685" s="11"/>
      <c r="D685" s="11"/>
      <c r="E685" s="11"/>
      <c r="F685" s="11"/>
      <c r="G685" s="11"/>
    </row>
    <row r="686" customFormat="false" ht="15.75" hidden="false" customHeight="false" outlineLevel="0" collapsed="false">
      <c r="A686" s="9"/>
      <c r="B686" s="10"/>
      <c r="C686" s="11"/>
      <c r="D686" s="11"/>
      <c r="E686" s="11"/>
      <c r="F686" s="11"/>
      <c r="G686" s="11"/>
    </row>
    <row r="687" customFormat="false" ht="15.75" hidden="false" customHeight="false" outlineLevel="0" collapsed="false">
      <c r="A687" s="9"/>
      <c r="B687" s="10"/>
      <c r="C687" s="11"/>
      <c r="D687" s="11"/>
      <c r="E687" s="11"/>
      <c r="F687" s="11"/>
      <c r="G687" s="11"/>
    </row>
    <row r="688" customFormat="false" ht="15.75" hidden="false" customHeight="false" outlineLevel="0" collapsed="false">
      <c r="A688" s="9"/>
      <c r="B688" s="10"/>
      <c r="C688" s="11"/>
      <c r="D688" s="11"/>
      <c r="E688" s="11"/>
      <c r="F688" s="11"/>
      <c r="G688" s="11"/>
    </row>
    <row r="689" customFormat="false" ht="15.75" hidden="false" customHeight="false" outlineLevel="0" collapsed="false">
      <c r="A689" s="9"/>
      <c r="B689" s="10"/>
      <c r="C689" s="11"/>
      <c r="D689" s="11"/>
      <c r="E689" s="11"/>
      <c r="F689" s="11"/>
      <c r="G689" s="11"/>
    </row>
    <row r="690" customFormat="false" ht="15.75" hidden="false" customHeight="false" outlineLevel="0" collapsed="false">
      <c r="A690" s="9"/>
      <c r="B690" s="10"/>
      <c r="C690" s="11"/>
      <c r="D690" s="11"/>
      <c r="E690" s="11"/>
      <c r="F690" s="11"/>
      <c r="G690" s="11"/>
    </row>
    <row r="691" customFormat="false" ht="15.75" hidden="false" customHeight="false" outlineLevel="0" collapsed="false">
      <c r="A691" s="9"/>
      <c r="B691" s="10"/>
      <c r="C691" s="11"/>
      <c r="D691" s="11"/>
      <c r="E691" s="11"/>
      <c r="F691" s="11"/>
      <c r="G691" s="11"/>
    </row>
    <row r="692" customFormat="false" ht="15.75" hidden="false" customHeight="false" outlineLevel="0" collapsed="false">
      <c r="A692" s="9"/>
      <c r="B692" s="10"/>
      <c r="C692" s="11"/>
      <c r="D692" s="11"/>
      <c r="E692" s="11"/>
      <c r="F692" s="11"/>
      <c r="G692" s="11"/>
    </row>
    <row r="693" customFormat="false" ht="15.75" hidden="false" customHeight="false" outlineLevel="0" collapsed="false">
      <c r="A693" s="9"/>
      <c r="B693" s="10"/>
      <c r="C693" s="11"/>
      <c r="D693" s="11"/>
      <c r="E693" s="11"/>
      <c r="F693" s="11"/>
      <c r="G693" s="11"/>
    </row>
    <row r="694" customFormat="false" ht="15.75" hidden="false" customHeight="false" outlineLevel="0" collapsed="false">
      <c r="A694" s="9"/>
      <c r="B694" s="10"/>
      <c r="C694" s="11"/>
      <c r="D694" s="11"/>
      <c r="E694" s="11"/>
      <c r="F694" s="11"/>
      <c r="G694" s="11"/>
    </row>
    <row r="695" customFormat="false" ht="15.75" hidden="false" customHeight="false" outlineLevel="0" collapsed="false">
      <c r="A695" s="9"/>
      <c r="B695" s="10"/>
      <c r="C695" s="11"/>
      <c r="D695" s="11"/>
      <c r="E695" s="11"/>
      <c r="F695" s="11"/>
      <c r="G695" s="11"/>
    </row>
    <row r="696" customFormat="false" ht="15.75" hidden="false" customHeight="false" outlineLevel="0" collapsed="false">
      <c r="A696" s="9"/>
      <c r="B696" s="10"/>
      <c r="C696" s="11"/>
      <c r="D696" s="11"/>
      <c r="E696" s="11"/>
      <c r="F696" s="11"/>
      <c r="G696" s="11"/>
    </row>
    <row r="697" customFormat="false" ht="15.75" hidden="false" customHeight="false" outlineLevel="0" collapsed="false">
      <c r="A697" s="9"/>
      <c r="B697" s="10"/>
      <c r="C697" s="11"/>
      <c r="D697" s="11"/>
      <c r="E697" s="11"/>
      <c r="F697" s="11"/>
      <c r="G697" s="11"/>
    </row>
    <row r="698" customFormat="false" ht="15.75" hidden="false" customHeight="false" outlineLevel="0" collapsed="false">
      <c r="A698" s="9"/>
      <c r="B698" s="10"/>
      <c r="C698" s="11"/>
      <c r="D698" s="11"/>
      <c r="E698" s="11"/>
      <c r="F698" s="11"/>
      <c r="G698" s="11"/>
    </row>
    <row r="699" customFormat="false" ht="15.75" hidden="false" customHeight="false" outlineLevel="0" collapsed="false">
      <c r="A699" s="9"/>
      <c r="B699" s="10"/>
      <c r="C699" s="11"/>
      <c r="D699" s="11"/>
      <c r="E699" s="11"/>
      <c r="F699" s="11"/>
      <c r="G699" s="11"/>
    </row>
    <row r="700" customFormat="false" ht="15.75" hidden="false" customHeight="false" outlineLevel="0" collapsed="false">
      <c r="A700" s="9"/>
      <c r="B700" s="10"/>
      <c r="C700" s="11"/>
      <c r="D700" s="11"/>
      <c r="E700" s="11"/>
      <c r="F700" s="11"/>
      <c r="G700" s="11"/>
    </row>
    <row r="701" customFormat="false" ht="15.75" hidden="false" customHeight="false" outlineLevel="0" collapsed="false">
      <c r="A701" s="9"/>
      <c r="B701" s="10"/>
      <c r="C701" s="11"/>
      <c r="D701" s="11"/>
      <c r="E701" s="11"/>
      <c r="F701" s="11"/>
      <c r="G701" s="11"/>
    </row>
    <row r="702" customFormat="false" ht="15.75" hidden="false" customHeight="false" outlineLevel="0" collapsed="false">
      <c r="A702" s="9"/>
      <c r="B702" s="10"/>
      <c r="C702" s="11"/>
      <c r="D702" s="11"/>
      <c r="E702" s="11"/>
      <c r="F702" s="11"/>
      <c r="G702" s="11"/>
    </row>
    <row r="703" customFormat="false" ht="15.75" hidden="false" customHeight="false" outlineLevel="0" collapsed="false">
      <c r="A703" s="9"/>
      <c r="B703" s="10"/>
      <c r="C703" s="11"/>
      <c r="D703" s="11"/>
      <c r="E703" s="11"/>
      <c r="F703" s="11"/>
      <c r="G703" s="11"/>
    </row>
    <row r="704" customFormat="false" ht="15.75" hidden="false" customHeight="false" outlineLevel="0" collapsed="false">
      <c r="A704" s="9"/>
      <c r="B704" s="10"/>
      <c r="C704" s="11"/>
      <c r="D704" s="11"/>
      <c r="E704" s="11"/>
      <c r="F704" s="11"/>
      <c r="G704" s="11"/>
    </row>
    <row r="705" customFormat="false" ht="15.75" hidden="false" customHeight="false" outlineLevel="0" collapsed="false">
      <c r="A705" s="9"/>
      <c r="B705" s="10"/>
      <c r="C705" s="11"/>
      <c r="D705" s="11"/>
      <c r="E705" s="11"/>
      <c r="F705" s="11"/>
      <c r="G705" s="11"/>
    </row>
    <row r="706" customFormat="false" ht="15.75" hidden="false" customHeight="false" outlineLevel="0" collapsed="false">
      <c r="A706" s="9"/>
      <c r="B706" s="10"/>
      <c r="C706" s="11"/>
      <c r="D706" s="11"/>
      <c r="E706" s="11"/>
      <c r="F706" s="11"/>
      <c r="G706" s="11"/>
    </row>
    <row r="707" customFormat="false" ht="15.75" hidden="false" customHeight="false" outlineLevel="0" collapsed="false">
      <c r="A707" s="9"/>
      <c r="B707" s="10"/>
      <c r="C707" s="11"/>
      <c r="D707" s="11"/>
      <c r="E707" s="11"/>
      <c r="F707" s="11"/>
      <c r="G707" s="11"/>
    </row>
    <row r="708" customFormat="false" ht="15.75" hidden="false" customHeight="false" outlineLevel="0" collapsed="false">
      <c r="A708" s="9"/>
      <c r="B708" s="10"/>
      <c r="C708" s="11"/>
      <c r="D708" s="11"/>
      <c r="E708" s="11"/>
      <c r="F708" s="11"/>
      <c r="G708" s="11"/>
    </row>
    <row r="709" customFormat="false" ht="15.75" hidden="false" customHeight="false" outlineLevel="0" collapsed="false">
      <c r="A709" s="9"/>
      <c r="B709" s="10"/>
      <c r="C709" s="11"/>
      <c r="D709" s="11"/>
      <c r="E709" s="11"/>
      <c r="F709" s="11"/>
      <c r="G709" s="11"/>
    </row>
    <row r="710" customFormat="false" ht="15.75" hidden="false" customHeight="false" outlineLevel="0" collapsed="false">
      <c r="A710" s="9"/>
      <c r="B710" s="10"/>
      <c r="C710" s="11"/>
      <c r="D710" s="11"/>
      <c r="E710" s="11"/>
      <c r="F710" s="11"/>
      <c r="G710" s="11"/>
    </row>
    <row r="711" customFormat="false" ht="15.75" hidden="false" customHeight="false" outlineLevel="0" collapsed="false">
      <c r="A711" s="9"/>
      <c r="B711" s="10"/>
      <c r="C711" s="11"/>
      <c r="D711" s="11"/>
      <c r="E711" s="11"/>
      <c r="F711" s="11"/>
      <c r="G711" s="11"/>
    </row>
    <row r="712" customFormat="false" ht="15.75" hidden="false" customHeight="false" outlineLevel="0" collapsed="false">
      <c r="A712" s="9"/>
      <c r="B712" s="10"/>
      <c r="C712" s="11"/>
      <c r="D712" s="11"/>
      <c r="E712" s="11"/>
      <c r="F712" s="11"/>
      <c r="G712" s="11"/>
    </row>
    <row r="713" customFormat="false" ht="15.75" hidden="false" customHeight="false" outlineLevel="0" collapsed="false">
      <c r="A713" s="9"/>
      <c r="B713" s="10"/>
      <c r="C713" s="11"/>
      <c r="D713" s="11"/>
      <c r="E713" s="11"/>
      <c r="F713" s="11"/>
      <c r="G713" s="11"/>
    </row>
    <row r="714" customFormat="false" ht="15.75" hidden="false" customHeight="false" outlineLevel="0" collapsed="false">
      <c r="A714" s="9"/>
      <c r="B714" s="10"/>
      <c r="C714" s="11"/>
      <c r="D714" s="11"/>
      <c r="E714" s="11"/>
      <c r="F714" s="11"/>
      <c r="G714" s="11"/>
    </row>
    <row r="715" customFormat="false" ht="15.75" hidden="false" customHeight="false" outlineLevel="0" collapsed="false">
      <c r="A715" s="9"/>
      <c r="B715" s="10"/>
      <c r="C715" s="11"/>
      <c r="D715" s="11"/>
      <c r="E715" s="11"/>
      <c r="F715" s="11"/>
      <c r="G715" s="11"/>
    </row>
    <row r="716" customFormat="false" ht="15.75" hidden="false" customHeight="false" outlineLevel="0" collapsed="false">
      <c r="A716" s="9"/>
      <c r="B716" s="10"/>
      <c r="C716" s="11"/>
      <c r="D716" s="11"/>
      <c r="E716" s="11"/>
      <c r="F716" s="11"/>
      <c r="G716" s="11"/>
    </row>
    <row r="717" customFormat="false" ht="15.75" hidden="false" customHeight="false" outlineLevel="0" collapsed="false">
      <c r="A717" s="9"/>
      <c r="B717" s="10"/>
      <c r="C717" s="11"/>
      <c r="D717" s="11"/>
      <c r="E717" s="11"/>
      <c r="F717" s="11"/>
      <c r="G717" s="11"/>
    </row>
    <row r="718" customFormat="false" ht="15.75" hidden="false" customHeight="false" outlineLevel="0" collapsed="false">
      <c r="A718" s="9"/>
      <c r="B718" s="10"/>
      <c r="C718" s="11"/>
      <c r="D718" s="11"/>
      <c r="E718" s="11"/>
      <c r="F718" s="11"/>
      <c r="G718" s="11"/>
    </row>
    <row r="719" customFormat="false" ht="15.75" hidden="false" customHeight="false" outlineLevel="0" collapsed="false">
      <c r="A719" s="9"/>
      <c r="B719" s="10"/>
      <c r="C719" s="11"/>
      <c r="D719" s="11"/>
      <c r="E719" s="11"/>
      <c r="F719" s="11"/>
      <c r="G719" s="11"/>
    </row>
    <row r="720" customFormat="false" ht="15.75" hidden="false" customHeight="false" outlineLevel="0" collapsed="false">
      <c r="A720" s="9"/>
      <c r="B720" s="10"/>
      <c r="C720" s="11"/>
      <c r="D720" s="11"/>
      <c r="E720" s="11"/>
      <c r="F720" s="11"/>
      <c r="G720" s="11"/>
    </row>
    <row r="721" customFormat="false" ht="15.75" hidden="false" customHeight="false" outlineLevel="0" collapsed="false">
      <c r="A721" s="9"/>
      <c r="B721" s="10"/>
      <c r="C721" s="11"/>
      <c r="D721" s="11"/>
      <c r="E721" s="11"/>
      <c r="F721" s="11"/>
      <c r="G721" s="11"/>
    </row>
    <row r="722" customFormat="false" ht="15.75" hidden="false" customHeight="false" outlineLevel="0" collapsed="false">
      <c r="A722" s="9"/>
      <c r="B722" s="10"/>
      <c r="C722" s="11"/>
      <c r="D722" s="11"/>
      <c r="E722" s="11"/>
      <c r="F722" s="11"/>
      <c r="G722" s="11"/>
    </row>
    <row r="723" customFormat="false" ht="15.75" hidden="false" customHeight="false" outlineLevel="0" collapsed="false">
      <c r="A723" s="9"/>
      <c r="B723" s="10"/>
      <c r="C723" s="11"/>
      <c r="D723" s="11"/>
      <c r="E723" s="11"/>
      <c r="F723" s="11"/>
      <c r="G723" s="11"/>
    </row>
    <row r="724" customFormat="false" ht="15.75" hidden="false" customHeight="false" outlineLevel="0" collapsed="false">
      <c r="A724" s="9"/>
      <c r="B724" s="10"/>
      <c r="C724" s="11"/>
      <c r="D724" s="11"/>
      <c r="E724" s="11"/>
      <c r="F724" s="11"/>
      <c r="G724" s="11"/>
    </row>
    <row r="725" customFormat="false" ht="15.75" hidden="false" customHeight="false" outlineLevel="0" collapsed="false">
      <c r="A725" s="9"/>
      <c r="B725" s="10"/>
      <c r="C725" s="11"/>
      <c r="D725" s="11"/>
      <c r="E725" s="11"/>
      <c r="F725" s="11"/>
      <c r="G725" s="11"/>
    </row>
    <row r="726" customFormat="false" ht="15.75" hidden="false" customHeight="false" outlineLevel="0" collapsed="false">
      <c r="A726" s="9"/>
      <c r="B726" s="10"/>
      <c r="C726" s="11"/>
      <c r="D726" s="11"/>
      <c r="E726" s="11"/>
      <c r="F726" s="11"/>
      <c r="G726" s="11"/>
    </row>
    <row r="727" customFormat="false" ht="15.75" hidden="false" customHeight="false" outlineLevel="0" collapsed="false">
      <c r="A727" s="9"/>
      <c r="B727" s="10"/>
      <c r="C727" s="11"/>
      <c r="D727" s="11"/>
      <c r="E727" s="11"/>
      <c r="F727" s="11"/>
      <c r="G727" s="11"/>
    </row>
    <row r="728" customFormat="false" ht="15.75" hidden="false" customHeight="false" outlineLevel="0" collapsed="false">
      <c r="A728" s="9"/>
      <c r="B728" s="10"/>
      <c r="C728" s="11"/>
      <c r="D728" s="11"/>
      <c r="E728" s="11"/>
      <c r="F728" s="11"/>
      <c r="G728" s="11"/>
    </row>
    <row r="729" customFormat="false" ht="15.75" hidden="false" customHeight="false" outlineLevel="0" collapsed="false">
      <c r="A729" s="9"/>
      <c r="B729" s="10"/>
      <c r="C729" s="11"/>
      <c r="D729" s="11"/>
      <c r="E729" s="11"/>
      <c r="F729" s="11"/>
      <c r="G729" s="11"/>
    </row>
    <row r="730" customFormat="false" ht="15.75" hidden="false" customHeight="false" outlineLevel="0" collapsed="false">
      <c r="A730" s="9"/>
      <c r="B730" s="10"/>
      <c r="C730" s="11"/>
      <c r="D730" s="11"/>
      <c r="E730" s="11"/>
      <c r="F730" s="11"/>
      <c r="G730" s="11"/>
    </row>
    <row r="731" customFormat="false" ht="15.75" hidden="false" customHeight="false" outlineLevel="0" collapsed="false">
      <c r="A731" s="9"/>
      <c r="B731" s="10"/>
      <c r="C731" s="11"/>
      <c r="D731" s="11"/>
      <c r="E731" s="11"/>
      <c r="F731" s="11"/>
      <c r="G731" s="11"/>
    </row>
    <row r="732" customFormat="false" ht="15.75" hidden="false" customHeight="false" outlineLevel="0" collapsed="false">
      <c r="A732" s="9"/>
      <c r="B732" s="10"/>
      <c r="C732" s="11"/>
      <c r="D732" s="11"/>
      <c r="E732" s="11"/>
      <c r="F732" s="11"/>
      <c r="G732" s="11"/>
    </row>
    <row r="733" customFormat="false" ht="15.75" hidden="false" customHeight="false" outlineLevel="0" collapsed="false">
      <c r="A733" s="9"/>
      <c r="B733" s="10"/>
      <c r="C733" s="11"/>
      <c r="D733" s="11"/>
      <c r="E733" s="11"/>
      <c r="F733" s="11"/>
      <c r="G733" s="11"/>
    </row>
    <row r="734" customFormat="false" ht="15.75" hidden="false" customHeight="false" outlineLevel="0" collapsed="false">
      <c r="A734" s="9"/>
      <c r="B734" s="10"/>
      <c r="C734" s="11"/>
      <c r="D734" s="11"/>
      <c r="E734" s="11"/>
      <c r="F734" s="11"/>
      <c r="G734" s="11"/>
    </row>
    <row r="735" customFormat="false" ht="15.75" hidden="false" customHeight="false" outlineLevel="0" collapsed="false">
      <c r="A735" s="9"/>
      <c r="B735" s="10"/>
      <c r="C735" s="11"/>
      <c r="D735" s="11"/>
      <c r="E735" s="11"/>
      <c r="F735" s="11"/>
      <c r="G735" s="11"/>
    </row>
    <row r="736" customFormat="false" ht="15.75" hidden="false" customHeight="false" outlineLevel="0" collapsed="false">
      <c r="A736" s="9"/>
      <c r="B736" s="10"/>
      <c r="C736" s="11"/>
      <c r="D736" s="11"/>
      <c r="E736" s="11"/>
      <c r="F736" s="11"/>
      <c r="G736" s="11"/>
    </row>
    <row r="737" customFormat="false" ht="15.75" hidden="false" customHeight="false" outlineLevel="0" collapsed="false">
      <c r="A737" s="9"/>
      <c r="B737" s="10"/>
      <c r="C737" s="11"/>
      <c r="D737" s="11"/>
      <c r="E737" s="11"/>
      <c r="F737" s="11"/>
      <c r="G737" s="11"/>
    </row>
    <row r="738" customFormat="false" ht="15.75" hidden="false" customHeight="false" outlineLevel="0" collapsed="false">
      <c r="A738" s="9"/>
      <c r="B738" s="10"/>
      <c r="C738" s="11"/>
      <c r="D738" s="11"/>
      <c r="E738" s="11"/>
      <c r="F738" s="11"/>
      <c r="G738" s="11"/>
    </row>
    <row r="739" customFormat="false" ht="15.75" hidden="false" customHeight="false" outlineLevel="0" collapsed="false">
      <c r="A739" s="9"/>
      <c r="B739" s="10"/>
      <c r="C739" s="11"/>
      <c r="D739" s="11"/>
      <c r="E739" s="11"/>
      <c r="F739" s="11"/>
      <c r="G739" s="11"/>
    </row>
    <row r="740" customFormat="false" ht="15.75" hidden="false" customHeight="false" outlineLevel="0" collapsed="false">
      <c r="A740" s="9"/>
      <c r="B740" s="10"/>
      <c r="C740" s="11"/>
      <c r="D740" s="11"/>
      <c r="E740" s="11"/>
      <c r="F740" s="11"/>
      <c r="G740" s="11"/>
    </row>
    <row r="741" customFormat="false" ht="15.75" hidden="false" customHeight="false" outlineLevel="0" collapsed="false">
      <c r="A741" s="9"/>
      <c r="B741" s="10"/>
      <c r="C741" s="11"/>
      <c r="D741" s="11"/>
      <c r="E741" s="11"/>
      <c r="F741" s="11"/>
      <c r="G741" s="11"/>
    </row>
    <row r="742" customFormat="false" ht="15.75" hidden="false" customHeight="false" outlineLevel="0" collapsed="false">
      <c r="A742" s="9"/>
      <c r="B742" s="10"/>
      <c r="C742" s="11"/>
      <c r="D742" s="11"/>
      <c r="E742" s="11"/>
      <c r="F742" s="11"/>
      <c r="G742" s="11"/>
    </row>
    <row r="743" customFormat="false" ht="15.75" hidden="false" customHeight="false" outlineLevel="0" collapsed="false">
      <c r="A743" s="9"/>
      <c r="B743" s="10"/>
      <c r="C743" s="11"/>
      <c r="D743" s="11"/>
      <c r="E743" s="11"/>
      <c r="F743" s="11"/>
      <c r="G743" s="11"/>
    </row>
    <row r="744" customFormat="false" ht="15.75" hidden="false" customHeight="false" outlineLevel="0" collapsed="false">
      <c r="A744" s="9"/>
      <c r="B744" s="10"/>
      <c r="C744" s="11"/>
      <c r="D744" s="11"/>
      <c r="E744" s="11"/>
      <c r="F744" s="11"/>
      <c r="G744" s="11"/>
    </row>
    <row r="745" customFormat="false" ht="15.75" hidden="false" customHeight="false" outlineLevel="0" collapsed="false">
      <c r="A745" s="9"/>
      <c r="B745" s="10"/>
      <c r="C745" s="11"/>
      <c r="D745" s="11"/>
      <c r="E745" s="11"/>
      <c r="F745" s="11"/>
      <c r="G745" s="11"/>
    </row>
    <row r="746" customFormat="false" ht="15.75" hidden="false" customHeight="false" outlineLevel="0" collapsed="false">
      <c r="A746" s="9"/>
      <c r="B746" s="10"/>
      <c r="C746" s="11"/>
      <c r="D746" s="11"/>
      <c r="E746" s="11"/>
      <c r="F746" s="11"/>
      <c r="G746" s="11"/>
    </row>
    <row r="747" customFormat="false" ht="15.75" hidden="false" customHeight="false" outlineLevel="0" collapsed="false">
      <c r="A747" s="9"/>
      <c r="B747" s="10"/>
      <c r="C747" s="11"/>
      <c r="D747" s="11"/>
      <c r="E747" s="11"/>
      <c r="F747" s="11"/>
      <c r="G747" s="11"/>
    </row>
    <row r="748" customFormat="false" ht="15.75" hidden="false" customHeight="false" outlineLevel="0" collapsed="false">
      <c r="A748" s="9"/>
      <c r="B748" s="10"/>
      <c r="C748" s="11"/>
      <c r="D748" s="11"/>
      <c r="E748" s="11"/>
      <c r="F748" s="11"/>
      <c r="G748" s="11"/>
    </row>
    <row r="749" customFormat="false" ht="15.75" hidden="false" customHeight="false" outlineLevel="0" collapsed="false">
      <c r="A749" s="9"/>
      <c r="B749" s="10"/>
      <c r="C749" s="11"/>
      <c r="D749" s="11"/>
      <c r="E749" s="11"/>
      <c r="F749" s="11"/>
      <c r="G749" s="11"/>
    </row>
    <row r="750" customFormat="false" ht="15.75" hidden="false" customHeight="false" outlineLevel="0" collapsed="false">
      <c r="A750" s="9"/>
      <c r="B750" s="10"/>
      <c r="C750" s="11"/>
      <c r="D750" s="11"/>
      <c r="E750" s="11"/>
      <c r="F750" s="11"/>
      <c r="G750" s="11"/>
    </row>
    <row r="751" customFormat="false" ht="15.75" hidden="false" customHeight="false" outlineLevel="0" collapsed="false">
      <c r="A751" s="9"/>
      <c r="B751" s="10"/>
      <c r="C751" s="11"/>
      <c r="D751" s="11"/>
      <c r="E751" s="11"/>
      <c r="F751" s="11"/>
      <c r="G751" s="11"/>
    </row>
    <row r="752" customFormat="false" ht="15.75" hidden="false" customHeight="false" outlineLevel="0" collapsed="false">
      <c r="A752" s="9"/>
      <c r="B752" s="10"/>
      <c r="C752" s="11"/>
      <c r="D752" s="11"/>
      <c r="E752" s="11"/>
      <c r="F752" s="11"/>
      <c r="G752" s="11"/>
    </row>
    <row r="753" customFormat="false" ht="15.75" hidden="false" customHeight="false" outlineLevel="0" collapsed="false">
      <c r="A753" s="9"/>
      <c r="B753" s="10"/>
      <c r="C753" s="11"/>
      <c r="D753" s="11"/>
      <c r="E753" s="11"/>
      <c r="F753" s="11"/>
      <c r="G753" s="11"/>
    </row>
    <row r="754" customFormat="false" ht="15.75" hidden="false" customHeight="false" outlineLevel="0" collapsed="false">
      <c r="A754" s="9"/>
      <c r="B754" s="10"/>
      <c r="C754" s="11"/>
      <c r="D754" s="11"/>
      <c r="E754" s="11"/>
      <c r="F754" s="11"/>
      <c r="G754" s="11"/>
    </row>
    <row r="755" customFormat="false" ht="15.75" hidden="false" customHeight="false" outlineLevel="0" collapsed="false">
      <c r="A755" s="9"/>
      <c r="B755" s="10"/>
      <c r="C755" s="11"/>
      <c r="D755" s="11"/>
      <c r="E755" s="11"/>
      <c r="F755" s="11"/>
      <c r="G755" s="11"/>
    </row>
    <row r="756" customFormat="false" ht="15.75" hidden="false" customHeight="false" outlineLevel="0" collapsed="false">
      <c r="A756" s="9"/>
      <c r="B756" s="10"/>
      <c r="C756" s="11"/>
      <c r="D756" s="11"/>
      <c r="E756" s="11"/>
      <c r="F756" s="11"/>
      <c r="G756" s="11"/>
    </row>
    <row r="757" customFormat="false" ht="15.75" hidden="false" customHeight="false" outlineLevel="0" collapsed="false">
      <c r="A757" s="9"/>
      <c r="B757" s="10"/>
      <c r="C757" s="11"/>
      <c r="D757" s="11"/>
      <c r="E757" s="11"/>
      <c r="F757" s="11"/>
      <c r="G757" s="11"/>
    </row>
    <row r="758" customFormat="false" ht="15.75" hidden="false" customHeight="false" outlineLevel="0" collapsed="false">
      <c r="A758" s="9"/>
      <c r="B758" s="10"/>
      <c r="C758" s="11"/>
      <c r="D758" s="11"/>
      <c r="E758" s="11"/>
      <c r="F758" s="11"/>
      <c r="G758" s="11"/>
    </row>
    <row r="759" customFormat="false" ht="15.75" hidden="false" customHeight="false" outlineLevel="0" collapsed="false">
      <c r="A759" s="9"/>
      <c r="B759" s="10"/>
      <c r="C759" s="11"/>
      <c r="D759" s="11"/>
      <c r="E759" s="11"/>
      <c r="F759" s="11"/>
      <c r="G759" s="11"/>
    </row>
    <row r="760" customFormat="false" ht="15.75" hidden="false" customHeight="false" outlineLevel="0" collapsed="false">
      <c r="A760" s="9"/>
      <c r="B760" s="10"/>
      <c r="C760" s="11"/>
      <c r="D760" s="11"/>
      <c r="E760" s="11"/>
      <c r="F760" s="11"/>
      <c r="G760" s="11"/>
    </row>
    <row r="761" customFormat="false" ht="15.75" hidden="false" customHeight="false" outlineLevel="0" collapsed="false">
      <c r="A761" s="9"/>
      <c r="B761" s="10"/>
      <c r="C761" s="11"/>
      <c r="D761" s="11"/>
      <c r="E761" s="11"/>
      <c r="F761" s="11"/>
      <c r="G761" s="11"/>
    </row>
    <row r="762" customFormat="false" ht="15.75" hidden="false" customHeight="false" outlineLevel="0" collapsed="false">
      <c r="A762" s="9"/>
      <c r="B762" s="10"/>
      <c r="C762" s="11"/>
      <c r="D762" s="11"/>
      <c r="E762" s="11"/>
      <c r="F762" s="11"/>
      <c r="G762" s="11"/>
    </row>
    <row r="763" customFormat="false" ht="15.75" hidden="false" customHeight="false" outlineLevel="0" collapsed="false">
      <c r="A763" s="9"/>
      <c r="B763" s="10"/>
      <c r="C763" s="11"/>
      <c r="D763" s="11"/>
      <c r="E763" s="11"/>
      <c r="F763" s="11"/>
      <c r="G763" s="11"/>
    </row>
    <row r="764" customFormat="false" ht="15.75" hidden="false" customHeight="false" outlineLevel="0" collapsed="false">
      <c r="A764" s="9"/>
      <c r="B764" s="10"/>
      <c r="C764" s="11"/>
      <c r="D764" s="11"/>
      <c r="E764" s="11"/>
      <c r="F764" s="11"/>
      <c r="G764" s="11"/>
    </row>
    <row r="765" customFormat="false" ht="15.75" hidden="false" customHeight="false" outlineLevel="0" collapsed="false">
      <c r="A765" s="9"/>
      <c r="B765" s="10"/>
      <c r="C765" s="11"/>
      <c r="D765" s="11"/>
      <c r="E765" s="11"/>
      <c r="F765" s="11"/>
      <c r="G765" s="11"/>
    </row>
    <row r="766" customFormat="false" ht="15.75" hidden="false" customHeight="false" outlineLevel="0" collapsed="false">
      <c r="A766" s="9"/>
      <c r="B766" s="10"/>
      <c r="C766" s="11"/>
      <c r="D766" s="11"/>
      <c r="E766" s="11"/>
      <c r="F766" s="11"/>
      <c r="G766" s="11"/>
    </row>
    <row r="767" customFormat="false" ht="15.75" hidden="false" customHeight="false" outlineLevel="0" collapsed="false">
      <c r="A767" s="9"/>
      <c r="B767" s="10"/>
      <c r="C767" s="11"/>
      <c r="D767" s="11"/>
      <c r="E767" s="11"/>
      <c r="F767" s="11"/>
      <c r="G767" s="11"/>
    </row>
    <row r="768" customFormat="false" ht="15.75" hidden="false" customHeight="false" outlineLevel="0" collapsed="false">
      <c r="A768" s="9"/>
      <c r="B768" s="10"/>
      <c r="C768" s="11"/>
      <c r="D768" s="11"/>
      <c r="E768" s="11"/>
      <c r="F768" s="11"/>
      <c r="G768" s="11"/>
    </row>
    <row r="769" customFormat="false" ht="15.75" hidden="false" customHeight="false" outlineLevel="0" collapsed="false">
      <c r="A769" s="9"/>
      <c r="B769" s="10"/>
      <c r="C769" s="11"/>
      <c r="D769" s="11"/>
      <c r="E769" s="11"/>
      <c r="F769" s="11"/>
      <c r="G769" s="11"/>
    </row>
    <row r="770" customFormat="false" ht="15.75" hidden="false" customHeight="false" outlineLevel="0" collapsed="false">
      <c r="A770" s="9"/>
      <c r="B770" s="10"/>
      <c r="C770" s="11"/>
      <c r="D770" s="11"/>
      <c r="E770" s="11"/>
      <c r="F770" s="11"/>
      <c r="G770" s="11"/>
    </row>
    <row r="771" customFormat="false" ht="15.75" hidden="false" customHeight="false" outlineLevel="0" collapsed="false">
      <c r="A771" s="9"/>
      <c r="B771" s="10"/>
      <c r="C771" s="11"/>
      <c r="D771" s="11"/>
      <c r="E771" s="11"/>
      <c r="F771" s="11"/>
      <c r="G771" s="11"/>
    </row>
    <row r="772" customFormat="false" ht="15.75" hidden="false" customHeight="false" outlineLevel="0" collapsed="false">
      <c r="A772" s="9"/>
      <c r="B772" s="10"/>
      <c r="C772" s="11"/>
      <c r="D772" s="11"/>
      <c r="E772" s="11"/>
      <c r="F772" s="11"/>
      <c r="G772" s="11"/>
    </row>
    <row r="773" customFormat="false" ht="15.75" hidden="false" customHeight="false" outlineLevel="0" collapsed="false">
      <c r="A773" s="9"/>
      <c r="B773" s="10"/>
      <c r="C773" s="11"/>
      <c r="D773" s="11"/>
      <c r="E773" s="11"/>
      <c r="F773" s="11"/>
      <c r="G773" s="11"/>
    </row>
    <row r="774" customFormat="false" ht="15.75" hidden="false" customHeight="false" outlineLevel="0" collapsed="false">
      <c r="A774" s="9"/>
      <c r="B774" s="10"/>
      <c r="C774" s="11"/>
      <c r="D774" s="11"/>
      <c r="E774" s="11"/>
      <c r="F774" s="11"/>
      <c r="G774" s="11"/>
    </row>
    <row r="775" customFormat="false" ht="15.75" hidden="false" customHeight="false" outlineLevel="0" collapsed="false">
      <c r="A775" s="9"/>
      <c r="B775" s="10"/>
      <c r="C775" s="11"/>
      <c r="D775" s="11"/>
      <c r="E775" s="11"/>
      <c r="F775" s="11"/>
      <c r="G775" s="11"/>
    </row>
    <row r="776" customFormat="false" ht="15.75" hidden="false" customHeight="false" outlineLevel="0" collapsed="false">
      <c r="A776" s="9"/>
      <c r="B776" s="10"/>
      <c r="C776" s="11"/>
      <c r="D776" s="11"/>
      <c r="E776" s="11"/>
      <c r="F776" s="11"/>
      <c r="G776" s="11"/>
    </row>
    <row r="777" customFormat="false" ht="15.75" hidden="false" customHeight="false" outlineLevel="0" collapsed="false">
      <c r="A777" s="9"/>
      <c r="B777" s="10"/>
      <c r="C777" s="11"/>
      <c r="D777" s="11"/>
      <c r="E777" s="11"/>
      <c r="F777" s="11"/>
      <c r="G777" s="11"/>
    </row>
    <row r="778" customFormat="false" ht="15.75" hidden="false" customHeight="false" outlineLevel="0" collapsed="false">
      <c r="A778" s="9"/>
      <c r="B778" s="10"/>
      <c r="C778" s="11"/>
      <c r="D778" s="11"/>
      <c r="E778" s="11"/>
      <c r="F778" s="11"/>
      <c r="G778" s="11"/>
    </row>
    <row r="779" customFormat="false" ht="15.75" hidden="false" customHeight="false" outlineLevel="0" collapsed="false">
      <c r="A779" s="9"/>
      <c r="B779" s="10"/>
      <c r="C779" s="11"/>
      <c r="D779" s="11"/>
      <c r="E779" s="11"/>
      <c r="F779" s="11"/>
      <c r="G779" s="11"/>
    </row>
    <row r="780" customFormat="false" ht="15.75" hidden="false" customHeight="false" outlineLevel="0" collapsed="false">
      <c r="A780" s="9"/>
      <c r="B780" s="10"/>
      <c r="C780" s="11"/>
      <c r="D780" s="11"/>
      <c r="E780" s="11"/>
      <c r="F780" s="11"/>
      <c r="G780" s="11"/>
    </row>
    <row r="781" customFormat="false" ht="15.75" hidden="false" customHeight="false" outlineLevel="0" collapsed="false">
      <c r="A781" s="9"/>
      <c r="B781" s="10"/>
      <c r="C781" s="11"/>
      <c r="D781" s="11"/>
      <c r="E781" s="11"/>
      <c r="F781" s="11"/>
      <c r="G781" s="11"/>
    </row>
    <row r="782" customFormat="false" ht="15.75" hidden="false" customHeight="false" outlineLevel="0" collapsed="false">
      <c r="A782" s="9"/>
      <c r="B782" s="10"/>
      <c r="C782" s="11"/>
      <c r="D782" s="11"/>
      <c r="E782" s="11"/>
      <c r="F782" s="11"/>
      <c r="G782" s="11"/>
    </row>
    <row r="783" customFormat="false" ht="15.75" hidden="false" customHeight="false" outlineLevel="0" collapsed="false">
      <c r="A783" s="9"/>
      <c r="B783" s="10"/>
      <c r="C783" s="11"/>
      <c r="D783" s="11"/>
      <c r="E783" s="11"/>
      <c r="F783" s="11"/>
      <c r="G783" s="11"/>
    </row>
    <row r="784" customFormat="false" ht="15.75" hidden="false" customHeight="false" outlineLevel="0" collapsed="false">
      <c r="A784" s="9"/>
      <c r="B784" s="10"/>
      <c r="C784" s="11"/>
      <c r="D784" s="11"/>
      <c r="E784" s="11"/>
      <c r="F784" s="11"/>
      <c r="G784" s="11"/>
    </row>
    <row r="785" customFormat="false" ht="15.75" hidden="false" customHeight="false" outlineLevel="0" collapsed="false">
      <c r="A785" s="9"/>
      <c r="B785" s="10"/>
      <c r="C785" s="11"/>
      <c r="D785" s="11"/>
      <c r="E785" s="11"/>
      <c r="F785" s="11"/>
      <c r="G785" s="11"/>
    </row>
    <row r="786" customFormat="false" ht="15.75" hidden="false" customHeight="false" outlineLevel="0" collapsed="false">
      <c r="A786" s="9"/>
      <c r="B786" s="10"/>
      <c r="C786" s="11"/>
      <c r="D786" s="11"/>
      <c r="E786" s="11"/>
      <c r="F786" s="11"/>
      <c r="G786" s="11"/>
    </row>
    <row r="787" customFormat="false" ht="15.75" hidden="false" customHeight="false" outlineLevel="0" collapsed="false">
      <c r="A787" s="9"/>
      <c r="B787" s="10"/>
      <c r="C787" s="11"/>
      <c r="D787" s="11"/>
      <c r="E787" s="11"/>
      <c r="F787" s="11"/>
      <c r="G787" s="11"/>
    </row>
    <row r="788" customFormat="false" ht="15.75" hidden="false" customHeight="false" outlineLevel="0" collapsed="false">
      <c r="A788" s="9"/>
      <c r="B788" s="10"/>
      <c r="C788" s="11"/>
      <c r="D788" s="11"/>
      <c r="E788" s="11"/>
      <c r="F788" s="11"/>
      <c r="G788" s="11"/>
    </row>
    <row r="789" customFormat="false" ht="15.75" hidden="false" customHeight="false" outlineLevel="0" collapsed="false">
      <c r="A789" s="9"/>
      <c r="B789" s="10"/>
      <c r="C789" s="11"/>
      <c r="D789" s="11"/>
      <c r="E789" s="11"/>
      <c r="F789" s="11"/>
      <c r="G789" s="11"/>
    </row>
    <row r="790" customFormat="false" ht="15.75" hidden="false" customHeight="false" outlineLevel="0" collapsed="false">
      <c r="A790" s="9"/>
      <c r="B790" s="10"/>
      <c r="C790" s="11"/>
      <c r="D790" s="11"/>
      <c r="E790" s="11"/>
      <c r="F790" s="11"/>
      <c r="G790" s="11"/>
    </row>
    <row r="791" customFormat="false" ht="15.75" hidden="false" customHeight="false" outlineLevel="0" collapsed="false">
      <c r="A791" s="9"/>
      <c r="B791" s="10"/>
      <c r="C791" s="11"/>
      <c r="D791" s="11"/>
      <c r="E791" s="11"/>
      <c r="F791" s="11"/>
      <c r="G791" s="11"/>
    </row>
    <row r="792" customFormat="false" ht="15.75" hidden="false" customHeight="false" outlineLevel="0" collapsed="false">
      <c r="A792" s="9"/>
      <c r="B792" s="10"/>
      <c r="C792" s="11"/>
      <c r="D792" s="11"/>
      <c r="E792" s="11"/>
      <c r="F792" s="11"/>
      <c r="G792" s="11"/>
    </row>
    <row r="793" customFormat="false" ht="15.75" hidden="false" customHeight="false" outlineLevel="0" collapsed="false">
      <c r="A793" s="9"/>
      <c r="B793" s="10"/>
      <c r="C793" s="11"/>
      <c r="D793" s="11"/>
      <c r="E793" s="11"/>
      <c r="F793" s="11"/>
      <c r="G793" s="11"/>
    </row>
    <row r="794" customFormat="false" ht="15.75" hidden="false" customHeight="false" outlineLevel="0" collapsed="false">
      <c r="A794" s="9"/>
      <c r="B794" s="10"/>
      <c r="C794" s="11"/>
      <c r="D794" s="11"/>
      <c r="E794" s="11"/>
      <c r="F794" s="11"/>
      <c r="G794" s="11"/>
    </row>
    <row r="795" customFormat="false" ht="15.75" hidden="false" customHeight="false" outlineLevel="0" collapsed="false">
      <c r="A795" s="9"/>
      <c r="B795" s="10"/>
      <c r="C795" s="11"/>
      <c r="D795" s="11"/>
      <c r="E795" s="11"/>
      <c r="F795" s="11"/>
      <c r="G795" s="11"/>
    </row>
    <row r="796" customFormat="false" ht="15.75" hidden="false" customHeight="false" outlineLevel="0" collapsed="false">
      <c r="A796" s="9"/>
      <c r="B796" s="10"/>
      <c r="C796" s="11"/>
      <c r="D796" s="11"/>
      <c r="E796" s="11"/>
      <c r="F796" s="11"/>
      <c r="G796" s="11"/>
    </row>
    <row r="797" customFormat="false" ht="15.75" hidden="false" customHeight="false" outlineLevel="0" collapsed="false">
      <c r="A797" s="9"/>
      <c r="B797" s="10"/>
      <c r="C797" s="11"/>
      <c r="D797" s="11"/>
      <c r="E797" s="11"/>
      <c r="F797" s="11"/>
      <c r="G797" s="11"/>
    </row>
    <row r="798" customFormat="false" ht="15.75" hidden="false" customHeight="false" outlineLevel="0" collapsed="false">
      <c r="A798" s="9"/>
      <c r="B798" s="10"/>
      <c r="C798" s="11"/>
      <c r="D798" s="11"/>
      <c r="E798" s="11"/>
      <c r="F798" s="11"/>
      <c r="G798" s="11"/>
    </row>
    <row r="799" customFormat="false" ht="15.75" hidden="false" customHeight="false" outlineLevel="0" collapsed="false">
      <c r="A799" s="9"/>
      <c r="B799" s="10"/>
      <c r="C799" s="11"/>
      <c r="D799" s="11"/>
      <c r="E799" s="11"/>
      <c r="F799" s="11"/>
      <c r="G799" s="11"/>
    </row>
    <row r="800" customFormat="false" ht="15.75" hidden="false" customHeight="false" outlineLevel="0" collapsed="false">
      <c r="A800" s="9"/>
      <c r="B800" s="10"/>
      <c r="C800" s="11"/>
      <c r="D800" s="11"/>
      <c r="E800" s="11"/>
      <c r="F800" s="11"/>
      <c r="G800" s="11"/>
    </row>
    <row r="801" customFormat="false" ht="15.75" hidden="false" customHeight="false" outlineLevel="0" collapsed="false">
      <c r="A801" s="9"/>
      <c r="B801" s="10"/>
      <c r="C801" s="11"/>
      <c r="D801" s="11"/>
      <c r="E801" s="11"/>
      <c r="F801" s="11"/>
      <c r="G801" s="11"/>
    </row>
    <row r="802" customFormat="false" ht="15.75" hidden="false" customHeight="false" outlineLevel="0" collapsed="false">
      <c r="A802" s="9"/>
      <c r="B802" s="10"/>
      <c r="C802" s="11"/>
      <c r="D802" s="11"/>
      <c r="E802" s="11"/>
      <c r="F802" s="11"/>
      <c r="G802" s="11"/>
    </row>
    <row r="803" customFormat="false" ht="15.75" hidden="false" customHeight="false" outlineLevel="0" collapsed="false">
      <c r="A803" s="9"/>
      <c r="B803" s="10"/>
      <c r="C803" s="11"/>
      <c r="D803" s="11"/>
      <c r="E803" s="11"/>
      <c r="F803" s="11"/>
      <c r="G803" s="11"/>
    </row>
    <row r="804" customFormat="false" ht="15.75" hidden="false" customHeight="false" outlineLevel="0" collapsed="false">
      <c r="A804" s="9"/>
      <c r="B804" s="10"/>
      <c r="C804" s="11"/>
      <c r="D804" s="11"/>
      <c r="E804" s="11"/>
      <c r="F804" s="11"/>
      <c r="G804" s="11"/>
    </row>
    <row r="805" customFormat="false" ht="15.75" hidden="false" customHeight="false" outlineLevel="0" collapsed="false">
      <c r="A805" s="9"/>
      <c r="B805" s="10"/>
      <c r="C805" s="11"/>
      <c r="D805" s="11"/>
      <c r="E805" s="11"/>
      <c r="F805" s="11"/>
      <c r="G805" s="11"/>
    </row>
    <row r="806" customFormat="false" ht="15.75" hidden="false" customHeight="false" outlineLevel="0" collapsed="false">
      <c r="A806" s="9"/>
      <c r="B806" s="10"/>
      <c r="C806" s="11"/>
      <c r="D806" s="11"/>
      <c r="E806" s="11"/>
      <c r="F806" s="11"/>
      <c r="G806" s="11"/>
    </row>
    <row r="807" customFormat="false" ht="15.75" hidden="false" customHeight="false" outlineLevel="0" collapsed="false">
      <c r="A807" s="9"/>
      <c r="B807" s="10"/>
      <c r="C807" s="11"/>
      <c r="D807" s="11"/>
      <c r="E807" s="11"/>
      <c r="F807" s="11"/>
      <c r="G807" s="11"/>
    </row>
    <row r="808" customFormat="false" ht="15.75" hidden="false" customHeight="false" outlineLevel="0" collapsed="false">
      <c r="A808" s="9"/>
      <c r="B808" s="10"/>
      <c r="C808" s="11"/>
      <c r="D808" s="11"/>
      <c r="E808" s="11"/>
      <c r="F808" s="11"/>
      <c r="G808" s="11"/>
    </row>
    <row r="809" customFormat="false" ht="15.75" hidden="false" customHeight="false" outlineLevel="0" collapsed="false">
      <c r="A809" s="9"/>
      <c r="B809" s="10"/>
      <c r="C809" s="11"/>
      <c r="D809" s="11"/>
      <c r="E809" s="11"/>
      <c r="F809" s="11"/>
      <c r="G809" s="11"/>
    </row>
    <row r="810" customFormat="false" ht="15.75" hidden="false" customHeight="false" outlineLevel="0" collapsed="false">
      <c r="A810" s="9"/>
      <c r="B810" s="10"/>
      <c r="C810" s="11"/>
      <c r="D810" s="11"/>
      <c r="E810" s="11"/>
      <c r="F810" s="11"/>
      <c r="G810" s="11"/>
    </row>
    <row r="811" customFormat="false" ht="15.75" hidden="false" customHeight="false" outlineLevel="0" collapsed="false">
      <c r="A811" s="9"/>
      <c r="B811" s="10"/>
      <c r="C811" s="11"/>
      <c r="D811" s="11"/>
      <c r="E811" s="11"/>
      <c r="F811" s="11"/>
      <c r="G811" s="11"/>
    </row>
    <row r="812" customFormat="false" ht="15.75" hidden="false" customHeight="false" outlineLevel="0" collapsed="false">
      <c r="A812" s="9"/>
      <c r="B812" s="10"/>
      <c r="C812" s="11"/>
      <c r="D812" s="11"/>
      <c r="E812" s="11"/>
      <c r="F812" s="11"/>
      <c r="G812" s="11"/>
    </row>
    <row r="813" customFormat="false" ht="15.75" hidden="false" customHeight="false" outlineLevel="0" collapsed="false">
      <c r="A813" s="9"/>
      <c r="B813" s="10"/>
      <c r="C813" s="11"/>
      <c r="D813" s="11"/>
      <c r="E813" s="11"/>
      <c r="F813" s="11"/>
      <c r="G813" s="11"/>
    </row>
    <row r="814" customFormat="false" ht="15.75" hidden="false" customHeight="false" outlineLevel="0" collapsed="false">
      <c r="A814" s="9"/>
      <c r="B814" s="10"/>
      <c r="C814" s="11"/>
      <c r="D814" s="11"/>
      <c r="E814" s="11"/>
      <c r="F814" s="11"/>
      <c r="G814" s="11"/>
    </row>
    <row r="815" customFormat="false" ht="15.75" hidden="false" customHeight="false" outlineLevel="0" collapsed="false">
      <c r="A815" s="9"/>
      <c r="B815" s="10"/>
      <c r="C815" s="11"/>
      <c r="D815" s="11"/>
      <c r="E815" s="11"/>
      <c r="F815" s="11"/>
      <c r="G815" s="11"/>
    </row>
    <row r="816" customFormat="false" ht="15.75" hidden="false" customHeight="false" outlineLevel="0" collapsed="false">
      <c r="A816" s="9"/>
      <c r="B816" s="10"/>
      <c r="C816" s="11"/>
      <c r="D816" s="11"/>
      <c r="E816" s="11"/>
      <c r="F816" s="11"/>
      <c r="G816" s="11"/>
    </row>
    <row r="817" customFormat="false" ht="15.75" hidden="false" customHeight="false" outlineLevel="0" collapsed="false">
      <c r="A817" s="9"/>
      <c r="B817" s="10"/>
      <c r="C817" s="11"/>
      <c r="D817" s="11"/>
      <c r="E817" s="11"/>
      <c r="F817" s="11"/>
      <c r="G817" s="11"/>
    </row>
    <row r="818" customFormat="false" ht="15.75" hidden="false" customHeight="false" outlineLevel="0" collapsed="false">
      <c r="A818" s="9"/>
      <c r="B818" s="10"/>
      <c r="C818" s="11"/>
      <c r="D818" s="11"/>
      <c r="E818" s="11"/>
      <c r="F818" s="11"/>
      <c r="G818" s="11"/>
    </row>
    <row r="819" customFormat="false" ht="15.75" hidden="false" customHeight="false" outlineLevel="0" collapsed="false">
      <c r="A819" s="9"/>
      <c r="B819" s="10"/>
      <c r="C819" s="11"/>
      <c r="D819" s="11"/>
      <c r="E819" s="11"/>
      <c r="F819" s="11"/>
      <c r="G819" s="11"/>
    </row>
    <row r="820" customFormat="false" ht="15.75" hidden="false" customHeight="false" outlineLevel="0" collapsed="false">
      <c r="A820" s="9"/>
      <c r="B820" s="10"/>
      <c r="C820" s="11"/>
      <c r="D820" s="11"/>
      <c r="E820" s="11"/>
      <c r="F820" s="11"/>
      <c r="G820" s="11"/>
    </row>
    <row r="821" customFormat="false" ht="15.75" hidden="false" customHeight="false" outlineLevel="0" collapsed="false">
      <c r="A821" s="9"/>
      <c r="B821" s="10"/>
      <c r="C821" s="11"/>
      <c r="D821" s="11"/>
      <c r="E821" s="11"/>
      <c r="F821" s="11"/>
      <c r="G821" s="11"/>
    </row>
    <row r="822" customFormat="false" ht="15.75" hidden="false" customHeight="false" outlineLevel="0" collapsed="false">
      <c r="A822" s="9"/>
      <c r="B822" s="10"/>
      <c r="C822" s="11"/>
      <c r="D822" s="11"/>
      <c r="E822" s="11"/>
      <c r="F822" s="11"/>
      <c r="G822" s="11"/>
    </row>
    <row r="823" customFormat="false" ht="15.75" hidden="false" customHeight="false" outlineLevel="0" collapsed="false">
      <c r="A823" s="9"/>
      <c r="B823" s="10"/>
      <c r="C823" s="11"/>
      <c r="D823" s="11"/>
      <c r="E823" s="11"/>
      <c r="F823" s="11"/>
      <c r="G823" s="11"/>
    </row>
    <row r="824" customFormat="false" ht="15.75" hidden="false" customHeight="false" outlineLevel="0" collapsed="false">
      <c r="A824" s="9"/>
      <c r="B824" s="10"/>
      <c r="C824" s="11"/>
      <c r="D824" s="11"/>
      <c r="E824" s="11"/>
      <c r="F824" s="11"/>
      <c r="G824" s="11"/>
    </row>
    <row r="825" customFormat="false" ht="15.75" hidden="false" customHeight="false" outlineLevel="0" collapsed="false">
      <c r="A825" s="9"/>
      <c r="B825" s="10"/>
      <c r="C825" s="11"/>
      <c r="D825" s="11"/>
      <c r="E825" s="11"/>
      <c r="F825" s="11"/>
      <c r="G825" s="11"/>
    </row>
    <row r="826" customFormat="false" ht="15.75" hidden="false" customHeight="false" outlineLevel="0" collapsed="false">
      <c r="A826" s="9"/>
      <c r="B826" s="10"/>
      <c r="C826" s="11"/>
      <c r="D826" s="11"/>
      <c r="E826" s="11"/>
      <c r="F826" s="11"/>
      <c r="G826" s="11"/>
    </row>
    <row r="827" customFormat="false" ht="15.75" hidden="false" customHeight="false" outlineLevel="0" collapsed="false">
      <c r="A827" s="9"/>
      <c r="B827" s="10"/>
      <c r="C827" s="11"/>
      <c r="D827" s="11"/>
      <c r="E827" s="11"/>
      <c r="F827" s="11"/>
      <c r="G827" s="11"/>
    </row>
    <row r="828" customFormat="false" ht="15.75" hidden="false" customHeight="false" outlineLevel="0" collapsed="false">
      <c r="A828" s="9"/>
      <c r="B828" s="10"/>
      <c r="C828" s="11"/>
      <c r="D828" s="11"/>
      <c r="E828" s="11"/>
      <c r="F828" s="11"/>
      <c r="G828" s="11"/>
    </row>
    <row r="829" customFormat="false" ht="15.75" hidden="false" customHeight="false" outlineLevel="0" collapsed="false">
      <c r="A829" s="9"/>
      <c r="B829" s="10"/>
      <c r="C829" s="11"/>
      <c r="D829" s="11"/>
      <c r="E829" s="11"/>
      <c r="F829" s="11"/>
      <c r="G829" s="11"/>
    </row>
    <row r="830" customFormat="false" ht="15.75" hidden="false" customHeight="false" outlineLevel="0" collapsed="false">
      <c r="A830" s="9"/>
      <c r="B830" s="10"/>
      <c r="C830" s="11"/>
      <c r="D830" s="11"/>
      <c r="E830" s="11"/>
      <c r="F830" s="11"/>
      <c r="G830" s="11"/>
    </row>
    <row r="831" customFormat="false" ht="15.75" hidden="false" customHeight="false" outlineLevel="0" collapsed="false">
      <c r="A831" s="9"/>
      <c r="B831" s="10"/>
      <c r="C831" s="11"/>
      <c r="D831" s="11"/>
      <c r="E831" s="11"/>
      <c r="F831" s="11"/>
      <c r="G831" s="11"/>
    </row>
    <row r="832" customFormat="false" ht="15.75" hidden="false" customHeight="false" outlineLevel="0" collapsed="false">
      <c r="A832" s="9"/>
      <c r="B832" s="10"/>
      <c r="C832" s="11"/>
      <c r="D832" s="11"/>
      <c r="E832" s="11"/>
      <c r="F832" s="11"/>
      <c r="G832" s="11"/>
    </row>
    <row r="833" customFormat="false" ht="15.75" hidden="false" customHeight="false" outlineLevel="0" collapsed="false">
      <c r="A833" s="9"/>
      <c r="B833" s="10"/>
      <c r="C833" s="11"/>
      <c r="D833" s="11"/>
      <c r="E833" s="11"/>
      <c r="F833" s="11"/>
      <c r="G833" s="11"/>
    </row>
    <row r="834" customFormat="false" ht="15.75" hidden="false" customHeight="false" outlineLevel="0" collapsed="false">
      <c r="A834" s="9"/>
      <c r="B834" s="10"/>
      <c r="C834" s="11"/>
      <c r="D834" s="11"/>
      <c r="E834" s="11"/>
      <c r="F834" s="11"/>
      <c r="G834" s="11"/>
    </row>
    <row r="835" customFormat="false" ht="15.75" hidden="false" customHeight="false" outlineLevel="0" collapsed="false">
      <c r="A835" s="9"/>
      <c r="B835" s="10"/>
      <c r="C835" s="11"/>
      <c r="D835" s="11"/>
      <c r="E835" s="11"/>
      <c r="F835" s="11"/>
      <c r="G835" s="11"/>
    </row>
    <row r="836" customFormat="false" ht="15.75" hidden="false" customHeight="false" outlineLevel="0" collapsed="false">
      <c r="A836" s="9"/>
      <c r="B836" s="10"/>
      <c r="C836" s="11"/>
      <c r="D836" s="11"/>
      <c r="E836" s="11"/>
      <c r="F836" s="11"/>
      <c r="G836" s="11"/>
    </row>
    <row r="837" customFormat="false" ht="15.75" hidden="false" customHeight="false" outlineLevel="0" collapsed="false">
      <c r="A837" s="9"/>
      <c r="B837" s="10"/>
      <c r="C837" s="11"/>
      <c r="D837" s="11"/>
      <c r="E837" s="11"/>
      <c r="F837" s="11"/>
      <c r="G837" s="11"/>
    </row>
    <row r="838" customFormat="false" ht="15.75" hidden="false" customHeight="false" outlineLevel="0" collapsed="false">
      <c r="A838" s="9"/>
      <c r="B838" s="10"/>
      <c r="C838" s="11"/>
      <c r="D838" s="11"/>
      <c r="E838" s="11"/>
      <c r="F838" s="11"/>
      <c r="G838" s="11"/>
    </row>
    <row r="839" customFormat="false" ht="15.75" hidden="false" customHeight="false" outlineLevel="0" collapsed="false">
      <c r="A839" s="9"/>
      <c r="B839" s="10"/>
      <c r="C839" s="11"/>
      <c r="D839" s="11"/>
      <c r="E839" s="11"/>
      <c r="F839" s="11"/>
      <c r="G839" s="11"/>
    </row>
    <row r="840" customFormat="false" ht="15.75" hidden="false" customHeight="false" outlineLevel="0" collapsed="false">
      <c r="A840" s="9"/>
      <c r="B840" s="10"/>
      <c r="C840" s="11"/>
      <c r="D840" s="11"/>
      <c r="E840" s="11"/>
      <c r="F840" s="11"/>
      <c r="G840" s="11"/>
    </row>
    <row r="841" customFormat="false" ht="15.75" hidden="false" customHeight="false" outlineLevel="0" collapsed="false">
      <c r="A841" s="9"/>
      <c r="B841" s="10"/>
      <c r="C841" s="11"/>
      <c r="D841" s="11"/>
      <c r="E841" s="11"/>
      <c r="F841" s="11"/>
      <c r="G841" s="11"/>
    </row>
    <row r="842" customFormat="false" ht="15.75" hidden="false" customHeight="false" outlineLevel="0" collapsed="false">
      <c r="A842" s="9"/>
      <c r="B842" s="10"/>
      <c r="C842" s="11"/>
      <c r="D842" s="11"/>
      <c r="E842" s="11"/>
      <c r="F842" s="11"/>
      <c r="G842" s="11"/>
    </row>
    <row r="843" customFormat="false" ht="15.75" hidden="false" customHeight="false" outlineLevel="0" collapsed="false">
      <c r="A843" s="9"/>
      <c r="B843" s="10"/>
      <c r="C843" s="11"/>
      <c r="D843" s="11"/>
      <c r="E843" s="11"/>
      <c r="F843" s="11"/>
      <c r="G843" s="11"/>
    </row>
    <row r="844" customFormat="false" ht="15.75" hidden="false" customHeight="false" outlineLevel="0" collapsed="false">
      <c r="A844" s="9"/>
      <c r="B844" s="10"/>
      <c r="C844" s="11"/>
      <c r="D844" s="11"/>
      <c r="E844" s="11"/>
      <c r="F844" s="11"/>
      <c r="G844" s="11"/>
    </row>
    <row r="845" customFormat="false" ht="15.75" hidden="false" customHeight="false" outlineLevel="0" collapsed="false">
      <c r="A845" s="9"/>
      <c r="B845" s="10"/>
      <c r="C845" s="11"/>
      <c r="D845" s="11"/>
      <c r="E845" s="11"/>
      <c r="F845" s="11"/>
      <c r="G845" s="11"/>
    </row>
    <row r="846" customFormat="false" ht="15.75" hidden="false" customHeight="false" outlineLevel="0" collapsed="false">
      <c r="A846" s="9"/>
      <c r="B846" s="10"/>
      <c r="C846" s="11"/>
      <c r="D846" s="11"/>
      <c r="E846" s="11"/>
      <c r="F846" s="11"/>
      <c r="G846" s="11"/>
    </row>
    <row r="847" customFormat="false" ht="15.75" hidden="false" customHeight="false" outlineLevel="0" collapsed="false">
      <c r="A847" s="9"/>
      <c r="B847" s="10"/>
      <c r="C847" s="11"/>
      <c r="D847" s="11"/>
      <c r="E847" s="11"/>
      <c r="F847" s="11"/>
      <c r="G847" s="11"/>
    </row>
    <row r="848" customFormat="false" ht="15.75" hidden="false" customHeight="false" outlineLevel="0" collapsed="false">
      <c r="A848" s="9"/>
      <c r="B848" s="10"/>
      <c r="C848" s="11"/>
      <c r="D848" s="11"/>
      <c r="E848" s="11"/>
      <c r="F848" s="11"/>
      <c r="G848" s="11"/>
    </row>
    <row r="849" customFormat="false" ht="15.75" hidden="false" customHeight="false" outlineLevel="0" collapsed="false">
      <c r="A849" s="9"/>
      <c r="B849" s="10"/>
      <c r="C849" s="11"/>
      <c r="D849" s="11"/>
      <c r="E849" s="11"/>
      <c r="F849" s="11"/>
      <c r="G849" s="11"/>
    </row>
    <row r="850" customFormat="false" ht="15.75" hidden="false" customHeight="false" outlineLevel="0" collapsed="false">
      <c r="A850" s="9"/>
      <c r="B850" s="10"/>
      <c r="C850" s="11"/>
      <c r="D850" s="11"/>
      <c r="E850" s="11"/>
      <c r="F850" s="11"/>
      <c r="G850" s="11"/>
    </row>
    <row r="851" customFormat="false" ht="15.75" hidden="false" customHeight="false" outlineLevel="0" collapsed="false">
      <c r="A851" s="9"/>
      <c r="B851" s="10"/>
      <c r="C851" s="11"/>
      <c r="D851" s="11"/>
      <c r="E851" s="11"/>
      <c r="F851" s="11"/>
      <c r="G851" s="11"/>
    </row>
    <row r="852" customFormat="false" ht="15.75" hidden="false" customHeight="false" outlineLevel="0" collapsed="false">
      <c r="A852" s="9"/>
      <c r="B852" s="10"/>
      <c r="C852" s="11"/>
      <c r="D852" s="11"/>
      <c r="E852" s="11"/>
      <c r="F852" s="11"/>
      <c r="G852" s="11"/>
    </row>
    <row r="853" customFormat="false" ht="15.75" hidden="false" customHeight="false" outlineLevel="0" collapsed="false">
      <c r="A853" s="9"/>
      <c r="B853" s="10"/>
      <c r="C853" s="11"/>
      <c r="D853" s="11"/>
      <c r="E853" s="11"/>
      <c r="F853" s="11"/>
      <c r="G853" s="11"/>
    </row>
    <row r="854" customFormat="false" ht="15.75" hidden="false" customHeight="false" outlineLevel="0" collapsed="false">
      <c r="A854" s="9"/>
      <c r="B854" s="10"/>
      <c r="C854" s="11"/>
      <c r="D854" s="11"/>
      <c r="E854" s="11"/>
      <c r="F854" s="11"/>
      <c r="G854" s="11"/>
    </row>
    <row r="855" customFormat="false" ht="15.75" hidden="false" customHeight="false" outlineLevel="0" collapsed="false">
      <c r="A855" s="9"/>
      <c r="B855" s="10"/>
      <c r="C855" s="11"/>
      <c r="D855" s="11"/>
      <c r="E855" s="11"/>
      <c r="F855" s="11"/>
      <c r="G855" s="11"/>
    </row>
    <row r="856" customFormat="false" ht="15.75" hidden="false" customHeight="false" outlineLevel="0" collapsed="false">
      <c r="A856" s="9"/>
      <c r="B856" s="10"/>
      <c r="C856" s="11"/>
      <c r="D856" s="11"/>
      <c r="E856" s="11"/>
      <c r="F856" s="11"/>
      <c r="G856" s="11"/>
    </row>
    <row r="857" customFormat="false" ht="15.75" hidden="false" customHeight="false" outlineLevel="0" collapsed="false">
      <c r="A857" s="9"/>
      <c r="B857" s="10"/>
      <c r="C857" s="11"/>
      <c r="D857" s="11"/>
      <c r="E857" s="11"/>
      <c r="F857" s="11"/>
      <c r="G857" s="11"/>
    </row>
    <row r="858" customFormat="false" ht="15.75" hidden="false" customHeight="false" outlineLevel="0" collapsed="false">
      <c r="A858" s="9"/>
      <c r="B858" s="10"/>
      <c r="C858" s="11"/>
      <c r="D858" s="11"/>
      <c r="E858" s="11"/>
      <c r="F858" s="11"/>
      <c r="G858" s="11"/>
    </row>
    <row r="859" customFormat="false" ht="15.75" hidden="false" customHeight="false" outlineLevel="0" collapsed="false">
      <c r="A859" s="9"/>
      <c r="B859" s="10"/>
      <c r="C859" s="11"/>
      <c r="D859" s="11"/>
      <c r="E859" s="11"/>
      <c r="F859" s="11"/>
      <c r="G859" s="11"/>
    </row>
    <row r="860" customFormat="false" ht="15.75" hidden="false" customHeight="false" outlineLevel="0" collapsed="false">
      <c r="A860" s="9"/>
      <c r="B860" s="10"/>
      <c r="C860" s="11"/>
      <c r="D860" s="11"/>
      <c r="E860" s="11"/>
      <c r="F860" s="11"/>
      <c r="G860" s="11"/>
    </row>
    <row r="861" customFormat="false" ht="15.75" hidden="false" customHeight="false" outlineLevel="0" collapsed="false">
      <c r="A861" s="9"/>
      <c r="B861" s="10"/>
      <c r="C861" s="11"/>
      <c r="D861" s="11"/>
      <c r="E861" s="11"/>
      <c r="F861" s="11"/>
      <c r="G861" s="11"/>
    </row>
    <row r="862" customFormat="false" ht="15.75" hidden="false" customHeight="false" outlineLevel="0" collapsed="false">
      <c r="A862" s="9"/>
      <c r="B862" s="10"/>
      <c r="C862" s="11"/>
      <c r="D862" s="11"/>
      <c r="E862" s="11"/>
      <c r="F862" s="11"/>
      <c r="G862" s="11"/>
    </row>
    <row r="863" customFormat="false" ht="15.75" hidden="false" customHeight="false" outlineLevel="0" collapsed="false">
      <c r="A863" s="9"/>
      <c r="B863" s="10"/>
      <c r="C863" s="11"/>
      <c r="D863" s="11"/>
      <c r="E863" s="11"/>
      <c r="F863" s="11"/>
      <c r="G863" s="11"/>
    </row>
    <row r="864" customFormat="false" ht="15.75" hidden="false" customHeight="false" outlineLevel="0" collapsed="false">
      <c r="A864" s="9"/>
      <c r="B864" s="10"/>
      <c r="C864" s="11"/>
      <c r="D864" s="11"/>
      <c r="E864" s="11"/>
      <c r="F864" s="11"/>
      <c r="G864" s="11"/>
    </row>
    <row r="865" customFormat="false" ht="15.75" hidden="false" customHeight="false" outlineLevel="0" collapsed="false">
      <c r="A865" s="9"/>
      <c r="B865" s="10"/>
      <c r="C865" s="11"/>
      <c r="D865" s="11"/>
      <c r="E865" s="11"/>
      <c r="F865" s="11"/>
      <c r="G865" s="11"/>
    </row>
    <row r="866" customFormat="false" ht="15.75" hidden="false" customHeight="false" outlineLevel="0" collapsed="false">
      <c r="A866" s="9"/>
      <c r="B866" s="10"/>
      <c r="C866" s="11"/>
      <c r="D866" s="11"/>
      <c r="E866" s="11"/>
      <c r="F866" s="11"/>
      <c r="G866" s="11"/>
    </row>
    <row r="867" customFormat="false" ht="15.75" hidden="false" customHeight="false" outlineLevel="0" collapsed="false">
      <c r="A867" s="9"/>
      <c r="B867" s="10"/>
      <c r="C867" s="11"/>
      <c r="D867" s="11"/>
      <c r="E867" s="11"/>
      <c r="F867" s="11"/>
      <c r="G867" s="11"/>
    </row>
    <row r="868" customFormat="false" ht="15.75" hidden="false" customHeight="false" outlineLevel="0" collapsed="false">
      <c r="A868" s="9"/>
      <c r="B868" s="10"/>
      <c r="C868" s="11"/>
      <c r="D868" s="11"/>
      <c r="E868" s="11"/>
      <c r="F868" s="11"/>
      <c r="G868" s="11"/>
    </row>
    <row r="869" customFormat="false" ht="15.75" hidden="false" customHeight="false" outlineLevel="0" collapsed="false">
      <c r="A869" s="9"/>
      <c r="B869" s="10"/>
      <c r="C869" s="11"/>
      <c r="D869" s="11"/>
      <c r="E869" s="11"/>
      <c r="F869" s="11"/>
      <c r="G869" s="11"/>
    </row>
    <row r="870" customFormat="false" ht="15.75" hidden="false" customHeight="false" outlineLevel="0" collapsed="false">
      <c r="A870" s="9"/>
      <c r="B870" s="10"/>
      <c r="C870" s="11"/>
      <c r="D870" s="11"/>
      <c r="E870" s="11"/>
      <c r="F870" s="11"/>
      <c r="G870" s="11"/>
    </row>
    <row r="871" customFormat="false" ht="15.75" hidden="false" customHeight="false" outlineLevel="0" collapsed="false">
      <c r="A871" s="9"/>
      <c r="B871" s="10"/>
      <c r="C871" s="11"/>
      <c r="D871" s="11"/>
      <c r="E871" s="11"/>
      <c r="F871" s="11"/>
      <c r="G871" s="11"/>
    </row>
    <row r="872" customFormat="false" ht="15.75" hidden="false" customHeight="false" outlineLevel="0" collapsed="false">
      <c r="A872" s="9"/>
      <c r="B872" s="10"/>
      <c r="C872" s="11"/>
      <c r="D872" s="11"/>
      <c r="E872" s="11"/>
      <c r="F872" s="11"/>
      <c r="G872" s="11"/>
    </row>
    <row r="873" customFormat="false" ht="15.75" hidden="false" customHeight="false" outlineLevel="0" collapsed="false">
      <c r="A873" s="9"/>
      <c r="B873" s="10"/>
      <c r="C873" s="11"/>
      <c r="D873" s="11"/>
      <c r="E873" s="11"/>
      <c r="F873" s="11"/>
      <c r="G873" s="11"/>
    </row>
    <row r="874" customFormat="false" ht="15.75" hidden="false" customHeight="false" outlineLevel="0" collapsed="false">
      <c r="A874" s="9"/>
      <c r="B874" s="10"/>
      <c r="C874" s="11"/>
      <c r="D874" s="11"/>
      <c r="E874" s="11"/>
      <c r="F874" s="11"/>
      <c r="G874" s="11"/>
    </row>
    <row r="875" customFormat="false" ht="15.75" hidden="false" customHeight="false" outlineLevel="0" collapsed="false">
      <c r="A875" s="9"/>
      <c r="B875" s="10"/>
      <c r="C875" s="11"/>
      <c r="D875" s="11"/>
      <c r="E875" s="11"/>
      <c r="F875" s="11"/>
      <c r="G875" s="11"/>
    </row>
    <row r="876" customFormat="false" ht="15.75" hidden="false" customHeight="false" outlineLevel="0" collapsed="false">
      <c r="A876" s="9"/>
      <c r="B876" s="10"/>
      <c r="C876" s="11"/>
      <c r="D876" s="11"/>
      <c r="E876" s="11"/>
      <c r="F876" s="11"/>
      <c r="G876" s="11"/>
    </row>
    <row r="877" customFormat="false" ht="15.75" hidden="false" customHeight="false" outlineLevel="0" collapsed="false">
      <c r="A877" s="9"/>
      <c r="B877" s="10"/>
      <c r="C877" s="11"/>
      <c r="D877" s="11"/>
      <c r="E877" s="11"/>
      <c r="F877" s="11"/>
      <c r="G877" s="11"/>
    </row>
    <row r="878" customFormat="false" ht="15.75" hidden="false" customHeight="false" outlineLevel="0" collapsed="false">
      <c r="A878" s="9"/>
      <c r="B878" s="10"/>
      <c r="C878" s="11"/>
      <c r="D878" s="11"/>
      <c r="E878" s="11"/>
      <c r="F878" s="11"/>
      <c r="G878" s="11"/>
    </row>
    <row r="879" customFormat="false" ht="15.75" hidden="false" customHeight="false" outlineLevel="0" collapsed="false">
      <c r="A879" s="9"/>
      <c r="B879" s="10"/>
      <c r="C879" s="11"/>
      <c r="D879" s="11"/>
      <c r="E879" s="11"/>
      <c r="F879" s="11"/>
      <c r="G879" s="11"/>
    </row>
    <row r="880" customFormat="false" ht="15.75" hidden="false" customHeight="false" outlineLevel="0" collapsed="false">
      <c r="A880" s="9"/>
      <c r="B880" s="10"/>
      <c r="C880" s="11"/>
      <c r="D880" s="11"/>
      <c r="E880" s="11"/>
      <c r="F880" s="11"/>
      <c r="G880" s="11"/>
    </row>
    <row r="881" customFormat="false" ht="15.75" hidden="false" customHeight="false" outlineLevel="0" collapsed="false">
      <c r="A881" s="9"/>
      <c r="B881" s="10"/>
      <c r="C881" s="11"/>
      <c r="D881" s="11"/>
      <c r="E881" s="11"/>
      <c r="F881" s="11"/>
      <c r="G881" s="11"/>
    </row>
    <row r="882" customFormat="false" ht="15.75" hidden="false" customHeight="false" outlineLevel="0" collapsed="false">
      <c r="A882" s="9"/>
      <c r="B882" s="10"/>
      <c r="C882" s="11"/>
      <c r="D882" s="11"/>
      <c r="E882" s="11"/>
      <c r="F882" s="11"/>
      <c r="G882" s="11"/>
    </row>
    <row r="883" customFormat="false" ht="15.75" hidden="false" customHeight="false" outlineLevel="0" collapsed="false">
      <c r="A883" s="9"/>
      <c r="B883" s="10"/>
      <c r="C883" s="11"/>
      <c r="D883" s="11"/>
      <c r="E883" s="11"/>
      <c r="F883" s="11"/>
      <c r="G883" s="11"/>
    </row>
    <row r="884" customFormat="false" ht="15.75" hidden="false" customHeight="false" outlineLevel="0" collapsed="false">
      <c r="A884" s="9"/>
      <c r="B884" s="10"/>
      <c r="C884" s="11"/>
      <c r="D884" s="11"/>
      <c r="E884" s="11"/>
      <c r="F884" s="11"/>
      <c r="G884" s="11"/>
    </row>
    <row r="885" customFormat="false" ht="15.75" hidden="false" customHeight="false" outlineLevel="0" collapsed="false">
      <c r="A885" s="9"/>
      <c r="B885" s="10"/>
      <c r="C885" s="11"/>
      <c r="D885" s="11"/>
      <c r="E885" s="11"/>
      <c r="F885" s="11"/>
      <c r="G885" s="11"/>
    </row>
    <row r="886" customFormat="false" ht="15.75" hidden="false" customHeight="false" outlineLevel="0" collapsed="false">
      <c r="A886" s="9"/>
      <c r="B886" s="10"/>
      <c r="C886" s="11"/>
      <c r="D886" s="11"/>
      <c r="E886" s="11"/>
      <c r="F886" s="11"/>
      <c r="G886" s="11"/>
    </row>
    <row r="887" customFormat="false" ht="15.75" hidden="false" customHeight="false" outlineLevel="0" collapsed="false">
      <c r="A887" s="9"/>
      <c r="B887" s="10"/>
      <c r="C887" s="11"/>
      <c r="D887" s="11"/>
      <c r="E887" s="11"/>
      <c r="F887" s="11"/>
      <c r="G887" s="11"/>
    </row>
    <row r="888" customFormat="false" ht="15.75" hidden="false" customHeight="false" outlineLevel="0" collapsed="false">
      <c r="A888" s="9"/>
      <c r="B888" s="10"/>
      <c r="C888" s="11"/>
      <c r="D888" s="11"/>
      <c r="E888" s="11"/>
      <c r="F888" s="11"/>
      <c r="G888" s="11"/>
    </row>
    <row r="889" customFormat="false" ht="15.75" hidden="false" customHeight="false" outlineLevel="0" collapsed="false">
      <c r="A889" s="9"/>
      <c r="B889" s="10"/>
      <c r="C889" s="11"/>
      <c r="D889" s="11"/>
      <c r="E889" s="11"/>
      <c r="F889" s="11"/>
      <c r="G889" s="11"/>
    </row>
    <row r="890" customFormat="false" ht="15.75" hidden="false" customHeight="false" outlineLevel="0" collapsed="false">
      <c r="A890" s="9"/>
      <c r="B890" s="10"/>
      <c r="C890" s="11"/>
      <c r="D890" s="11"/>
      <c r="E890" s="11"/>
      <c r="F890" s="11"/>
      <c r="G890" s="11"/>
    </row>
    <row r="891" customFormat="false" ht="15.75" hidden="false" customHeight="false" outlineLevel="0" collapsed="false">
      <c r="A891" s="9"/>
      <c r="B891" s="10"/>
      <c r="C891" s="11"/>
      <c r="D891" s="11"/>
      <c r="E891" s="11"/>
      <c r="F891" s="11"/>
      <c r="G891" s="11"/>
    </row>
    <row r="892" customFormat="false" ht="15.75" hidden="false" customHeight="false" outlineLevel="0" collapsed="false">
      <c r="A892" s="9"/>
      <c r="B892" s="10"/>
      <c r="C892" s="11"/>
      <c r="D892" s="11"/>
      <c r="E892" s="11"/>
      <c r="F892" s="11"/>
      <c r="G892" s="11"/>
    </row>
    <row r="893" customFormat="false" ht="15.75" hidden="false" customHeight="false" outlineLevel="0" collapsed="false">
      <c r="A893" s="9"/>
      <c r="B893" s="10"/>
      <c r="C893" s="11"/>
      <c r="D893" s="11"/>
      <c r="E893" s="11"/>
      <c r="F893" s="11"/>
      <c r="G893" s="11"/>
    </row>
    <row r="894" customFormat="false" ht="15.75" hidden="false" customHeight="false" outlineLevel="0" collapsed="false">
      <c r="A894" s="9"/>
      <c r="B894" s="10"/>
      <c r="C894" s="11"/>
      <c r="D894" s="11"/>
      <c r="E894" s="11"/>
      <c r="F894" s="11"/>
      <c r="G894" s="11"/>
    </row>
    <row r="895" customFormat="false" ht="15.75" hidden="false" customHeight="false" outlineLevel="0" collapsed="false">
      <c r="A895" s="9"/>
      <c r="B895" s="10"/>
      <c r="C895" s="11"/>
      <c r="D895" s="11"/>
      <c r="E895" s="11"/>
      <c r="F895" s="11"/>
      <c r="G895" s="11"/>
    </row>
    <row r="896" customFormat="false" ht="15.75" hidden="false" customHeight="false" outlineLevel="0" collapsed="false">
      <c r="A896" s="9"/>
      <c r="B896" s="10"/>
      <c r="C896" s="11"/>
      <c r="D896" s="11"/>
      <c r="E896" s="11"/>
      <c r="F896" s="11"/>
      <c r="G896" s="11"/>
    </row>
    <row r="897" customFormat="false" ht="15.75" hidden="false" customHeight="false" outlineLevel="0" collapsed="false">
      <c r="A897" s="9"/>
      <c r="B897" s="10"/>
      <c r="C897" s="11"/>
      <c r="D897" s="11"/>
      <c r="E897" s="11"/>
      <c r="F897" s="11"/>
      <c r="G897" s="11"/>
    </row>
    <row r="898" customFormat="false" ht="15.75" hidden="false" customHeight="false" outlineLevel="0" collapsed="false">
      <c r="A898" s="9"/>
      <c r="B898" s="10"/>
      <c r="C898" s="11"/>
      <c r="D898" s="11"/>
      <c r="E898" s="11"/>
      <c r="F898" s="11"/>
      <c r="G898" s="11"/>
    </row>
    <row r="899" customFormat="false" ht="15.75" hidden="false" customHeight="false" outlineLevel="0" collapsed="false">
      <c r="A899" s="9"/>
      <c r="B899" s="10"/>
      <c r="C899" s="11"/>
      <c r="D899" s="11"/>
      <c r="E899" s="11"/>
      <c r="F899" s="11"/>
      <c r="G899" s="11"/>
    </row>
    <row r="900" customFormat="false" ht="15.75" hidden="false" customHeight="false" outlineLevel="0" collapsed="false">
      <c r="A900" s="9"/>
      <c r="B900" s="10"/>
      <c r="C900" s="11"/>
      <c r="D900" s="11"/>
      <c r="E900" s="11"/>
      <c r="F900" s="11"/>
      <c r="G900" s="11"/>
    </row>
    <row r="901" customFormat="false" ht="15.75" hidden="false" customHeight="false" outlineLevel="0" collapsed="false">
      <c r="A901" s="9"/>
      <c r="B901" s="10"/>
      <c r="C901" s="11"/>
      <c r="D901" s="11"/>
      <c r="E901" s="11"/>
      <c r="F901" s="11"/>
      <c r="G901" s="11"/>
    </row>
    <row r="902" customFormat="false" ht="15.75" hidden="false" customHeight="false" outlineLevel="0" collapsed="false">
      <c r="A902" s="9"/>
      <c r="B902" s="10"/>
      <c r="C902" s="11"/>
      <c r="D902" s="11"/>
      <c r="E902" s="11"/>
      <c r="F902" s="11"/>
      <c r="G902" s="11"/>
    </row>
    <row r="903" customFormat="false" ht="15.75" hidden="false" customHeight="false" outlineLevel="0" collapsed="false">
      <c r="A903" s="9"/>
      <c r="B903" s="10"/>
      <c r="C903" s="11"/>
      <c r="D903" s="11"/>
      <c r="E903" s="11"/>
      <c r="F903" s="11"/>
      <c r="G903" s="11"/>
    </row>
    <row r="904" customFormat="false" ht="15.75" hidden="false" customHeight="false" outlineLevel="0" collapsed="false">
      <c r="A904" s="9"/>
      <c r="B904" s="10"/>
      <c r="C904" s="11"/>
      <c r="D904" s="11"/>
      <c r="E904" s="11"/>
      <c r="F904" s="11"/>
      <c r="G904" s="11"/>
    </row>
    <row r="905" customFormat="false" ht="15.75" hidden="false" customHeight="false" outlineLevel="0" collapsed="false">
      <c r="A905" s="9"/>
      <c r="B905" s="10"/>
      <c r="C905" s="11"/>
      <c r="D905" s="11"/>
      <c r="E905" s="11"/>
      <c r="F905" s="11"/>
      <c r="G905" s="11"/>
    </row>
    <row r="906" customFormat="false" ht="15.75" hidden="false" customHeight="false" outlineLevel="0" collapsed="false">
      <c r="A906" s="9"/>
      <c r="B906" s="10"/>
      <c r="C906" s="11"/>
      <c r="D906" s="11"/>
      <c r="E906" s="11"/>
      <c r="F906" s="11"/>
      <c r="G906" s="11"/>
    </row>
    <row r="907" customFormat="false" ht="15.75" hidden="false" customHeight="false" outlineLevel="0" collapsed="false">
      <c r="A907" s="9"/>
      <c r="B907" s="10"/>
      <c r="C907" s="11"/>
      <c r="D907" s="11"/>
      <c r="E907" s="11"/>
      <c r="F907" s="11"/>
      <c r="G907" s="11"/>
    </row>
    <row r="908" customFormat="false" ht="15.75" hidden="false" customHeight="false" outlineLevel="0" collapsed="false">
      <c r="A908" s="9"/>
      <c r="B908" s="10"/>
      <c r="C908" s="11"/>
      <c r="D908" s="11"/>
      <c r="E908" s="11"/>
      <c r="F908" s="11"/>
      <c r="G908" s="11"/>
    </row>
    <row r="909" customFormat="false" ht="15.75" hidden="false" customHeight="false" outlineLevel="0" collapsed="false">
      <c r="A909" s="9"/>
      <c r="B909" s="10"/>
      <c r="C909" s="11"/>
      <c r="D909" s="11"/>
      <c r="E909" s="11"/>
      <c r="F909" s="11"/>
      <c r="G909" s="11"/>
    </row>
    <row r="910" customFormat="false" ht="15.75" hidden="false" customHeight="false" outlineLevel="0" collapsed="false">
      <c r="A910" s="9"/>
      <c r="B910" s="10"/>
      <c r="C910" s="11"/>
      <c r="D910" s="11"/>
      <c r="E910" s="11"/>
      <c r="F910" s="11"/>
      <c r="G910" s="11"/>
    </row>
    <row r="911" customFormat="false" ht="15.75" hidden="false" customHeight="false" outlineLevel="0" collapsed="false">
      <c r="A911" s="9"/>
      <c r="B911" s="10"/>
      <c r="C911" s="11"/>
      <c r="D911" s="11"/>
      <c r="E911" s="11"/>
      <c r="F911" s="11"/>
      <c r="G911" s="11"/>
    </row>
    <row r="912" customFormat="false" ht="15.75" hidden="false" customHeight="false" outlineLevel="0" collapsed="false">
      <c r="A912" s="9"/>
      <c r="B912" s="10"/>
      <c r="C912" s="11"/>
      <c r="D912" s="11"/>
      <c r="E912" s="11"/>
      <c r="F912" s="11"/>
      <c r="G912" s="11"/>
    </row>
    <row r="913" customFormat="false" ht="15.75" hidden="false" customHeight="false" outlineLevel="0" collapsed="false">
      <c r="A913" s="9"/>
      <c r="B913" s="10"/>
      <c r="C913" s="11"/>
      <c r="D913" s="11"/>
      <c r="E913" s="11"/>
      <c r="F913" s="11"/>
      <c r="G913" s="11"/>
    </row>
    <row r="914" customFormat="false" ht="15.75" hidden="false" customHeight="false" outlineLevel="0" collapsed="false">
      <c r="A914" s="9"/>
      <c r="B914" s="10"/>
      <c r="C914" s="11"/>
      <c r="D914" s="11"/>
      <c r="E914" s="11"/>
      <c r="F914" s="11"/>
      <c r="G914" s="11"/>
    </row>
    <row r="915" customFormat="false" ht="15.75" hidden="false" customHeight="false" outlineLevel="0" collapsed="false">
      <c r="A915" s="9"/>
      <c r="B915" s="10"/>
      <c r="C915" s="11"/>
      <c r="D915" s="11"/>
      <c r="E915" s="11"/>
      <c r="F915" s="11"/>
      <c r="G915" s="11"/>
    </row>
    <row r="916" customFormat="false" ht="15.75" hidden="false" customHeight="false" outlineLevel="0" collapsed="false">
      <c r="A916" s="9"/>
      <c r="B916" s="10"/>
      <c r="C916" s="11"/>
      <c r="D916" s="11"/>
      <c r="E916" s="11"/>
      <c r="F916" s="11"/>
      <c r="G916" s="11"/>
    </row>
    <row r="917" customFormat="false" ht="15.75" hidden="false" customHeight="false" outlineLevel="0" collapsed="false">
      <c r="A917" s="9"/>
      <c r="B917" s="10"/>
      <c r="C917" s="11"/>
      <c r="D917" s="11"/>
      <c r="E917" s="11"/>
      <c r="F917" s="11"/>
      <c r="G917" s="11"/>
    </row>
    <row r="918" customFormat="false" ht="15.75" hidden="false" customHeight="false" outlineLevel="0" collapsed="false">
      <c r="A918" s="9"/>
      <c r="B918" s="10"/>
      <c r="C918" s="11"/>
      <c r="D918" s="11"/>
      <c r="E918" s="11"/>
      <c r="F918" s="11"/>
      <c r="G918" s="11"/>
    </row>
    <row r="919" customFormat="false" ht="15.75" hidden="false" customHeight="false" outlineLevel="0" collapsed="false">
      <c r="A919" s="9"/>
      <c r="B919" s="10"/>
      <c r="C919" s="11"/>
      <c r="D919" s="11"/>
      <c r="E919" s="11"/>
      <c r="F919" s="11"/>
      <c r="G919" s="11"/>
    </row>
    <row r="920" customFormat="false" ht="15.75" hidden="false" customHeight="false" outlineLevel="0" collapsed="false">
      <c r="A920" s="9"/>
      <c r="B920" s="10"/>
      <c r="C920" s="11"/>
      <c r="D920" s="11"/>
      <c r="E920" s="11"/>
      <c r="F920" s="11"/>
      <c r="G920" s="11"/>
    </row>
    <row r="921" customFormat="false" ht="15.75" hidden="false" customHeight="false" outlineLevel="0" collapsed="false">
      <c r="A921" s="9"/>
      <c r="B921" s="10"/>
      <c r="C921" s="11"/>
      <c r="D921" s="11"/>
      <c r="E921" s="11"/>
      <c r="F921" s="11"/>
      <c r="G921" s="11"/>
    </row>
    <row r="922" customFormat="false" ht="15.75" hidden="false" customHeight="false" outlineLevel="0" collapsed="false">
      <c r="A922" s="9"/>
      <c r="B922" s="10"/>
      <c r="C922" s="11"/>
      <c r="D922" s="11"/>
      <c r="E922" s="11"/>
      <c r="F922" s="11"/>
      <c r="G922" s="11"/>
    </row>
    <row r="923" customFormat="false" ht="15.75" hidden="false" customHeight="false" outlineLevel="0" collapsed="false">
      <c r="A923" s="9"/>
      <c r="B923" s="10"/>
      <c r="C923" s="11"/>
      <c r="D923" s="11"/>
      <c r="E923" s="11"/>
      <c r="F923" s="11"/>
      <c r="G923" s="11"/>
    </row>
    <row r="924" customFormat="false" ht="15.75" hidden="false" customHeight="false" outlineLevel="0" collapsed="false">
      <c r="A924" s="9"/>
      <c r="B924" s="10"/>
      <c r="C924" s="11"/>
      <c r="D924" s="11"/>
      <c r="E924" s="11"/>
      <c r="F924" s="11"/>
      <c r="G924" s="11"/>
    </row>
    <row r="925" customFormat="false" ht="15.75" hidden="false" customHeight="false" outlineLevel="0" collapsed="false">
      <c r="A925" s="9"/>
      <c r="B925" s="10"/>
      <c r="C925" s="11"/>
      <c r="D925" s="11"/>
      <c r="E925" s="11"/>
      <c r="F925" s="11"/>
      <c r="G925" s="11"/>
    </row>
    <row r="926" customFormat="false" ht="15.75" hidden="false" customHeight="false" outlineLevel="0" collapsed="false">
      <c r="A926" s="9"/>
      <c r="B926" s="10"/>
      <c r="C926" s="11"/>
      <c r="D926" s="11"/>
      <c r="E926" s="11"/>
      <c r="F926" s="11"/>
      <c r="G926" s="11"/>
    </row>
    <row r="927" customFormat="false" ht="15.75" hidden="false" customHeight="false" outlineLevel="0" collapsed="false">
      <c r="A927" s="9"/>
      <c r="B927" s="10"/>
      <c r="C927" s="11"/>
      <c r="D927" s="11"/>
      <c r="E927" s="11"/>
      <c r="F927" s="11"/>
      <c r="G927" s="11"/>
    </row>
    <row r="928" customFormat="false" ht="15.75" hidden="false" customHeight="false" outlineLevel="0" collapsed="false">
      <c r="A928" s="9"/>
      <c r="B928" s="10"/>
      <c r="C928" s="11"/>
      <c r="D928" s="11"/>
      <c r="E928" s="11"/>
      <c r="F928" s="11"/>
      <c r="G928" s="11"/>
    </row>
    <row r="929" customFormat="false" ht="15.75" hidden="false" customHeight="false" outlineLevel="0" collapsed="false">
      <c r="A929" s="9"/>
      <c r="B929" s="10"/>
      <c r="C929" s="11"/>
      <c r="D929" s="11"/>
      <c r="E929" s="11"/>
      <c r="F929" s="11"/>
      <c r="G929" s="11"/>
    </row>
    <row r="930" customFormat="false" ht="15.75" hidden="false" customHeight="false" outlineLevel="0" collapsed="false">
      <c r="A930" s="9"/>
      <c r="B930" s="10"/>
      <c r="C930" s="11"/>
      <c r="D930" s="11"/>
      <c r="E930" s="11"/>
      <c r="F930" s="11"/>
      <c r="G930" s="11"/>
    </row>
    <row r="931" customFormat="false" ht="15.75" hidden="false" customHeight="false" outlineLevel="0" collapsed="false">
      <c r="A931" s="9"/>
      <c r="B931" s="10"/>
      <c r="C931" s="11"/>
      <c r="D931" s="11"/>
      <c r="E931" s="11"/>
      <c r="F931" s="11"/>
      <c r="G931" s="11"/>
    </row>
    <row r="932" customFormat="false" ht="15.75" hidden="false" customHeight="false" outlineLevel="0" collapsed="false">
      <c r="A932" s="9"/>
      <c r="B932" s="10"/>
      <c r="C932" s="11"/>
      <c r="D932" s="11"/>
      <c r="E932" s="11"/>
      <c r="F932" s="11"/>
      <c r="G932" s="11"/>
    </row>
    <row r="933" customFormat="false" ht="15.75" hidden="false" customHeight="false" outlineLevel="0" collapsed="false">
      <c r="A933" s="9"/>
      <c r="B933" s="10"/>
      <c r="C933" s="11"/>
      <c r="D933" s="11"/>
      <c r="E933" s="11"/>
      <c r="F933" s="11"/>
      <c r="G933" s="11"/>
    </row>
    <row r="934" customFormat="false" ht="15.75" hidden="false" customHeight="false" outlineLevel="0" collapsed="false">
      <c r="A934" s="9"/>
      <c r="B934" s="10"/>
      <c r="C934" s="11"/>
      <c r="D934" s="11"/>
      <c r="E934" s="11"/>
      <c r="F934" s="11"/>
      <c r="G934" s="11"/>
    </row>
    <row r="935" customFormat="false" ht="15.75" hidden="false" customHeight="false" outlineLevel="0" collapsed="false">
      <c r="A935" s="9"/>
      <c r="B935" s="10"/>
      <c r="C935" s="11"/>
      <c r="D935" s="11"/>
      <c r="E935" s="11"/>
      <c r="F935" s="11"/>
      <c r="G935" s="11"/>
    </row>
    <row r="936" customFormat="false" ht="15.75" hidden="false" customHeight="false" outlineLevel="0" collapsed="false">
      <c r="A936" s="9"/>
      <c r="B936" s="10"/>
      <c r="C936" s="11"/>
      <c r="D936" s="11"/>
      <c r="E936" s="11"/>
      <c r="F936" s="11"/>
      <c r="G936" s="11"/>
    </row>
    <row r="937" customFormat="false" ht="15.75" hidden="false" customHeight="false" outlineLevel="0" collapsed="false">
      <c r="A937" s="9"/>
      <c r="B937" s="10"/>
      <c r="C937" s="11"/>
      <c r="D937" s="11"/>
      <c r="E937" s="11"/>
      <c r="F937" s="11"/>
      <c r="G937" s="11"/>
    </row>
    <row r="938" customFormat="false" ht="15.75" hidden="false" customHeight="false" outlineLevel="0" collapsed="false">
      <c r="A938" s="9"/>
      <c r="B938" s="10"/>
      <c r="C938" s="11"/>
      <c r="D938" s="11"/>
      <c r="E938" s="11"/>
      <c r="F938" s="11"/>
      <c r="G938" s="11"/>
    </row>
    <row r="939" customFormat="false" ht="15.75" hidden="false" customHeight="false" outlineLevel="0" collapsed="false">
      <c r="A939" s="9"/>
      <c r="B939" s="10"/>
      <c r="C939" s="11"/>
      <c r="D939" s="11"/>
      <c r="E939" s="11"/>
      <c r="F939" s="11"/>
      <c r="G939" s="11"/>
    </row>
    <row r="940" customFormat="false" ht="15.75" hidden="false" customHeight="false" outlineLevel="0" collapsed="false">
      <c r="A940" s="9"/>
      <c r="B940" s="10"/>
      <c r="C940" s="11"/>
      <c r="D940" s="11"/>
      <c r="E940" s="11"/>
      <c r="F940" s="11"/>
      <c r="G940" s="11"/>
    </row>
    <row r="941" customFormat="false" ht="15.75" hidden="false" customHeight="false" outlineLevel="0" collapsed="false">
      <c r="A941" s="9"/>
      <c r="B941" s="10"/>
      <c r="C941" s="11"/>
      <c r="D941" s="11"/>
      <c r="E941" s="11"/>
      <c r="F941" s="11"/>
      <c r="G941" s="11"/>
    </row>
    <row r="942" customFormat="false" ht="15.75" hidden="false" customHeight="false" outlineLevel="0" collapsed="false">
      <c r="A942" s="9"/>
      <c r="B942" s="10"/>
      <c r="C942" s="11"/>
      <c r="D942" s="11"/>
      <c r="E942" s="11"/>
      <c r="F942" s="11"/>
      <c r="G942" s="11"/>
    </row>
    <row r="943" customFormat="false" ht="15.75" hidden="false" customHeight="false" outlineLevel="0" collapsed="false">
      <c r="A943" s="9"/>
      <c r="B943" s="10"/>
      <c r="C943" s="11"/>
      <c r="D943" s="11"/>
      <c r="E943" s="11"/>
      <c r="F943" s="11"/>
      <c r="G943" s="11"/>
    </row>
    <row r="944" customFormat="false" ht="15.75" hidden="false" customHeight="false" outlineLevel="0" collapsed="false">
      <c r="A944" s="9"/>
      <c r="B944" s="10"/>
      <c r="C944" s="11"/>
      <c r="D944" s="11"/>
      <c r="E944" s="11"/>
      <c r="F944" s="11"/>
      <c r="G944" s="11"/>
    </row>
    <row r="945" customFormat="false" ht="15.75" hidden="false" customHeight="false" outlineLevel="0" collapsed="false">
      <c r="A945" s="9"/>
      <c r="B945" s="10"/>
      <c r="C945" s="11"/>
      <c r="D945" s="11"/>
      <c r="E945" s="11"/>
      <c r="F945" s="11"/>
      <c r="G945" s="11"/>
    </row>
    <row r="946" customFormat="false" ht="15.75" hidden="false" customHeight="false" outlineLevel="0" collapsed="false">
      <c r="A946" s="9"/>
      <c r="B946" s="10"/>
      <c r="C946" s="11"/>
      <c r="D946" s="11"/>
      <c r="E946" s="11"/>
      <c r="F946" s="11"/>
      <c r="G946" s="11"/>
    </row>
    <row r="947" customFormat="false" ht="15.75" hidden="false" customHeight="false" outlineLevel="0" collapsed="false">
      <c r="A947" s="9"/>
      <c r="B947" s="10"/>
      <c r="C947" s="11"/>
      <c r="D947" s="11"/>
      <c r="E947" s="11"/>
      <c r="F947" s="11"/>
      <c r="G947" s="11"/>
    </row>
    <row r="948" customFormat="false" ht="15.75" hidden="false" customHeight="false" outlineLevel="0" collapsed="false">
      <c r="A948" s="9"/>
      <c r="B948" s="10"/>
      <c r="C948" s="11"/>
      <c r="D948" s="11"/>
      <c r="E948" s="11"/>
      <c r="F948" s="11"/>
      <c r="G948" s="11"/>
    </row>
    <row r="949" customFormat="false" ht="15.75" hidden="false" customHeight="false" outlineLevel="0" collapsed="false">
      <c r="A949" s="9"/>
      <c r="B949" s="10"/>
      <c r="C949" s="11"/>
      <c r="D949" s="11"/>
      <c r="E949" s="11"/>
      <c r="F949" s="11"/>
      <c r="G949" s="11"/>
    </row>
    <row r="950" customFormat="false" ht="15.75" hidden="false" customHeight="false" outlineLevel="0" collapsed="false">
      <c r="A950" s="9"/>
      <c r="B950" s="10"/>
      <c r="C950" s="11"/>
      <c r="D950" s="11"/>
      <c r="E950" s="11"/>
      <c r="F950" s="11"/>
      <c r="G950" s="11"/>
    </row>
    <row r="951" customFormat="false" ht="15.75" hidden="false" customHeight="false" outlineLevel="0" collapsed="false">
      <c r="A951" s="9"/>
      <c r="B951" s="10"/>
      <c r="C951" s="11"/>
      <c r="D951" s="11"/>
      <c r="E951" s="11"/>
      <c r="F951" s="11"/>
      <c r="G951" s="11"/>
    </row>
    <row r="952" customFormat="false" ht="15.75" hidden="false" customHeight="false" outlineLevel="0" collapsed="false">
      <c r="A952" s="9"/>
      <c r="B952" s="10"/>
      <c r="C952" s="11"/>
      <c r="D952" s="11"/>
      <c r="E952" s="11"/>
      <c r="F952" s="11"/>
      <c r="G952" s="11"/>
    </row>
    <row r="953" customFormat="false" ht="15.75" hidden="false" customHeight="false" outlineLevel="0" collapsed="false">
      <c r="A953" s="9"/>
      <c r="B953" s="10"/>
      <c r="C953" s="11"/>
      <c r="D953" s="11"/>
      <c r="E953" s="11"/>
      <c r="F953" s="11"/>
      <c r="G953" s="11"/>
    </row>
    <row r="954" customFormat="false" ht="15.75" hidden="false" customHeight="false" outlineLevel="0" collapsed="false">
      <c r="A954" s="9"/>
      <c r="B954" s="10"/>
      <c r="C954" s="11"/>
      <c r="D954" s="11"/>
      <c r="E954" s="11"/>
      <c r="F954" s="11"/>
      <c r="G954" s="11"/>
    </row>
    <row r="955" customFormat="false" ht="15.75" hidden="false" customHeight="false" outlineLevel="0" collapsed="false">
      <c r="A955" s="9"/>
      <c r="B955" s="10"/>
      <c r="C955" s="11"/>
      <c r="D955" s="11"/>
      <c r="E955" s="11"/>
      <c r="F955" s="11"/>
      <c r="G955" s="11"/>
    </row>
    <row r="956" customFormat="false" ht="15.75" hidden="false" customHeight="false" outlineLevel="0" collapsed="false">
      <c r="A956" s="9"/>
      <c r="B956" s="10"/>
      <c r="C956" s="11"/>
      <c r="D956" s="11"/>
      <c r="E956" s="11"/>
      <c r="F956" s="11"/>
      <c r="G956" s="11"/>
    </row>
    <row r="957" customFormat="false" ht="15.75" hidden="false" customHeight="false" outlineLevel="0" collapsed="false">
      <c r="A957" s="9"/>
      <c r="B957" s="10"/>
      <c r="C957" s="11"/>
      <c r="D957" s="11"/>
      <c r="E957" s="11"/>
      <c r="F957" s="11"/>
      <c r="G957" s="11"/>
    </row>
    <row r="958" customFormat="false" ht="15.75" hidden="false" customHeight="false" outlineLevel="0" collapsed="false">
      <c r="A958" s="9"/>
      <c r="B958" s="10"/>
      <c r="C958" s="11"/>
      <c r="D958" s="11"/>
      <c r="E958" s="11"/>
      <c r="F958" s="11"/>
      <c r="G958" s="11"/>
    </row>
    <row r="959" customFormat="false" ht="15.75" hidden="false" customHeight="false" outlineLevel="0" collapsed="false">
      <c r="A959" s="9"/>
      <c r="B959" s="10"/>
      <c r="C959" s="11"/>
      <c r="D959" s="11"/>
      <c r="E959" s="11"/>
      <c r="F959" s="11"/>
      <c r="G959" s="11"/>
    </row>
    <row r="960" customFormat="false" ht="15.75" hidden="false" customHeight="false" outlineLevel="0" collapsed="false">
      <c r="A960" s="9"/>
      <c r="B960" s="10"/>
      <c r="C960" s="11"/>
      <c r="D960" s="11"/>
      <c r="E960" s="11"/>
      <c r="F960" s="11"/>
      <c r="G960" s="11"/>
    </row>
    <row r="961" customFormat="false" ht="15.75" hidden="false" customHeight="false" outlineLevel="0" collapsed="false">
      <c r="A961" s="9"/>
      <c r="B961" s="10"/>
      <c r="C961" s="11"/>
      <c r="D961" s="11"/>
      <c r="E961" s="11"/>
      <c r="F961" s="11"/>
      <c r="G961" s="11"/>
    </row>
    <row r="962" customFormat="false" ht="15.75" hidden="false" customHeight="false" outlineLevel="0" collapsed="false">
      <c r="A962" s="9"/>
      <c r="B962" s="10"/>
      <c r="C962" s="11"/>
      <c r="D962" s="11"/>
      <c r="E962" s="11"/>
      <c r="F962" s="11"/>
      <c r="G962" s="11"/>
    </row>
    <row r="963" customFormat="false" ht="15.75" hidden="false" customHeight="false" outlineLevel="0" collapsed="false">
      <c r="A963" s="9"/>
      <c r="B963" s="10"/>
      <c r="C963" s="11"/>
      <c r="D963" s="11"/>
      <c r="E963" s="11"/>
      <c r="F963" s="11"/>
      <c r="G963" s="11"/>
    </row>
    <row r="964" customFormat="false" ht="15.75" hidden="false" customHeight="false" outlineLevel="0" collapsed="false">
      <c r="A964" s="9"/>
      <c r="B964" s="10"/>
      <c r="C964" s="11"/>
      <c r="D964" s="11"/>
      <c r="E964" s="11"/>
      <c r="F964" s="11"/>
      <c r="G964" s="11"/>
    </row>
    <row r="965" customFormat="false" ht="15.75" hidden="false" customHeight="false" outlineLevel="0" collapsed="false">
      <c r="A965" s="9"/>
      <c r="B965" s="10"/>
      <c r="C965" s="11"/>
      <c r="D965" s="11"/>
      <c r="E965" s="11"/>
      <c r="F965" s="11"/>
      <c r="G965" s="11"/>
    </row>
    <row r="966" customFormat="false" ht="15.75" hidden="false" customHeight="false" outlineLevel="0" collapsed="false">
      <c r="A966" s="9"/>
      <c r="B966" s="10"/>
      <c r="C966" s="11"/>
      <c r="D966" s="11"/>
      <c r="E966" s="11"/>
      <c r="F966" s="11"/>
      <c r="G966" s="11"/>
    </row>
    <row r="967" customFormat="false" ht="15.75" hidden="false" customHeight="false" outlineLevel="0" collapsed="false">
      <c r="A967" s="9"/>
      <c r="B967" s="10"/>
      <c r="C967" s="11"/>
      <c r="D967" s="11"/>
      <c r="E967" s="11"/>
      <c r="F967" s="11"/>
      <c r="G967" s="11"/>
    </row>
    <row r="968" customFormat="false" ht="15.75" hidden="false" customHeight="false" outlineLevel="0" collapsed="false">
      <c r="A968" s="9"/>
      <c r="B968" s="10"/>
      <c r="C968" s="11"/>
      <c r="D968" s="11"/>
      <c r="E968" s="11"/>
      <c r="F968" s="11"/>
      <c r="G968" s="11"/>
    </row>
    <row r="969" customFormat="false" ht="15.75" hidden="false" customHeight="false" outlineLevel="0" collapsed="false">
      <c r="A969" s="9"/>
      <c r="B969" s="10"/>
      <c r="C969" s="11"/>
      <c r="D969" s="11"/>
      <c r="E969" s="11"/>
      <c r="F969" s="11"/>
      <c r="G969" s="11"/>
    </row>
    <row r="970" customFormat="false" ht="15.75" hidden="false" customHeight="false" outlineLevel="0" collapsed="false">
      <c r="A970" s="9"/>
      <c r="B970" s="10"/>
      <c r="C970" s="11"/>
      <c r="D970" s="11"/>
      <c r="E970" s="11"/>
      <c r="F970" s="11"/>
      <c r="G970" s="11"/>
    </row>
    <row r="971" customFormat="false" ht="15.75" hidden="false" customHeight="false" outlineLevel="0" collapsed="false">
      <c r="A971" s="9"/>
      <c r="B971" s="10"/>
      <c r="C971" s="11"/>
      <c r="D971" s="11"/>
      <c r="E971" s="11"/>
      <c r="F971" s="11"/>
      <c r="G971" s="11"/>
    </row>
    <row r="972" customFormat="false" ht="15.75" hidden="false" customHeight="false" outlineLevel="0" collapsed="false">
      <c r="A972" s="9"/>
      <c r="B972" s="10"/>
      <c r="C972" s="11"/>
      <c r="D972" s="11"/>
      <c r="E972" s="11"/>
      <c r="F972" s="11"/>
      <c r="G972" s="11"/>
    </row>
    <row r="973" customFormat="false" ht="15.75" hidden="false" customHeight="false" outlineLevel="0" collapsed="false">
      <c r="A973" s="9"/>
      <c r="B973" s="10"/>
      <c r="C973" s="11"/>
      <c r="D973" s="11"/>
      <c r="E973" s="11"/>
      <c r="F973" s="11"/>
      <c r="G973" s="11"/>
    </row>
    <row r="974" customFormat="false" ht="15.75" hidden="false" customHeight="false" outlineLevel="0" collapsed="false">
      <c r="A974" s="9"/>
      <c r="B974" s="10"/>
      <c r="C974" s="11"/>
      <c r="D974" s="11"/>
      <c r="E974" s="11"/>
      <c r="F974" s="11"/>
      <c r="G974" s="11"/>
    </row>
    <row r="975" customFormat="false" ht="15.75" hidden="false" customHeight="false" outlineLevel="0" collapsed="false">
      <c r="A975" s="9"/>
      <c r="B975" s="10"/>
      <c r="C975" s="11"/>
      <c r="D975" s="11"/>
      <c r="E975" s="11"/>
      <c r="F975" s="11"/>
      <c r="G975" s="11"/>
    </row>
    <row r="976" customFormat="false" ht="15.75" hidden="false" customHeight="false" outlineLevel="0" collapsed="false">
      <c r="A976" s="9"/>
      <c r="B976" s="10"/>
      <c r="C976" s="11"/>
      <c r="D976" s="11"/>
      <c r="E976" s="11"/>
      <c r="F976" s="11"/>
      <c r="G976" s="11"/>
    </row>
    <row r="977" customFormat="false" ht="15.75" hidden="false" customHeight="false" outlineLevel="0" collapsed="false">
      <c r="A977" s="9"/>
      <c r="B977" s="10"/>
      <c r="C977" s="11"/>
      <c r="D977" s="11"/>
      <c r="E977" s="11"/>
      <c r="F977" s="11"/>
      <c r="G977" s="11"/>
    </row>
    <row r="978" customFormat="false" ht="15.75" hidden="false" customHeight="false" outlineLevel="0" collapsed="false">
      <c r="A978" s="9"/>
      <c r="B978" s="10"/>
      <c r="C978" s="11"/>
      <c r="D978" s="11"/>
      <c r="E978" s="11"/>
      <c r="F978" s="11"/>
      <c r="G978" s="11"/>
    </row>
    <row r="979" customFormat="false" ht="15.75" hidden="false" customHeight="false" outlineLevel="0" collapsed="false">
      <c r="A979" s="9"/>
      <c r="B979" s="10"/>
      <c r="C979" s="11"/>
      <c r="D979" s="11"/>
      <c r="E979" s="11"/>
      <c r="F979" s="11"/>
      <c r="G979" s="11"/>
    </row>
    <row r="980" customFormat="false" ht="15.75" hidden="false" customHeight="false" outlineLevel="0" collapsed="false">
      <c r="A980" s="9"/>
      <c r="B980" s="10"/>
      <c r="C980" s="11"/>
      <c r="D980" s="11"/>
      <c r="E980" s="11"/>
      <c r="F980" s="11"/>
      <c r="G980" s="11"/>
    </row>
    <row r="981" customFormat="false" ht="15.75" hidden="false" customHeight="false" outlineLevel="0" collapsed="false">
      <c r="A981" s="9"/>
      <c r="B981" s="10"/>
      <c r="C981" s="11"/>
      <c r="D981" s="11"/>
      <c r="E981" s="11"/>
      <c r="F981" s="11"/>
      <c r="G981" s="11"/>
    </row>
    <row r="982" customFormat="false" ht="15.75" hidden="false" customHeight="false" outlineLevel="0" collapsed="false">
      <c r="A982" s="9"/>
      <c r="B982" s="10"/>
      <c r="C982" s="11"/>
      <c r="D982" s="11"/>
      <c r="E982" s="11"/>
      <c r="F982" s="11"/>
      <c r="G982" s="11"/>
    </row>
    <row r="983" customFormat="false" ht="15.75" hidden="false" customHeight="false" outlineLevel="0" collapsed="false">
      <c r="A983" s="9"/>
      <c r="B983" s="10"/>
      <c r="C983" s="11"/>
      <c r="D983" s="11"/>
      <c r="E983" s="11"/>
      <c r="F983" s="11"/>
      <c r="G983" s="11"/>
    </row>
    <row r="984" customFormat="false" ht="15.75" hidden="false" customHeight="false" outlineLevel="0" collapsed="false">
      <c r="A984" s="9"/>
      <c r="B984" s="10"/>
      <c r="C984" s="11"/>
      <c r="D984" s="11"/>
      <c r="E984" s="11"/>
      <c r="F984" s="11"/>
      <c r="G984" s="11"/>
    </row>
    <row r="985" customFormat="false" ht="15.75" hidden="false" customHeight="false" outlineLevel="0" collapsed="false">
      <c r="A985" s="9"/>
      <c r="B985" s="10"/>
      <c r="C985" s="11"/>
      <c r="D985" s="11"/>
      <c r="E985" s="11"/>
      <c r="F985" s="11"/>
      <c r="G985" s="11"/>
    </row>
    <row r="986" customFormat="false" ht="15.75" hidden="false" customHeight="false" outlineLevel="0" collapsed="false">
      <c r="A986" s="9"/>
      <c r="B986" s="10"/>
      <c r="C986" s="11"/>
      <c r="D986" s="11"/>
      <c r="E986" s="11"/>
      <c r="F986" s="11"/>
      <c r="G986" s="11"/>
    </row>
    <row r="987" customFormat="false" ht="15.75" hidden="false" customHeight="false" outlineLevel="0" collapsed="false">
      <c r="A987" s="9"/>
      <c r="B987" s="10"/>
      <c r="C987" s="11"/>
      <c r="D987" s="11"/>
      <c r="E987" s="11"/>
      <c r="F987" s="11"/>
      <c r="G987" s="11"/>
    </row>
    <row r="988" customFormat="false" ht="15.75" hidden="false" customHeight="false" outlineLevel="0" collapsed="false">
      <c r="A988" s="9"/>
      <c r="B988" s="10"/>
      <c r="C988" s="11"/>
      <c r="D988" s="11"/>
      <c r="E988" s="11"/>
      <c r="F988" s="11"/>
      <c r="G988" s="11"/>
    </row>
    <row r="989" customFormat="false" ht="15.75" hidden="false" customHeight="false" outlineLevel="0" collapsed="false">
      <c r="A989" s="9"/>
      <c r="B989" s="10"/>
      <c r="C989" s="11"/>
      <c r="D989" s="11"/>
      <c r="E989" s="11"/>
      <c r="F989" s="11"/>
      <c r="G989" s="11"/>
    </row>
    <row r="990" customFormat="false" ht="15.75" hidden="false" customHeight="false" outlineLevel="0" collapsed="false">
      <c r="A990" s="9"/>
      <c r="B990" s="10"/>
      <c r="C990" s="11"/>
      <c r="D990" s="11"/>
      <c r="E990" s="11"/>
      <c r="F990" s="11"/>
      <c r="G990" s="11"/>
    </row>
    <row r="991" customFormat="false" ht="15.75" hidden="false" customHeight="false" outlineLevel="0" collapsed="false">
      <c r="A991" s="9"/>
      <c r="B991" s="10"/>
      <c r="C991" s="11"/>
      <c r="D991" s="11"/>
      <c r="E991" s="11"/>
      <c r="F991" s="11"/>
      <c r="G991" s="11"/>
    </row>
    <row r="992" customFormat="false" ht="15.75" hidden="false" customHeight="false" outlineLevel="0" collapsed="false">
      <c r="A992" s="9"/>
      <c r="B992" s="10"/>
      <c r="C992" s="11"/>
      <c r="D992" s="11"/>
      <c r="E992" s="11"/>
      <c r="F992" s="11"/>
      <c r="G992" s="11"/>
    </row>
    <row r="993" customFormat="false" ht="15.75" hidden="false" customHeight="false" outlineLevel="0" collapsed="false">
      <c r="A993" s="9"/>
      <c r="B993" s="10"/>
      <c r="C993" s="11"/>
      <c r="D993" s="11"/>
      <c r="E993" s="11"/>
      <c r="F993" s="11"/>
      <c r="G993" s="11"/>
    </row>
    <row r="994" customFormat="false" ht="15.75" hidden="false" customHeight="false" outlineLevel="0" collapsed="false">
      <c r="A994" s="9"/>
      <c r="B994" s="10"/>
      <c r="C994" s="11"/>
      <c r="D994" s="11"/>
      <c r="E994" s="11"/>
      <c r="F994" s="11"/>
      <c r="G994" s="11"/>
    </row>
    <row r="995" customFormat="false" ht="15.75" hidden="false" customHeight="false" outlineLevel="0" collapsed="false">
      <c r="A995" s="9"/>
      <c r="B995" s="10"/>
      <c r="C995" s="11"/>
      <c r="D995" s="11"/>
      <c r="E995" s="11"/>
      <c r="F995" s="11"/>
      <c r="G995" s="11"/>
    </row>
    <row r="996" customFormat="false" ht="15.75" hidden="false" customHeight="false" outlineLevel="0" collapsed="false">
      <c r="A996" s="9"/>
      <c r="B996" s="10"/>
      <c r="C996" s="11"/>
      <c r="D996" s="11"/>
      <c r="E996" s="11"/>
      <c r="F996" s="11"/>
      <c r="G996" s="11"/>
    </row>
    <row r="997" customFormat="false" ht="15.75" hidden="false" customHeight="false" outlineLevel="0" collapsed="false">
      <c r="A997" s="9"/>
      <c r="B997" s="10"/>
      <c r="C997" s="11"/>
      <c r="D997" s="11"/>
      <c r="E997" s="11"/>
      <c r="F997" s="11"/>
      <c r="G997" s="11"/>
    </row>
    <row r="998" customFormat="false" ht="15.75" hidden="false" customHeight="false" outlineLevel="0" collapsed="false">
      <c r="A998" s="9"/>
      <c r="B998" s="10"/>
      <c r="C998" s="11"/>
      <c r="D998" s="11"/>
      <c r="E998" s="11"/>
      <c r="F998" s="11"/>
      <c r="G998" s="11"/>
    </row>
    <row r="999" customFormat="false" ht="15.75" hidden="false" customHeight="false" outlineLevel="0" collapsed="false">
      <c r="A999" s="9"/>
      <c r="B999" s="10"/>
      <c r="C999" s="11"/>
      <c r="D999" s="11"/>
      <c r="E999" s="11"/>
      <c r="F999" s="11"/>
      <c r="G999" s="11"/>
    </row>
    <row r="1000" customFormat="false" ht="15.75" hidden="false" customHeight="false" outlineLevel="0" collapsed="false">
      <c r="A1000" s="9"/>
      <c r="B1000" s="10"/>
      <c r="C1000" s="11"/>
      <c r="D1000" s="11"/>
      <c r="E1000" s="11"/>
      <c r="F1000" s="11"/>
      <c r="G1000" s="11"/>
    </row>
    <row r="1001" customFormat="false" ht="15.75" hidden="false" customHeight="false" outlineLevel="0" collapsed="false">
      <c r="A1001" s="9"/>
      <c r="B1001" s="10"/>
      <c r="C1001" s="11"/>
      <c r="D1001" s="11"/>
      <c r="E1001" s="11"/>
      <c r="F1001" s="11"/>
      <c r="G1001" s="11"/>
    </row>
    <row r="1002" customFormat="false" ht="15.75" hidden="false" customHeight="false" outlineLevel="0" collapsed="false">
      <c r="A1002" s="9"/>
      <c r="B1002" s="10"/>
      <c r="C1002" s="11"/>
      <c r="D1002" s="11"/>
      <c r="E1002" s="11"/>
      <c r="F1002" s="11"/>
      <c r="G1002" s="11"/>
    </row>
    <row r="1003" customFormat="false" ht="15.75" hidden="false" customHeight="false" outlineLevel="0" collapsed="false">
      <c r="A1003" s="9"/>
      <c r="B1003" s="10"/>
      <c r="C1003" s="11"/>
      <c r="D1003" s="11"/>
      <c r="E1003" s="11"/>
      <c r="F1003" s="11"/>
      <c r="G1003" s="11"/>
    </row>
    <row r="1004" customFormat="false" ht="15.75" hidden="false" customHeight="false" outlineLevel="0" collapsed="false">
      <c r="A1004" s="9"/>
      <c r="B1004" s="10"/>
      <c r="C1004" s="11"/>
      <c r="D1004" s="11"/>
      <c r="E1004" s="11"/>
      <c r="F1004" s="11"/>
      <c r="G1004" s="11"/>
    </row>
    <row r="1005" customFormat="false" ht="15.75" hidden="false" customHeight="false" outlineLevel="0" collapsed="false">
      <c r="A1005" s="9"/>
      <c r="B1005" s="10"/>
      <c r="C1005" s="11"/>
      <c r="D1005" s="11"/>
      <c r="E1005" s="11"/>
      <c r="F1005" s="11"/>
      <c r="G1005" s="11"/>
    </row>
    <row r="1006" customFormat="false" ht="15.75" hidden="false" customHeight="false" outlineLevel="0" collapsed="false">
      <c r="A1006" s="9"/>
      <c r="B1006" s="10"/>
      <c r="C1006" s="11"/>
      <c r="D1006" s="11"/>
      <c r="E1006" s="11"/>
      <c r="F1006" s="11"/>
      <c r="G1006" s="11"/>
    </row>
    <row r="1007" customFormat="false" ht="15.75" hidden="false" customHeight="false" outlineLevel="0" collapsed="false">
      <c r="A1007" s="9"/>
      <c r="B1007" s="10"/>
      <c r="C1007" s="11"/>
      <c r="D1007" s="11"/>
      <c r="E1007" s="11"/>
      <c r="F1007" s="11"/>
      <c r="G1007" s="11"/>
    </row>
    <row r="1008" customFormat="false" ht="15.75" hidden="false" customHeight="false" outlineLevel="0" collapsed="false">
      <c r="A1008" s="9"/>
      <c r="B1008" s="10"/>
      <c r="C1008" s="11"/>
      <c r="D1008" s="11"/>
      <c r="E1008" s="11"/>
      <c r="F1008" s="11"/>
      <c r="G1008" s="11"/>
    </row>
    <row r="1009" customFormat="false" ht="15.75" hidden="false" customHeight="false" outlineLevel="0" collapsed="false">
      <c r="A1009" s="9"/>
      <c r="B1009" s="10"/>
      <c r="C1009" s="11"/>
      <c r="D1009" s="11"/>
      <c r="E1009" s="11"/>
      <c r="F1009" s="11"/>
      <c r="G1009" s="11"/>
    </row>
    <row r="1010" customFormat="false" ht="15.75" hidden="false" customHeight="false" outlineLevel="0" collapsed="false">
      <c r="A1010" s="9"/>
      <c r="B1010" s="10"/>
      <c r="C1010" s="11"/>
      <c r="D1010" s="11"/>
      <c r="E1010" s="11"/>
      <c r="F1010" s="11"/>
      <c r="G1010" s="11"/>
    </row>
    <row r="1011" customFormat="false" ht="15.75" hidden="false" customHeight="false" outlineLevel="0" collapsed="false">
      <c r="A1011" s="9"/>
      <c r="B1011" s="10"/>
      <c r="C1011" s="11"/>
      <c r="D1011" s="11"/>
      <c r="E1011" s="11"/>
      <c r="F1011" s="11"/>
      <c r="G1011" s="11"/>
    </row>
    <row r="1012" customFormat="false" ht="15.75" hidden="false" customHeight="false" outlineLevel="0" collapsed="false">
      <c r="A1012" s="9"/>
      <c r="B1012" s="10"/>
      <c r="C1012" s="11"/>
      <c r="D1012" s="11"/>
      <c r="E1012" s="11"/>
      <c r="F1012" s="11"/>
      <c r="G1012" s="11"/>
    </row>
    <row r="1013" customFormat="false" ht="15.75" hidden="false" customHeight="false" outlineLevel="0" collapsed="false">
      <c r="A1013" s="9"/>
      <c r="B1013" s="10"/>
      <c r="C1013" s="11"/>
      <c r="D1013" s="11"/>
      <c r="E1013" s="11"/>
      <c r="F1013" s="11"/>
      <c r="G1013" s="11"/>
    </row>
    <row r="1014" customFormat="false" ht="15.75" hidden="false" customHeight="false" outlineLevel="0" collapsed="false">
      <c r="A1014" s="9"/>
      <c r="B1014" s="10"/>
      <c r="C1014" s="11"/>
      <c r="D1014" s="11"/>
      <c r="E1014" s="11"/>
      <c r="F1014" s="11"/>
      <c r="G1014" s="11"/>
    </row>
    <row r="1015" customFormat="false" ht="15.75" hidden="false" customHeight="false" outlineLevel="0" collapsed="false">
      <c r="A1015" s="9"/>
      <c r="B1015" s="10"/>
      <c r="C1015" s="11"/>
      <c r="D1015" s="11"/>
      <c r="E1015" s="11"/>
      <c r="F1015" s="11"/>
      <c r="G1015" s="11"/>
    </row>
    <row r="1016" customFormat="false" ht="15.75" hidden="false" customHeight="false" outlineLevel="0" collapsed="false">
      <c r="A1016" s="9"/>
      <c r="B1016" s="10"/>
      <c r="C1016" s="11"/>
      <c r="D1016" s="11"/>
      <c r="E1016" s="11"/>
      <c r="F1016" s="11"/>
      <c r="G1016" s="11"/>
    </row>
    <row r="1017" customFormat="false" ht="15.75" hidden="false" customHeight="false" outlineLevel="0" collapsed="false">
      <c r="A1017" s="9"/>
      <c r="B1017" s="10"/>
      <c r="C1017" s="11"/>
      <c r="D1017" s="11"/>
      <c r="E1017" s="11"/>
      <c r="F1017" s="11"/>
      <c r="G1017" s="11"/>
    </row>
    <row r="1018" customFormat="false" ht="15.75" hidden="false" customHeight="false" outlineLevel="0" collapsed="false">
      <c r="A1018" s="9"/>
      <c r="B1018" s="10"/>
      <c r="C1018" s="11"/>
      <c r="D1018" s="11"/>
      <c r="E1018" s="11"/>
      <c r="F1018" s="11"/>
      <c r="G1018" s="11"/>
    </row>
    <row r="1019" customFormat="false" ht="15.75" hidden="false" customHeight="false" outlineLevel="0" collapsed="false">
      <c r="A1019" s="9"/>
      <c r="B1019" s="10"/>
      <c r="C1019" s="11"/>
      <c r="D1019" s="11"/>
      <c r="E1019" s="11"/>
      <c r="F1019" s="11"/>
      <c r="G1019" s="11"/>
    </row>
    <row r="1020" customFormat="false" ht="15.75" hidden="false" customHeight="false" outlineLevel="0" collapsed="false">
      <c r="A1020" s="9"/>
      <c r="B1020" s="10"/>
      <c r="C1020" s="11"/>
      <c r="D1020" s="11"/>
      <c r="E1020" s="11"/>
      <c r="F1020" s="11"/>
      <c r="G1020" s="11"/>
    </row>
    <row r="1021" customFormat="false" ht="15.75" hidden="false" customHeight="false" outlineLevel="0" collapsed="false">
      <c r="A1021" s="9"/>
      <c r="B1021" s="10"/>
      <c r="C1021" s="11"/>
      <c r="D1021" s="11"/>
      <c r="E1021" s="11"/>
      <c r="F1021" s="11"/>
      <c r="G1021" s="11"/>
    </row>
    <row r="1022" customFormat="false" ht="15.75" hidden="false" customHeight="false" outlineLevel="0" collapsed="false">
      <c r="A1022" s="9"/>
      <c r="B1022" s="10"/>
      <c r="C1022" s="11"/>
      <c r="D1022" s="11"/>
      <c r="E1022" s="11"/>
      <c r="F1022" s="11"/>
      <c r="G1022" s="11"/>
    </row>
    <row r="1023" customFormat="false" ht="15.75" hidden="false" customHeight="false" outlineLevel="0" collapsed="false">
      <c r="A1023" s="9"/>
      <c r="B1023" s="10"/>
      <c r="C1023" s="11"/>
      <c r="D1023" s="11"/>
      <c r="E1023" s="11"/>
      <c r="F1023" s="11"/>
      <c r="G1023" s="11"/>
    </row>
    <row r="1024" customFormat="false" ht="15.75" hidden="false" customHeight="false" outlineLevel="0" collapsed="false">
      <c r="A1024" s="9"/>
      <c r="B1024" s="10"/>
      <c r="C1024" s="11"/>
      <c r="D1024" s="11"/>
      <c r="E1024" s="11"/>
      <c r="F1024" s="11"/>
      <c r="G1024" s="11"/>
    </row>
    <row r="1025" customFormat="false" ht="15.75" hidden="false" customHeight="false" outlineLevel="0" collapsed="false">
      <c r="A1025" s="9"/>
      <c r="B1025" s="10"/>
      <c r="C1025" s="11"/>
      <c r="D1025" s="11"/>
      <c r="E1025" s="11"/>
      <c r="F1025" s="11"/>
      <c r="G1025" s="11"/>
    </row>
    <row r="1026" customFormat="false" ht="15.75" hidden="false" customHeight="false" outlineLevel="0" collapsed="false">
      <c r="A1026" s="9"/>
      <c r="B1026" s="10"/>
      <c r="C1026" s="11"/>
      <c r="D1026" s="11"/>
      <c r="E1026" s="11"/>
      <c r="F1026" s="11"/>
      <c r="G1026" s="11"/>
    </row>
    <row r="1027" customFormat="false" ht="15.75" hidden="false" customHeight="false" outlineLevel="0" collapsed="false">
      <c r="A1027" s="9"/>
      <c r="B1027" s="10"/>
      <c r="C1027" s="11"/>
      <c r="D1027" s="11"/>
      <c r="E1027" s="11"/>
      <c r="F1027" s="11"/>
      <c r="G1027" s="11"/>
    </row>
    <row r="1028" customFormat="false" ht="15.75" hidden="false" customHeight="false" outlineLevel="0" collapsed="false">
      <c r="A1028" s="9"/>
      <c r="B1028" s="10"/>
      <c r="C1028" s="11"/>
      <c r="D1028" s="11"/>
      <c r="E1028" s="11"/>
      <c r="F1028" s="11"/>
      <c r="G1028" s="11"/>
    </row>
    <row r="1029" customFormat="false" ht="15.75" hidden="false" customHeight="false" outlineLevel="0" collapsed="false">
      <c r="A1029" s="9"/>
      <c r="B1029" s="10"/>
      <c r="C1029" s="11"/>
      <c r="D1029" s="11"/>
      <c r="E1029" s="11"/>
      <c r="F1029" s="11"/>
      <c r="G1029" s="11"/>
    </row>
    <row r="1030" customFormat="false" ht="15.75" hidden="false" customHeight="false" outlineLevel="0" collapsed="false">
      <c r="A1030" s="9"/>
      <c r="B1030" s="10"/>
      <c r="C1030" s="11"/>
      <c r="D1030" s="11"/>
      <c r="E1030" s="11"/>
      <c r="F1030" s="11"/>
      <c r="G1030" s="11"/>
    </row>
    <row r="1031" customFormat="false" ht="15.75" hidden="false" customHeight="false" outlineLevel="0" collapsed="false">
      <c r="A1031" s="9"/>
      <c r="B1031" s="10"/>
      <c r="C1031" s="11"/>
      <c r="D1031" s="11"/>
      <c r="E1031" s="11"/>
      <c r="F1031" s="11"/>
      <c r="G1031" s="11"/>
    </row>
    <row r="1032" customFormat="false" ht="15.75" hidden="false" customHeight="false" outlineLevel="0" collapsed="false">
      <c r="A1032" s="9"/>
      <c r="B1032" s="10"/>
      <c r="C1032" s="11"/>
      <c r="D1032" s="11"/>
      <c r="E1032" s="11"/>
      <c r="F1032" s="11"/>
      <c r="G1032" s="11"/>
    </row>
    <row r="1033" customFormat="false" ht="15.75" hidden="false" customHeight="false" outlineLevel="0" collapsed="false">
      <c r="A1033" s="9"/>
      <c r="B1033" s="10"/>
      <c r="C1033" s="11"/>
      <c r="D1033" s="11"/>
      <c r="E1033" s="11"/>
      <c r="F1033" s="11"/>
      <c r="G1033" s="11"/>
    </row>
    <row r="1034" customFormat="false" ht="15.75" hidden="false" customHeight="false" outlineLevel="0" collapsed="false">
      <c r="A1034" s="9"/>
      <c r="B1034" s="10"/>
      <c r="C1034" s="11"/>
      <c r="D1034" s="11"/>
      <c r="E1034" s="11"/>
      <c r="F1034" s="11"/>
      <c r="G1034" s="11"/>
    </row>
    <row r="1035" customFormat="false" ht="15.75" hidden="false" customHeight="false" outlineLevel="0" collapsed="false">
      <c r="A1035" s="9"/>
      <c r="B1035" s="10"/>
      <c r="C1035" s="11"/>
      <c r="D1035" s="11"/>
      <c r="E1035" s="11"/>
      <c r="F1035" s="11"/>
      <c r="G1035" s="11"/>
    </row>
    <row r="1036" customFormat="false" ht="15.75" hidden="false" customHeight="false" outlineLevel="0" collapsed="false">
      <c r="A1036" s="9"/>
      <c r="B1036" s="10"/>
      <c r="C1036" s="11"/>
      <c r="D1036" s="11"/>
      <c r="E1036" s="11"/>
      <c r="F1036" s="11"/>
      <c r="G1036" s="11"/>
    </row>
    <row r="1037" customFormat="false" ht="15.75" hidden="false" customHeight="false" outlineLevel="0" collapsed="false">
      <c r="A1037" s="9"/>
      <c r="B1037" s="10"/>
      <c r="C1037" s="11"/>
      <c r="D1037" s="11"/>
      <c r="E1037" s="11"/>
      <c r="F1037" s="11"/>
      <c r="G1037" s="11"/>
    </row>
    <row r="1038" customFormat="false" ht="15.75" hidden="false" customHeight="false" outlineLevel="0" collapsed="false">
      <c r="A1038" s="9"/>
      <c r="B1038" s="10"/>
      <c r="C1038" s="11"/>
      <c r="D1038" s="11"/>
      <c r="E1038" s="11"/>
      <c r="F1038" s="11"/>
      <c r="G1038" s="11"/>
    </row>
    <row r="1039" customFormat="false" ht="15.75" hidden="false" customHeight="false" outlineLevel="0" collapsed="false">
      <c r="A1039" s="9"/>
      <c r="B1039" s="10"/>
      <c r="C1039" s="11"/>
      <c r="D1039" s="11"/>
      <c r="E1039" s="11"/>
      <c r="F1039" s="11"/>
      <c r="G1039" s="11"/>
    </row>
    <row r="1040" customFormat="false" ht="15.75" hidden="false" customHeight="false" outlineLevel="0" collapsed="false">
      <c r="A1040" s="9"/>
      <c r="B1040" s="10"/>
      <c r="C1040" s="11"/>
      <c r="D1040" s="11"/>
      <c r="E1040" s="11"/>
      <c r="F1040" s="11"/>
      <c r="G1040" s="11"/>
    </row>
    <row r="1041" customFormat="false" ht="15.75" hidden="false" customHeight="false" outlineLevel="0" collapsed="false">
      <c r="A1041" s="9"/>
      <c r="B1041" s="10"/>
      <c r="C1041" s="11"/>
      <c r="D1041" s="11"/>
      <c r="E1041" s="11"/>
      <c r="F1041" s="11"/>
      <c r="G1041" s="11"/>
    </row>
    <row r="1042" customFormat="false" ht="15.75" hidden="false" customHeight="false" outlineLevel="0" collapsed="false">
      <c r="A1042" s="9"/>
      <c r="B1042" s="10"/>
      <c r="C1042" s="11"/>
      <c r="D1042" s="11"/>
      <c r="E1042" s="11"/>
      <c r="F1042" s="11"/>
      <c r="G1042" s="11"/>
    </row>
    <row r="1043" customFormat="false" ht="15.75" hidden="false" customHeight="false" outlineLevel="0" collapsed="false">
      <c r="A1043" s="9"/>
      <c r="B1043" s="10"/>
      <c r="C1043" s="11"/>
      <c r="D1043" s="11"/>
      <c r="E1043" s="11"/>
      <c r="F1043" s="11"/>
      <c r="G1043" s="11"/>
    </row>
    <row r="1044" customFormat="false" ht="15.75" hidden="false" customHeight="false" outlineLevel="0" collapsed="false">
      <c r="A1044" s="9"/>
      <c r="B1044" s="10"/>
      <c r="C1044" s="11"/>
      <c r="D1044" s="11"/>
      <c r="E1044" s="11"/>
      <c r="F1044" s="11"/>
      <c r="G1044" s="11"/>
    </row>
    <row r="1045" customFormat="false" ht="15.75" hidden="false" customHeight="false" outlineLevel="0" collapsed="false">
      <c r="A1045" s="9"/>
      <c r="B1045" s="10"/>
      <c r="C1045" s="11"/>
      <c r="D1045" s="11"/>
      <c r="E1045" s="11"/>
      <c r="F1045" s="11"/>
      <c r="G1045" s="11"/>
    </row>
    <row r="1046" customFormat="false" ht="15.75" hidden="false" customHeight="false" outlineLevel="0" collapsed="false">
      <c r="A1046" s="9"/>
      <c r="B1046" s="10"/>
      <c r="C1046" s="11"/>
      <c r="D1046" s="11"/>
      <c r="E1046" s="11"/>
      <c r="F1046" s="11"/>
      <c r="G1046" s="11"/>
    </row>
    <row r="1047" customFormat="false" ht="15.75" hidden="false" customHeight="false" outlineLevel="0" collapsed="false">
      <c r="A1047" s="9"/>
      <c r="B1047" s="10"/>
      <c r="C1047" s="11"/>
      <c r="D1047" s="11"/>
      <c r="E1047" s="11"/>
      <c r="F1047" s="11"/>
      <c r="G1047" s="11"/>
    </row>
    <row r="1048" customFormat="false" ht="15.75" hidden="false" customHeight="false" outlineLevel="0" collapsed="false">
      <c r="A1048" s="9"/>
      <c r="B1048" s="10"/>
      <c r="C1048" s="11"/>
      <c r="D1048" s="11"/>
      <c r="E1048" s="11"/>
      <c r="F1048" s="11"/>
      <c r="G1048" s="11"/>
    </row>
    <row r="1049" customFormat="false" ht="15.75" hidden="false" customHeight="false" outlineLevel="0" collapsed="false">
      <c r="A1049" s="9"/>
      <c r="B1049" s="10"/>
      <c r="C1049" s="11"/>
      <c r="D1049" s="11"/>
      <c r="E1049" s="11"/>
      <c r="F1049" s="11"/>
      <c r="G1049" s="11"/>
    </row>
    <row r="1050" customFormat="false" ht="15.75" hidden="false" customHeight="false" outlineLevel="0" collapsed="false">
      <c r="A1050" s="9"/>
      <c r="B1050" s="10"/>
      <c r="C1050" s="11"/>
      <c r="D1050" s="11"/>
      <c r="E1050" s="11"/>
      <c r="F1050" s="11"/>
      <c r="G1050" s="11"/>
    </row>
    <row r="1051" customFormat="false" ht="15.75" hidden="false" customHeight="false" outlineLevel="0" collapsed="false">
      <c r="A1051" s="9"/>
      <c r="B1051" s="10"/>
      <c r="C1051" s="11"/>
      <c r="D1051" s="11"/>
      <c r="E1051" s="11"/>
      <c r="F1051" s="11"/>
      <c r="G1051" s="11"/>
    </row>
    <row r="1052" customFormat="false" ht="15.75" hidden="false" customHeight="false" outlineLevel="0" collapsed="false">
      <c r="A1052" s="9"/>
      <c r="B1052" s="10"/>
      <c r="C1052" s="11"/>
      <c r="D1052" s="11"/>
      <c r="E1052" s="11"/>
      <c r="F1052" s="11"/>
      <c r="G1052" s="11"/>
    </row>
    <row r="1053" customFormat="false" ht="15.75" hidden="false" customHeight="false" outlineLevel="0" collapsed="false">
      <c r="A1053" s="9"/>
      <c r="B1053" s="10"/>
      <c r="C1053" s="11"/>
      <c r="D1053" s="11"/>
      <c r="E1053" s="11"/>
      <c r="F1053" s="11"/>
      <c r="G1053" s="11"/>
    </row>
    <row r="1054" customFormat="false" ht="15.75" hidden="false" customHeight="false" outlineLevel="0" collapsed="false">
      <c r="A1054" s="9"/>
      <c r="B1054" s="10"/>
      <c r="C1054" s="11"/>
      <c r="D1054" s="11"/>
      <c r="E1054" s="11"/>
      <c r="F1054" s="11"/>
      <c r="G1054" s="11"/>
    </row>
    <row r="1055" customFormat="false" ht="15.75" hidden="false" customHeight="false" outlineLevel="0" collapsed="false">
      <c r="A1055" s="9"/>
      <c r="B1055" s="10"/>
      <c r="C1055" s="11"/>
      <c r="D1055" s="11"/>
      <c r="E1055" s="11"/>
      <c r="F1055" s="11"/>
      <c r="G1055" s="11"/>
    </row>
    <row r="1056" customFormat="false" ht="15.75" hidden="false" customHeight="false" outlineLevel="0" collapsed="false">
      <c r="A1056" s="9"/>
      <c r="B1056" s="10"/>
      <c r="C1056" s="11"/>
      <c r="D1056" s="11"/>
      <c r="E1056" s="11"/>
      <c r="F1056" s="11"/>
      <c r="G1056" s="11"/>
    </row>
    <row r="1057" customFormat="false" ht="15.75" hidden="false" customHeight="false" outlineLevel="0" collapsed="false">
      <c r="A1057" s="9"/>
      <c r="B1057" s="10"/>
      <c r="C1057" s="11"/>
      <c r="D1057" s="11"/>
      <c r="E1057" s="11"/>
      <c r="F1057" s="11"/>
      <c r="G1057" s="11"/>
    </row>
    <row r="1058" customFormat="false" ht="15.75" hidden="false" customHeight="false" outlineLevel="0" collapsed="false">
      <c r="A1058" s="9"/>
      <c r="B1058" s="10"/>
      <c r="C1058" s="11"/>
      <c r="D1058" s="11"/>
      <c r="E1058" s="11"/>
      <c r="F1058" s="11"/>
      <c r="G1058" s="11"/>
    </row>
    <row r="1059" customFormat="false" ht="15.75" hidden="false" customHeight="false" outlineLevel="0" collapsed="false">
      <c r="A1059" s="9"/>
      <c r="B1059" s="10"/>
      <c r="C1059" s="11"/>
      <c r="D1059" s="11"/>
      <c r="E1059" s="11"/>
      <c r="F1059" s="11"/>
      <c r="G1059" s="11"/>
    </row>
    <row r="1060" customFormat="false" ht="15.75" hidden="false" customHeight="false" outlineLevel="0" collapsed="false">
      <c r="A1060" s="9"/>
      <c r="B1060" s="10"/>
      <c r="C1060" s="11"/>
      <c r="D1060" s="11"/>
      <c r="E1060" s="11"/>
      <c r="F1060" s="11"/>
      <c r="G1060" s="11"/>
    </row>
    <row r="1061" customFormat="false" ht="15.75" hidden="false" customHeight="false" outlineLevel="0" collapsed="false">
      <c r="A1061" s="9"/>
      <c r="B1061" s="10"/>
      <c r="C1061" s="11"/>
      <c r="D1061" s="11"/>
      <c r="E1061" s="11"/>
      <c r="F1061" s="11"/>
      <c r="G1061" s="11"/>
    </row>
    <row r="1062" customFormat="false" ht="15.75" hidden="false" customHeight="false" outlineLevel="0" collapsed="false">
      <c r="A1062" s="9"/>
      <c r="B1062" s="10"/>
      <c r="C1062" s="11"/>
      <c r="D1062" s="11"/>
      <c r="E1062" s="11"/>
      <c r="F1062" s="11"/>
      <c r="G1062" s="11"/>
    </row>
    <row r="1063" customFormat="false" ht="15.75" hidden="false" customHeight="false" outlineLevel="0" collapsed="false">
      <c r="A1063" s="9"/>
      <c r="B1063" s="10"/>
      <c r="C1063" s="11"/>
      <c r="D1063" s="11"/>
      <c r="E1063" s="11"/>
      <c r="F1063" s="11"/>
      <c r="G1063" s="11"/>
    </row>
    <row r="1064" customFormat="false" ht="15.75" hidden="false" customHeight="false" outlineLevel="0" collapsed="false">
      <c r="A1064" s="9"/>
      <c r="B1064" s="10"/>
      <c r="C1064" s="11"/>
      <c r="D1064" s="11"/>
      <c r="E1064" s="11"/>
      <c r="F1064" s="11"/>
      <c r="G1064" s="11"/>
    </row>
    <row r="1065" customFormat="false" ht="15.75" hidden="false" customHeight="false" outlineLevel="0" collapsed="false">
      <c r="A1065" s="9"/>
      <c r="B1065" s="10"/>
      <c r="C1065" s="11"/>
      <c r="D1065" s="11"/>
      <c r="E1065" s="11"/>
      <c r="F1065" s="11"/>
      <c r="G1065" s="11"/>
    </row>
    <row r="1066" customFormat="false" ht="15.75" hidden="false" customHeight="false" outlineLevel="0" collapsed="false">
      <c r="A1066" s="9"/>
      <c r="B1066" s="10"/>
      <c r="C1066" s="11"/>
      <c r="D1066" s="11"/>
      <c r="E1066" s="11"/>
      <c r="F1066" s="11"/>
      <c r="G1066" s="11"/>
    </row>
    <row r="1067" customFormat="false" ht="15.75" hidden="false" customHeight="false" outlineLevel="0" collapsed="false">
      <c r="A1067" s="9"/>
      <c r="B1067" s="10"/>
      <c r="C1067" s="11"/>
      <c r="D1067" s="11"/>
      <c r="E1067" s="11"/>
      <c r="F1067" s="11"/>
      <c r="G1067" s="11"/>
    </row>
    <row r="1068" customFormat="false" ht="15.75" hidden="false" customHeight="false" outlineLevel="0" collapsed="false">
      <c r="A1068" s="9"/>
      <c r="B1068" s="10"/>
      <c r="C1068" s="11"/>
      <c r="D1068" s="11"/>
      <c r="E1068" s="11"/>
      <c r="F1068" s="11"/>
      <c r="G1068" s="11"/>
    </row>
    <row r="1069" customFormat="false" ht="15.75" hidden="false" customHeight="false" outlineLevel="0" collapsed="false">
      <c r="A1069" s="9"/>
      <c r="B1069" s="10"/>
      <c r="C1069" s="11"/>
      <c r="D1069" s="11"/>
      <c r="E1069" s="11"/>
      <c r="F1069" s="11"/>
      <c r="G1069" s="11"/>
    </row>
    <row r="1070" customFormat="false" ht="15.75" hidden="false" customHeight="false" outlineLevel="0" collapsed="false">
      <c r="A1070" s="9"/>
      <c r="B1070" s="10"/>
      <c r="C1070" s="11"/>
      <c r="D1070" s="11"/>
      <c r="E1070" s="11"/>
      <c r="F1070" s="11"/>
      <c r="G1070" s="11"/>
    </row>
    <row r="1071" customFormat="false" ht="15.75" hidden="false" customHeight="false" outlineLevel="0" collapsed="false">
      <c r="A1071" s="9"/>
      <c r="B1071" s="10"/>
      <c r="C1071" s="11"/>
      <c r="D1071" s="11"/>
      <c r="E1071" s="11"/>
      <c r="F1071" s="11"/>
      <c r="G1071" s="11"/>
    </row>
    <row r="1072" customFormat="false" ht="15.75" hidden="false" customHeight="false" outlineLevel="0" collapsed="false">
      <c r="A1072" s="9"/>
      <c r="B1072" s="10"/>
      <c r="C1072" s="11"/>
      <c r="D1072" s="11"/>
      <c r="E1072" s="11"/>
      <c r="F1072" s="11"/>
      <c r="G1072" s="11"/>
    </row>
    <row r="1073" customFormat="false" ht="15.75" hidden="false" customHeight="false" outlineLevel="0" collapsed="false">
      <c r="A1073" s="9"/>
      <c r="B1073" s="10"/>
      <c r="C1073" s="11"/>
      <c r="D1073" s="11"/>
      <c r="E1073" s="11"/>
      <c r="F1073" s="11"/>
      <c r="G1073" s="11"/>
    </row>
    <row r="1074" customFormat="false" ht="15.75" hidden="false" customHeight="false" outlineLevel="0" collapsed="false">
      <c r="A1074" s="9"/>
      <c r="B1074" s="10"/>
      <c r="C1074" s="11"/>
      <c r="D1074" s="11"/>
      <c r="E1074" s="11"/>
      <c r="F1074" s="11"/>
      <c r="G1074" s="11"/>
    </row>
    <row r="1075" customFormat="false" ht="15.75" hidden="false" customHeight="false" outlineLevel="0" collapsed="false">
      <c r="A1075" s="9"/>
      <c r="B1075" s="10"/>
      <c r="C1075" s="11"/>
      <c r="D1075" s="11"/>
      <c r="E1075" s="11"/>
      <c r="F1075" s="11"/>
      <c r="G1075" s="11"/>
    </row>
    <row r="1076" customFormat="false" ht="15.75" hidden="false" customHeight="false" outlineLevel="0" collapsed="false">
      <c r="A1076" s="9"/>
      <c r="B1076" s="10"/>
      <c r="C1076" s="11"/>
      <c r="D1076" s="11"/>
      <c r="E1076" s="11"/>
      <c r="F1076" s="11"/>
      <c r="G1076" s="11"/>
    </row>
    <row r="1077" customFormat="false" ht="15.75" hidden="false" customHeight="false" outlineLevel="0" collapsed="false">
      <c r="A1077" s="9"/>
      <c r="B1077" s="10"/>
      <c r="C1077" s="11"/>
      <c r="D1077" s="11"/>
      <c r="E1077" s="11"/>
      <c r="F1077" s="11"/>
      <c r="G1077" s="11"/>
    </row>
    <row r="1078" customFormat="false" ht="15.75" hidden="false" customHeight="false" outlineLevel="0" collapsed="false">
      <c r="A1078" s="9"/>
      <c r="B1078" s="10"/>
      <c r="C1078" s="11"/>
      <c r="D1078" s="11"/>
      <c r="E1078" s="11"/>
      <c r="F1078" s="11"/>
      <c r="G1078" s="11"/>
    </row>
    <row r="1079" customFormat="false" ht="15.75" hidden="false" customHeight="false" outlineLevel="0" collapsed="false">
      <c r="A1079" s="9"/>
      <c r="B1079" s="10"/>
      <c r="C1079" s="11"/>
      <c r="D1079" s="11"/>
      <c r="E1079" s="11"/>
      <c r="F1079" s="11"/>
      <c r="G1079" s="11"/>
    </row>
    <row r="1080" customFormat="false" ht="15.75" hidden="false" customHeight="false" outlineLevel="0" collapsed="false">
      <c r="A1080" s="9"/>
      <c r="B1080" s="10"/>
      <c r="C1080" s="11"/>
      <c r="D1080" s="11"/>
      <c r="E1080" s="11"/>
      <c r="F1080" s="11"/>
      <c r="G1080" s="11"/>
    </row>
    <row r="1081" customFormat="false" ht="15.75" hidden="false" customHeight="false" outlineLevel="0" collapsed="false">
      <c r="A1081" s="9"/>
      <c r="B1081" s="10"/>
      <c r="C1081" s="11"/>
      <c r="D1081" s="11"/>
      <c r="E1081" s="11"/>
      <c r="F1081" s="11"/>
      <c r="G1081" s="11"/>
    </row>
    <row r="1082" customFormat="false" ht="15.75" hidden="false" customHeight="false" outlineLevel="0" collapsed="false">
      <c r="A1082" s="9"/>
      <c r="B1082" s="10"/>
      <c r="C1082" s="11"/>
      <c r="D1082" s="11"/>
      <c r="E1082" s="11"/>
      <c r="F1082" s="11"/>
      <c r="G1082" s="11"/>
    </row>
    <row r="1083" customFormat="false" ht="15.75" hidden="false" customHeight="false" outlineLevel="0" collapsed="false">
      <c r="A1083" s="9"/>
      <c r="B1083" s="10"/>
      <c r="C1083" s="11"/>
      <c r="D1083" s="11"/>
      <c r="E1083" s="11"/>
      <c r="F1083" s="11"/>
      <c r="G1083" s="11"/>
    </row>
    <row r="1084" customFormat="false" ht="15.75" hidden="false" customHeight="false" outlineLevel="0" collapsed="false">
      <c r="A1084" s="9"/>
      <c r="B1084" s="10"/>
      <c r="C1084" s="11"/>
      <c r="D1084" s="11"/>
      <c r="E1084" s="11"/>
      <c r="F1084" s="11"/>
      <c r="G1084" s="11"/>
    </row>
    <row r="1085" customFormat="false" ht="15.75" hidden="false" customHeight="false" outlineLevel="0" collapsed="false">
      <c r="A1085" s="9"/>
      <c r="B1085" s="10"/>
      <c r="C1085" s="11"/>
      <c r="D1085" s="11"/>
      <c r="E1085" s="11"/>
      <c r="F1085" s="11"/>
      <c r="G1085" s="11"/>
    </row>
    <row r="1086" customFormat="false" ht="15.75" hidden="false" customHeight="false" outlineLevel="0" collapsed="false">
      <c r="A1086" s="9"/>
      <c r="B1086" s="10"/>
      <c r="C1086" s="11"/>
      <c r="D1086" s="11"/>
      <c r="E1086" s="11"/>
      <c r="F1086" s="11"/>
      <c r="G1086" s="11"/>
    </row>
    <row r="1087" customFormat="false" ht="15.75" hidden="false" customHeight="false" outlineLevel="0" collapsed="false">
      <c r="A1087" s="9"/>
      <c r="B1087" s="10"/>
      <c r="C1087" s="11"/>
      <c r="D1087" s="11"/>
      <c r="E1087" s="11"/>
      <c r="F1087" s="11"/>
      <c r="G1087" s="11"/>
    </row>
    <row r="1088" customFormat="false" ht="15.75" hidden="false" customHeight="false" outlineLevel="0" collapsed="false">
      <c r="A1088" s="9"/>
      <c r="B1088" s="10"/>
      <c r="C1088" s="11"/>
      <c r="D1088" s="11"/>
      <c r="E1088" s="11"/>
      <c r="F1088" s="11"/>
      <c r="G1088" s="11"/>
    </row>
    <row r="1089" customFormat="false" ht="15.75" hidden="false" customHeight="false" outlineLevel="0" collapsed="false">
      <c r="A1089" s="9"/>
      <c r="B1089" s="10"/>
      <c r="C1089" s="11"/>
      <c r="D1089" s="11"/>
      <c r="E1089" s="11"/>
      <c r="F1089" s="11"/>
      <c r="G1089" s="11"/>
    </row>
    <row r="1090" customFormat="false" ht="15.75" hidden="false" customHeight="false" outlineLevel="0" collapsed="false">
      <c r="A1090" s="9"/>
      <c r="B1090" s="10"/>
      <c r="C1090" s="11"/>
      <c r="D1090" s="11"/>
      <c r="E1090" s="11"/>
      <c r="F1090" s="11"/>
      <c r="G1090" s="11"/>
    </row>
    <row r="1091" customFormat="false" ht="15.75" hidden="false" customHeight="false" outlineLevel="0" collapsed="false">
      <c r="A1091" s="9"/>
      <c r="B1091" s="10"/>
      <c r="C1091" s="11"/>
      <c r="D1091" s="11"/>
      <c r="E1091" s="11"/>
      <c r="F1091" s="11"/>
      <c r="G1091" s="11"/>
    </row>
    <row r="1092" customFormat="false" ht="15.75" hidden="false" customHeight="false" outlineLevel="0" collapsed="false">
      <c r="A1092" s="12"/>
      <c r="B1092" s="10"/>
      <c r="C1092" s="13"/>
      <c r="D1092" s="11"/>
      <c r="E1092" s="11"/>
      <c r="F1092" s="11"/>
      <c r="G1092" s="11"/>
    </row>
    <row r="1093" customFormat="false" ht="15.75" hidden="false" customHeight="false" outlineLevel="0" collapsed="false">
      <c r="A1093" s="12"/>
      <c r="B1093" s="10"/>
      <c r="C1093" s="13"/>
      <c r="D1093" s="11"/>
      <c r="E1093" s="11"/>
      <c r="F1093" s="11"/>
      <c r="G1093" s="11"/>
    </row>
    <row r="1094" customFormat="false" ht="15.75" hidden="false" customHeight="false" outlineLevel="0" collapsed="false">
      <c r="A1094" s="12"/>
      <c r="B1094" s="10"/>
      <c r="C1094" s="13"/>
      <c r="D1094" s="11"/>
      <c r="E1094" s="11"/>
      <c r="F1094" s="11"/>
      <c r="G1094" s="11"/>
    </row>
    <row r="1095" customFormat="false" ht="15.75" hidden="false" customHeight="false" outlineLevel="0" collapsed="false">
      <c r="A1095" s="12"/>
      <c r="B1095" s="10"/>
      <c r="C1095" s="13"/>
      <c r="D1095" s="11"/>
      <c r="E1095" s="11"/>
      <c r="F1095" s="11"/>
      <c r="G1095" s="11"/>
    </row>
    <row r="1096" customFormat="false" ht="15.75" hidden="false" customHeight="false" outlineLevel="0" collapsed="false">
      <c r="A1096" s="9"/>
      <c r="B1096" s="10"/>
      <c r="C1096" s="11"/>
      <c r="D1096" s="11"/>
      <c r="E1096" s="11"/>
      <c r="F1096" s="11"/>
      <c r="G1096" s="11"/>
    </row>
    <row r="1097" customFormat="false" ht="15.75" hidden="false" customHeight="false" outlineLevel="0" collapsed="false">
      <c r="A1097" s="9"/>
      <c r="B1097" s="10"/>
      <c r="C1097" s="11"/>
      <c r="D1097" s="11"/>
      <c r="E1097" s="11"/>
      <c r="F1097" s="11"/>
      <c r="G1097" s="11"/>
    </row>
    <row r="1098" customFormat="false" ht="15.75" hidden="false" customHeight="false" outlineLevel="0" collapsed="false">
      <c r="A1098" s="9"/>
      <c r="B1098" s="10"/>
      <c r="C1098" s="11"/>
      <c r="D1098" s="11"/>
      <c r="E1098" s="11"/>
      <c r="F1098" s="11"/>
      <c r="G1098" s="11"/>
    </row>
    <row r="1099" customFormat="false" ht="15.75" hidden="false" customHeight="false" outlineLevel="0" collapsed="false">
      <c r="A1099" s="9"/>
      <c r="B1099" s="10"/>
      <c r="C1099" s="11"/>
      <c r="D1099" s="11"/>
      <c r="E1099" s="11"/>
      <c r="F1099" s="11"/>
      <c r="G1099" s="11"/>
    </row>
    <row r="1100" customFormat="false" ht="15.75" hidden="false" customHeight="false" outlineLevel="0" collapsed="false">
      <c r="A1100" s="9"/>
      <c r="B1100" s="10"/>
      <c r="C1100" s="11"/>
      <c r="D1100" s="11"/>
      <c r="E1100" s="11"/>
      <c r="F1100" s="11"/>
      <c r="G1100" s="11"/>
    </row>
    <row r="1101" customFormat="false" ht="15.75" hidden="false" customHeight="false" outlineLevel="0" collapsed="false">
      <c r="A1101" s="9"/>
      <c r="B1101" s="10"/>
      <c r="C1101" s="11"/>
      <c r="D1101" s="11"/>
      <c r="E1101" s="11"/>
      <c r="F1101" s="11"/>
      <c r="G1101" s="11"/>
    </row>
    <row r="1102" customFormat="false" ht="15.75" hidden="false" customHeight="false" outlineLevel="0" collapsed="false">
      <c r="A1102" s="9"/>
      <c r="B1102" s="10"/>
      <c r="C1102" s="11"/>
      <c r="D1102" s="11"/>
      <c r="E1102" s="11"/>
      <c r="F1102" s="11"/>
      <c r="G1102" s="11"/>
    </row>
    <row r="1103" customFormat="false" ht="15.75" hidden="false" customHeight="false" outlineLevel="0" collapsed="false">
      <c r="A1103" s="9"/>
      <c r="B1103" s="10"/>
      <c r="C1103" s="11"/>
      <c r="D1103" s="11"/>
      <c r="E1103" s="11"/>
      <c r="F1103" s="11"/>
      <c r="G1103" s="11"/>
    </row>
    <row r="1104" customFormat="false" ht="15.75" hidden="false" customHeight="false" outlineLevel="0" collapsed="false">
      <c r="A1104" s="9"/>
      <c r="B1104" s="10"/>
      <c r="C1104" s="11"/>
      <c r="D1104" s="11"/>
      <c r="E1104" s="11"/>
      <c r="F1104" s="11"/>
      <c r="G1104" s="11"/>
    </row>
    <row r="1105" customFormat="false" ht="15.75" hidden="false" customHeight="false" outlineLevel="0" collapsed="false">
      <c r="A1105" s="9"/>
      <c r="B1105" s="10"/>
      <c r="C1105" s="11"/>
      <c r="D1105" s="11"/>
      <c r="E1105" s="11"/>
      <c r="F1105" s="11"/>
      <c r="G1105" s="11"/>
    </row>
    <row r="1106" customFormat="false" ht="15.75" hidden="false" customHeight="false" outlineLevel="0" collapsed="false">
      <c r="A1106" s="9"/>
      <c r="B1106" s="10"/>
      <c r="C1106" s="11"/>
      <c r="D1106" s="11"/>
      <c r="E1106" s="11"/>
      <c r="F1106" s="11"/>
      <c r="G1106" s="11"/>
    </row>
    <row r="1107" customFormat="false" ht="15.75" hidden="false" customHeight="false" outlineLevel="0" collapsed="false">
      <c r="A1107" s="9"/>
      <c r="B1107" s="10"/>
      <c r="C1107" s="11"/>
      <c r="D1107" s="11"/>
      <c r="E1107" s="11"/>
      <c r="F1107" s="11"/>
      <c r="G1107" s="11"/>
    </row>
    <row r="1108" customFormat="false" ht="15.75" hidden="false" customHeight="false" outlineLevel="0" collapsed="false">
      <c r="A1108" s="9"/>
      <c r="B1108" s="10"/>
      <c r="C1108" s="11"/>
      <c r="D1108" s="11"/>
      <c r="E1108" s="11"/>
      <c r="F1108" s="11"/>
      <c r="G1108" s="11"/>
    </row>
    <row r="1109" customFormat="false" ht="15.75" hidden="false" customHeight="false" outlineLevel="0" collapsed="false">
      <c r="A1109" s="9"/>
      <c r="B1109" s="10"/>
      <c r="C1109" s="11"/>
      <c r="D1109" s="11"/>
      <c r="E1109" s="11"/>
      <c r="F1109" s="11"/>
      <c r="G1109" s="11"/>
    </row>
    <row r="1110" customFormat="false" ht="15.75" hidden="false" customHeight="false" outlineLevel="0" collapsed="false">
      <c r="A1110" s="9"/>
      <c r="B1110" s="10"/>
      <c r="C1110" s="11"/>
      <c r="D1110" s="11"/>
      <c r="E1110" s="11"/>
      <c r="F1110" s="11"/>
      <c r="G1110" s="11"/>
    </row>
    <row r="1111" customFormat="false" ht="15.75" hidden="false" customHeight="false" outlineLevel="0" collapsed="false">
      <c r="A1111" s="9"/>
      <c r="B1111" s="10"/>
      <c r="C1111" s="11"/>
      <c r="D1111" s="11"/>
      <c r="E1111" s="11"/>
      <c r="F1111" s="11"/>
      <c r="G1111" s="11"/>
    </row>
    <row r="1112" customFormat="false" ht="15.75" hidden="false" customHeight="false" outlineLevel="0" collapsed="false">
      <c r="A1112" s="9"/>
      <c r="B1112" s="10"/>
      <c r="C1112" s="11"/>
      <c r="D1112" s="11"/>
      <c r="E1112" s="11"/>
      <c r="F1112" s="11"/>
      <c r="G1112" s="11"/>
    </row>
    <row r="1113" customFormat="false" ht="15.75" hidden="false" customHeight="false" outlineLevel="0" collapsed="false">
      <c r="A1113" s="9"/>
      <c r="B1113" s="10"/>
      <c r="C1113" s="11"/>
      <c r="D1113" s="11"/>
      <c r="E1113" s="11"/>
      <c r="F1113" s="11"/>
      <c r="G1113" s="11"/>
    </row>
    <row r="1114" customFormat="false" ht="15.75" hidden="false" customHeight="false" outlineLevel="0" collapsed="false">
      <c r="A1114" s="9"/>
      <c r="B1114" s="10"/>
      <c r="C1114" s="11"/>
      <c r="D1114" s="11"/>
      <c r="E1114" s="11"/>
      <c r="F1114" s="11"/>
      <c r="G1114" s="11"/>
    </row>
    <row r="1115" customFormat="false" ht="15.75" hidden="false" customHeight="false" outlineLevel="0" collapsed="false">
      <c r="A1115" s="9"/>
      <c r="B1115" s="10"/>
      <c r="C1115" s="11"/>
      <c r="D1115" s="11"/>
      <c r="E1115" s="11"/>
      <c r="F1115" s="11"/>
      <c r="G1115" s="11"/>
    </row>
    <row r="1116" customFormat="false" ht="15.75" hidden="false" customHeight="false" outlineLevel="0" collapsed="false">
      <c r="A1116" s="9"/>
      <c r="B1116" s="10"/>
      <c r="C1116" s="11"/>
      <c r="D1116" s="11"/>
      <c r="E1116" s="11"/>
      <c r="F1116" s="11"/>
      <c r="G1116" s="11"/>
    </row>
    <row r="1117" customFormat="false" ht="15.75" hidden="false" customHeight="false" outlineLevel="0" collapsed="false">
      <c r="A1117" s="9"/>
      <c r="B1117" s="10"/>
      <c r="C1117" s="11"/>
      <c r="D1117" s="11"/>
      <c r="E1117" s="11"/>
      <c r="F1117" s="11"/>
      <c r="G1117" s="11"/>
    </row>
    <row r="1118" customFormat="false" ht="15.75" hidden="false" customHeight="false" outlineLevel="0" collapsed="false">
      <c r="A1118" s="9"/>
      <c r="B1118" s="10"/>
      <c r="C1118" s="11"/>
      <c r="D1118" s="11"/>
      <c r="E1118" s="11"/>
      <c r="F1118" s="11"/>
      <c r="G1118" s="11"/>
    </row>
    <row r="1119" customFormat="false" ht="15.75" hidden="false" customHeight="false" outlineLevel="0" collapsed="false">
      <c r="A1119" s="9"/>
      <c r="B1119" s="10"/>
      <c r="C1119" s="11"/>
      <c r="D1119" s="11"/>
      <c r="E1119" s="11"/>
      <c r="F1119" s="11"/>
      <c r="G1119" s="11"/>
    </row>
    <row r="1120" customFormat="false" ht="15.75" hidden="false" customHeight="false" outlineLevel="0" collapsed="false">
      <c r="A1120" s="9"/>
      <c r="B1120" s="10" t="n">
        <f aca="false">A1120</f>
        <v>0</v>
      </c>
      <c r="C1120" s="11"/>
      <c r="D1120" s="11"/>
      <c r="E1120" s="11"/>
      <c r="F1120" s="11"/>
      <c r="G1120" s="11"/>
    </row>
    <row r="1121" customFormat="false" ht="15.75" hidden="false" customHeight="false" outlineLevel="0" collapsed="false">
      <c r="A1121" s="9"/>
      <c r="B1121" s="10" t="n">
        <f aca="false">A1121</f>
        <v>0</v>
      </c>
      <c r="C1121" s="11"/>
      <c r="D1121" s="11"/>
      <c r="E1121" s="11"/>
      <c r="F1121" s="11"/>
      <c r="G1121" s="11"/>
    </row>
    <row r="1122" customFormat="false" ht="15.75" hidden="false" customHeight="false" outlineLevel="0" collapsed="false">
      <c r="A1122" s="9"/>
      <c r="B1122" s="10" t="n">
        <f aca="false">A1122</f>
        <v>0</v>
      </c>
      <c r="C1122" s="11"/>
      <c r="D1122" s="14"/>
      <c r="E1122" s="14"/>
      <c r="F1122" s="14"/>
      <c r="G1122" s="14"/>
    </row>
    <row r="1123" customFormat="false" ht="15.75" hidden="false" customHeight="false" outlineLevel="0" collapsed="false">
      <c r="A1123" s="9"/>
      <c r="B1123" s="10" t="n">
        <f aca="false">A1123</f>
        <v>0</v>
      </c>
      <c r="C1123" s="11"/>
      <c r="D1123" s="14"/>
      <c r="E1123" s="14"/>
      <c r="F1123" s="14"/>
      <c r="G1123" s="14"/>
    </row>
    <row r="1124" customFormat="false" ht="15.75" hidden="false" customHeight="false" outlineLevel="0" collapsed="false">
      <c r="A1124" s="9"/>
      <c r="B1124" s="10" t="n">
        <f aca="false">A1124</f>
        <v>0</v>
      </c>
      <c r="C1124" s="11"/>
      <c r="D1124" s="14"/>
      <c r="E1124" s="14"/>
      <c r="F1124" s="14"/>
      <c r="G1124" s="14"/>
    </row>
    <row r="1125" customFormat="false" ht="15.75" hidden="false" customHeight="false" outlineLevel="0" collapsed="false">
      <c r="A1125" s="9"/>
      <c r="B1125" s="10" t="n">
        <f aca="false">A1125</f>
        <v>0</v>
      </c>
      <c r="C1125" s="11"/>
      <c r="D1125" s="14"/>
      <c r="E1125" s="14"/>
      <c r="F1125" s="14"/>
      <c r="G1125" s="14"/>
    </row>
    <row r="1126" customFormat="false" ht="15.75" hidden="false" customHeight="false" outlineLevel="0" collapsed="false">
      <c r="A1126" s="9"/>
      <c r="B1126" s="10" t="n">
        <f aca="false">A1126</f>
        <v>0</v>
      </c>
      <c r="C1126" s="11"/>
      <c r="D1126" s="14"/>
      <c r="E1126" s="14"/>
      <c r="F1126" s="14"/>
      <c r="G1126" s="14"/>
    </row>
    <row r="1127" customFormat="false" ht="15.75" hidden="false" customHeight="false" outlineLevel="0" collapsed="false">
      <c r="A1127" s="9"/>
      <c r="B1127" s="10" t="n">
        <f aca="false">A1127</f>
        <v>0</v>
      </c>
      <c r="C1127" s="11"/>
      <c r="D1127" s="11"/>
      <c r="E1127" s="11"/>
      <c r="F1127" s="11"/>
      <c r="G1127" s="11"/>
    </row>
    <row r="1128" customFormat="false" ht="15.75" hidden="false" customHeight="false" outlineLevel="0" collapsed="false">
      <c r="A1128" s="9"/>
      <c r="B1128" s="10" t="n">
        <f aca="false">A1128</f>
        <v>0</v>
      </c>
      <c r="C1128" s="11"/>
      <c r="D1128" s="11"/>
      <c r="E1128" s="11"/>
      <c r="F1128" s="11"/>
      <c r="G1128" s="11"/>
    </row>
    <row r="1129" customFormat="false" ht="15.75" hidden="false" customHeight="false" outlineLevel="0" collapsed="false">
      <c r="A1129" s="9"/>
      <c r="B1129" s="10" t="n">
        <f aca="false">A1129</f>
        <v>0</v>
      </c>
      <c r="C1129" s="11"/>
      <c r="D1129" s="14"/>
      <c r="E1129" s="14"/>
      <c r="F1129" s="14"/>
      <c r="G1129" s="14"/>
    </row>
    <row r="1130" customFormat="false" ht="15.75" hidden="false" customHeight="false" outlineLevel="0" collapsed="false">
      <c r="A1130" s="9"/>
      <c r="B1130" s="10" t="n">
        <f aca="false">A1130</f>
        <v>0</v>
      </c>
      <c r="C1130" s="11"/>
      <c r="D1130" s="14"/>
      <c r="E1130" s="14"/>
      <c r="F1130" s="14"/>
      <c r="G1130" s="14"/>
    </row>
    <row r="1131" customFormat="false" ht="15.75" hidden="false" customHeight="false" outlineLevel="0" collapsed="false">
      <c r="A1131" s="9"/>
      <c r="B1131" s="10" t="n">
        <f aca="false">A1131</f>
        <v>0</v>
      </c>
      <c r="C1131" s="11"/>
      <c r="D1131" s="14"/>
      <c r="E1131" s="14"/>
      <c r="F1131" s="14"/>
      <c r="G1131" s="14"/>
    </row>
    <row r="1132" customFormat="false" ht="15.75" hidden="false" customHeight="false" outlineLevel="0" collapsed="false">
      <c r="A1132" s="9"/>
      <c r="B1132" s="10" t="n">
        <f aca="false">A1132</f>
        <v>0</v>
      </c>
      <c r="C1132" s="11"/>
      <c r="D1132" s="14"/>
      <c r="E1132" s="14"/>
      <c r="F1132" s="14"/>
      <c r="G1132" s="14"/>
    </row>
    <row r="1133" customFormat="false" ht="15.75" hidden="false" customHeight="false" outlineLevel="0" collapsed="false">
      <c r="A1133" s="9"/>
      <c r="B1133" s="10" t="n">
        <f aca="false">A1133</f>
        <v>0</v>
      </c>
      <c r="C1133" s="11"/>
      <c r="D1133" s="14"/>
      <c r="E1133" s="14"/>
      <c r="F1133" s="14"/>
      <c r="G1133" s="14"/>
    </row>
    <row r="1134" customFormat="false" ht="15.75" hidden="false" customHeight="false" outlineLevel="0" collapsed="false">
      <c r="A1134" s="9"/>
      <c r="B1134" s="10" t="n">
        <f aca="false">A1134</f>
        <v>0</v>
      </c>
      <c r="C1134" s="11"/>
      <c r="D1134" s="14"/>
      <c r="E1134" s="14"/>
      <c r="F1134" s="14"/>
      <c r="G1134" s="14"/>
    </row>
    <row r="1135" customFormat="false" ht="15.75" hidden="false" customHeight="false" outlineLevel="0" collapsed="false">
      <c r="A1135" s="9"/>
      <c r="B1135" s="10" t="n">
        <f aca="false">A1135</f>
        <v>0</v>
      </c>
      <c r="C1135" s="11"/>
      <c r="D1135" s="14"/>
      <c r="E1135" s="14"/>
      <c r="F1135" s="14"/>
      <c r="G1135" s="14"/>
    </row>
    <row r="1136" customFormat="false" ht="15.75" hidden="false" customHeight="false" outlineLevel="0" collapsed="false">
      <c r="A1136" s="9"/>
      <c r="B1136" s="10" t="n">
        <f aca="false">A1136</f>
        <v>0</v>
      </c>
      <c r="C1136" s="11"/>
      <c r="D1136" s="14"/>
      <c r="E1136" s="14"/>
      <c r="F1136" s="14"/>
      <c r="G1136" s="14"/>
    </row>
    <row r="1137" customFormat="false" ht="15.75" hidden="false" customHeight="false" outlineLevel="0" collapsed="false">
      <c r="A1137" s="9"/>
      <c r="B1137" s="10" t="n">
        <f aca="false">A1137</f>
        <v>0</v>
      </c>
      <c r="C1137" s="11"/>
      <c r="D1137" s="14"/>
      <c r="E1137" s="14"/>
      <c r="F1137" s="14"/>
      <c r="G1137" s="14"/>
    </row>
    <row r="1138" customFormat="false" ht="15.75" hidden="false" customHeight="false" outlineLevel="0" collapsed="false">
      <c r="A1138" s="9"/>
      <c r="B1138" s="10" t="n">
        <f aca="false">A1138</f>
        <v>0</v>
      </c>
      <c r="C1138" s="11"/>
      <c r="D1138" s="11"/>
      <c r="E1138" s="11"/>
      <c r="F1138" s="11"/>
      <c r="G1138" s="11"/>
    </row>
    <row r="1139" customFormat="false" ht="15.75" hidden="false" customHeight="false" outlineLevel="0" collapsed="false">
      <c r="A1139" s="9"/>
      <c r="B1139" s="10" t="n">
        <f aca="false">A1139</f>
        <v>0</v>
      </c>
      <c r="C1139" s="11"/>
      <c r="D1139" s="14"/>
      <c r="E1139" s="14"/>
      <c r="F1139" s="14"/>
      <c r="G1139" s="14"/>
    </row>
    <row r="1140" customFormat="false" ht="15.75" hidden="false" customHeight="false" outlineLevel="0" collapsed="false">
      <c r="A1140" s="9"/>
      <c r="B1140" s="10" t="n">
        <f aca="false">A1140</f>
        <v>0</v>
      </c>
      <c r="C1140" s="11"/>
      <c r="D1140" s="11"/>
      <c r="E1140" s="11"/>
      <c r="F1140" s="11"/>
      <c r="G1140" s="11"/>
    </row>
    <row r="1141" customFormat="false" ht="15.75" hidden="false" customHeight="false" outlineLevel="0" collapsed="false">
      <c r="A1141" s="9"/>
      <c r="B1141" s="10" t="n">
        <f aca="false">A1141</f>
        <v>0</v>
      </c>
      <c r="C1141" s="11"/>
      <c r="D1141" s="14"/>
      <c r="E1141" s="14"/>
      <c r="F1141" s="14"/>
      <c r="G1141" s="14"/>
    </row>
    <row r="1142" customFormat="false" ht="15.75" hidden="false" customHeight="false" outlineLevel="0" collapsed="false">
      <c r="A1142" s="9"/>
      <c r="B1142" s="10" t="n">
        <f aca="false">A1142</f>
        <v>0</v>
      </c>
      <c r="C1142" s="11"/>
      <c r="D1142" s="11"/>
      <c r="E1142" s="11"/>
      <c r="F1142" s="11"/>
      <c r="G1142" s="11"/>
    </row>
    <row r="1143" customFormat="false" ht="15.75" hidden="false" customHeight="false" outlineLevel="0" collapsed="false">
      <c r="A1143" s="9"/>
      <c r="B1143" s="10" t="n">
        <f aca="false">A1143</f>
        <v>0</v>
      </c>
      <c r="C1143" s="11"/>
      <c r="D1143" s="11"/>
      <c r="E1143" s="11"/>
      <c r="F1143" s="11"/>
      <c r="G1143" s="11"/>
    </row>
    <row r="1144" customFormat="false" ht="15.75" hidden="false" customHeight="false" outlineLevel="0" collapsed="false">
      <c r="A1144" s="9"/>
      <c r="B1144" s="10" t="n">
        <f aca="false">A1144</f>
        <v>0</v>
      </c>
      <c r="C1144" s="11"/>
      <c r="D1144" s="14"/>
      <c r="E1144" s="14"/>
      <c r="F1144" s="14"/>
      <c r="G1144" s="14"/>
    </row>
    <row r="1145" customFormat="false" ht="15.75" hidden="false" customHeight="false" outlineLevel="0" collapsed="false">
      <c r="A1145" s="9"/>
      <c r="B1145" s="10" t="n">
        <f aca="false">A1145</f>
        <v>0</v>
      </c>
      <c r="C1145" s="11"/>
      <c r="D1145" s="11"/>
      <c r="E1145" s="11"/>
      <c r="F1145" s="11"/>
      <c r="G1145" s="11"/>
    </row>
    <row r="1146" customFormat="false" ht="15.75" hidden="false" customHeight="false" outlineLevel="0" collapsed="false">
      <c r="A1146" s="9"/>
      <c r="B1146" s="10" t="n">
        <f aca="false">A1146</f>
        <v>0</v>
      </c>
      <c r="C1146" s="11"/>
      <c r="D1146" s="11"/>
      <c r="E1146" s="11"/>
      <c r="F1146" s="11"/>
      <c r="G1146" s="11"/>
    </row>
    <row r="1147" customFormat="false" ht="15.75" hidden="false" customHeight="false" outlineLevel="0" collapsed="false">
      <c r="A1147" s="9"/>
      <c r="B1147" s="10" t="n">
        <f aca="false">A1147</f>
        <v>0</v>
      </c>
      <c r="C1147" s="11"/>
      <c r="D1147" s="11"/>
      <c r="E1147" s="11"/>
      <c r="F1147" s="11"/>
      <c r="G1147" s="11"/>
    </row>
    <row r="1148" customFormat="false" ht="15.75" hidden="false" customHeight="false" outlineLevel="0" collapsed="false">
      <c r="A1148" s="9"/>
      <c r="B1148" s="10" t="n">
        <f aca="false">A1148</f>
        <v>0</v>
      </c>
      <c r="C1148" s="11"/>
      <c r="D1148" s="11"/>
      <c r="E1148" s="11"/>
      <c r="F1148" s="11"/>
      <c r="G1148" s="11"/>
    </row>
    <row r="1149" customFormat="false" ht="15.75" hidden="false" customHeight="false" outlineLevel="0" collapsed="false">
      <c r="A1149" s="9"/>
      <c r="B1149" s="10" t="n">
        <f aca="false">A1149</f>
        <v>0</v>
      </c>
      <c r="C1149" s="11"/>
      <c r="D1149" s="11"/>
      <c r="E1149" s="11"/>
      <c r="F1149" s="11"/>
      <c r="G1149" s="11"/>
    </row>
    <row r="1150" customFormat="false" ht="15.75" hidden="false" customHeight="false" outlineLevel="0" collapsed="false">
      <c r="A1150" s="9"/>
      <c r="B1150" s="10" t="n">
        <f aca="false">A1150</f>
        <v>0</v>
      </c>
      <c r="C1150" s="11"/>
      <c r="D1150" s="11"/>
      <c r="E1150" s="11"/>
      <c r="F1150" s="11"/>
      <c r="G1150" s="11"/>
    </row>
    <row r="1151" customFormat="false" ht="15.75" hidden="false" customHeight="false" outlineLevel="0" collapsed="false">
      <c r="A1151" s="9"/>
      <c r="B1151" s="10" t="n">
        <f aca="false">A1151</f>
        <v>0</v>
      </c>
      <c r="C1151" s="11"/>
      <c r="D1151" s="11"/>
      <c r="E1151" s="11"/>
      <c r="F1151" s="11"/>
      <c r="G1151" s="11"/>
    </row>
    <row r="1152" customFormat="false" ht="15.75" hidden="false" customHeight="false" outlineLevel="0" collapsed="false">
      <c r="A1152" s="9"/>
      <c r="B1152" s="10" t="n">
        <f aca="false">A1152</f>
        <v>0</v>
      </c>
      <c r="C1152" s="11"/>
      <c r="D1152" s="11"/>
      <c r="E1152" s="11"/>
      <c r="F1152" s="11"/>
      <c r="G1152" s="11"/>
    </row>
    <row r="1153" customFormat="false" ht="15.75" hidden="false" customHeight="false" outlineLevel="0" collapsed="false">
      <c r="A1153" s="9"/>
      <c r="B1153" s="10" t="n">
        <f aca="false">A1153</f>
        <v>0</v>
      </c>
      <c r="C1153" s="11"/>
      <c r="D1153" s="11"/>
      <c r="E1153" s="11"/>
      <c r="F1153" s="11"/>
      <c r="G1153" s="11"/>
    </row>
    <row r="1154" customFormat="false" ht="15.75" hidden="false" customHeight="false" outlineLevel="0" collapsed="false">
      <c r="A1154" s="9"/>
      <c r="B1154" s="10" t="n">
        <f aca="false">A1154</f>
        <v>0</v>
      </c>
      <c r="C1154" s="11"/>
      <c r="D1154" s="11"/>
      <c r="E1154" s="11"/>
      <c r="F1154" s="11"/>
      <c r="G1154" s="11"/>
    </row>
    <row r="1155" customFormat="false" ht="15.75" hidden="false" customHeight="false" outlineLevel="0" collapsed="false">
      <c r="A1155" s="9"/>
      <c r="B1155" s="10" t="n">
        <f aca="false">A1155</f>
        <v>0</v>
      </c>
      <c r="C1155" s="11"/>
      <c r="D1155" s="11"/>
      <c r="E1155" s="11"/>
      <c r="F1155" s="11"/>
      <c r="G1155" s="11"/>
    </row>
    <row r="1156" customFormat="false" ht="15.75" hidden="false" customHeight="false" outlineLevel="0" collapsed="false">
      <c r="A1156" s="9"/>
      <c r="B1156" s="10" t="n">
        <f aca="false">A1156</f>
        <v>0</v>
      </c>
      <c r="C1156" s="11"/>
      <c r="D1156" s="11"/>
      <c r="E1156" s="11"/>
      <c r="F1156" s="11"/>
      <c r="G1156" s="11"/>
    </row>
    <row r="1157" customFormat="false" ht="15.75" hidden="false" customHeight="false" outlineLevel="0" collapsed="false">
      <c r="A1157" s="9"/>
      <c r="B1157" s="10" t="n">
        <f aca="false">A1157</f>
        <v>0</v>
      </c>
      <c r="C1157" s="11"/>
      <c r="D1157" s="11"/>
      <c r="E1157" s="11"/>
      <c r="F1157" s="11"/>
      <c r="G1157" s="11"/>
    </row>
    <row r="1158" customFormat="false" ht="15.75" hidden="false" customHeight="false" outlineLevel="0" collapsed="false">
      <c r="A1158" s="9"/>
      <c r="B1158" s="10" t="n">
        <f aca="false">A1158</f>
        <v>0</v>
      </c>
      <c r="C1158" s="11"/>
      <c r="D1158" s="11"/>
      <c r="E1158" s="11"/>
      <c r="F1158" s="11"/>
      <c r="G1158" s="11"/>
    </row>
    <row r="1159" customFormat="false" ht="15.75" hidden="false" customHeight="false" outlineLevel="0" collapsed="false">
      <c r="A1159" s="9"/>
      <c r="B1159" s="10" t="n">
        <f aca="false">A1159</f>
        <v>0</v>
      </c>
      <c r="C1159" s="11"/>
      <c r="D1159" s="11"/>
      <c r="E1159" s="11"/>
      <c r="F1159" s="11"/>
      <c r="G1159" s="11"/>
    </row>
    <row r="1160" customFormat="false" ht="15.75" hidden="false" customHeight="false" outlineLevel="0" collapsed="false">
      <c r="A1160" s="9"/>
      <c r="B1160" s="10" t="n">
        <f aca="false">A1160</f>
        <v>0</v>
      </c>
      <c r="C1160" s="11"/>
      <c r="D1160" s="11"/>
      <c r="E1160" s="11"/>
      <c r="F1160" s="11"/>
      <c r="G1160" s="11"/>
    </row>
    <row r="1161" customFormat="false" ht="15.75" hidden="false" customHeight="false" outlineLevel="0" collapsed="false">
      <c r="A1161" s="9"/>
      <c r="B1161" s="10" t="n">
        <f aca="false">A1161</f>
        <v>0</v>
      </c>
      <c r="C1161" s="11"/>
      <c r="D1161" s="11"/>
      <c r="E1161" s="11"/>
      <c r="F1161" s="11"/>
      <c r="G1161" s="11"/>
    </row>
    <row r="1162" customFormat="false" ht="15.75" hidden="false" customHeight="false" outlineLevel="0" collapsed="false">
      <c r="A1162" s="9"/>
      <c r="B1162" s="10" t="n">
        <f aca="false">A1162</f>
        <v>0</v>
      </c>
      <c r="C1162" s="11"/>
      <c r="D1162" s="11"/>
      <c r="E1162" s="13"/>
      <c r="F1162" s="13"/>
      <c r="G1162" s="13"/>
    </row>
    <row r="1163" customFormat="false" ht="15.75" hidden="false" customHeight="false" outlineLevel="0" collapsed="false">
      <c r="A1163" s="9"/>
      <c r="B1163" s="10" t="n">
        <f aca="false">A1163</f>
        <v>0</v>
      </c>
      <c r="C1163" s="11"/>
      <c r="D1163" s="11"/>
      <c r="E1163" s="13"/>
      <c r="F1163" s="13"/>
      <c r="G1163" s="13"/>
    </row>
    <row r="1164" customFormat="false" ht="15.75" hidden="false" customHeight="false" outlineLevel="0" collapsed="false">
      <c r="A1164" s="9"/>
      <c r="B1164" s="10" t="n">
        <f aca="false">A1164</f>
        <v>0</v>
      </c>
      <c r="C1164" s="11"/>
      <c r="D1164" s="11"/>
      <c r="E1164" s="13"/>
      <c r="F1164" s="13"/>
      <c r="G1164" s="13"/>
    </row>
    <row r="1165" customFormat="false" ht="15.75" hidden="false" customHeight="false" outlineLevel="0" collapsed="false">
      <c r="A1165" s="9"/>
      <c r="B1165" s="10" t="n">
        <f aca="false">A1165</f>
        <v>0</v>
      </c>
      <c r="C1165" s="11"/>
      <c r="D1165" s="11"/>
      <c r="E1165" s="13"/>
      <c r="F1165" s="13"/>
      <c r="G1165" s="13"/>
    </row>
    <row r="1166" customFormat="false" ht="15.75" hidden="false" customHeight="false" outlineLevel="0" collapsed="false">
      <c r="A1166" s="9"/>
      <c r="B1166" s="10" t="n">
        <f aca="false">A1166</f>
        <v>0</v>
      </c>
      <c r="C1166" s="11"/>
      <c r="D1166" s="11"/>
      <c r="E1166" s="11"/>
      <c r="F1166" s="11"/>
      <c r="G1166" s="11"/>
    </row>
    <row r="1167" customFormat="false" ht="15.75" hidden="false" customHeight="false" outlineLevel="0" collapsed="false">
      <c r="A1167" s="9"/>
      <c r="B1167" s="10" t="n">
        <f aca="false">A1167</f>
        <v>0</v>
      </c>
      <c r="C1167" s="11"/>
      <c r="D1167" s="11"/>
      <c r="E1167" s="11"/>
      <c r="F1167" s="11"/>
      <c r="G1167" s="11"/>
    </row>
    <row r="1168" customFormat="false" ht="15.75" hidden="false" customHeight="false" outlineLevel="0" collapsed="false">
      <c r="A1168" s="9"/>
      <c r="B1168" s="10" t="n">
        <f aca="false">A1168</f>
        <v>0</v>
      </c>
      <c r="C1168" s="11"/>
      <c r="D1168" s="11"/>
      <c r="E1168" s="11"/>
      <c r="F1168" s="11"/>
      <c r="G1168" s="11"/>
    </row>
    <row r="1169" customFormat="false" ht="15.75" hidden="false" customHeight="false" outlineLevel="0" collapsed="false">
      <c r="A1169" s="9"/>
      <c r="B1169" s="10" t="n">
        <f aca="false">A1169</f>
        <v>0</v>
      </c>
      <c r="C1169" s="11"/>
      <c r="D1169" s="11"/>
      <c r="E1169" s="11"/>
      <c r="F1169" s="11"/>
      <c r="G1169" s="11"/>
    </row>
    <row r="1170" customFormat="false" ht="15.75" hidden="false" customHeight="false" outlineLevel="0" collapsed="false">
      <c r="A1170" s="9"/>
      <c r="B1170" s="10" t="n">
        <f aca="false">A1170</f>
        <v>0</v>
      </c>
      <c r="C1170" s="11"/>
      <c r="D1170" s="11"/>
      <c r="E1170" s="11"/>
      <c r="F1170" s="11"/>
      <c r="G1170" s="11"/>
    </row>
    <row r="1171" customFormat="false" ht="15.75" hidden="false" customHeight="false" outlineLevel="0" collapsed="false">
      <c r="A1171" s="9"/>
      <c r="B1171" s="10" t="n">
        <f aca="false">A1171</f>
        <v>0</v>
      </c>
      <c r="C1171" s="11"/>
      <c r="D1171" s="11"/>
      <c r="E1171" s="11"/>
      <c r="F1171" s="11"/>
      <c r="G1171" s="11"/>
    </row>
    <row r="1172" customFormat="false" ht="15.75" hidden="false" customHeight="false" outlineLevel="0" collapsed="false">
      <c r="A1172" s="9"/>
      <c r="B1172" s="10" t="n">
        <f aca="false">A1172</f>
        <v>0</v>
      </c>
      <c r="C1172" s="11"/>
      <c r="D1172" s="11"/>
      <c r="E1172" s="11"/>
      <c r="F1172" s="11"/>
      <c r="G1172" s="11"/>
    </row>
    <row r="1173" customFormat="false" ht="15.75" hidden="false" customHeight="false" outlineLevel="0" collapsed="false">
      <c r="A1173" s="9"/>
      <c r="B1173" s="10" t="n">
        <f aca="false">A1173</f>
        <v>0</v>
      </c>
      <c r="C1173" s="11"/>
      <c r="D1173" s="11"/>
      <c r="E1173" s="11"/>
      <c r="F1173" s="11"/>
      <c r="G1173" s="11"/>
    </row>
    <row r="1174" customFormat="false" ht="15.75" hidden="false" customHeight="false" outlineLevel="0" collapsed="false">
      <c r="A1174" s="9"/>
      <c r="B1174" s="10" t="n">
        <f aca="false">A1174</f>
        <v>0</v>
      </c>
      <c r="C1174" s="11"/>
      <c r="D1174" s="11"/>
      <c r="E1174" s="11"/>
      <c r="F1174" s="11"/>
      <c r="G1174" s="11"/>
    </row>
    <row r="1175" customFormat="false" ht="15.75" hidden="false" customHeight="false" outlineLevel="0" collapsed="false">
      <c r="A1175" s="9"/>
      <c r="B1175" s="10" t="n">
        <f aca="false">A1175</f>
        <v>0</v>
      </c>
      <c r="C1175" s="11"/>
      <c r="D1175" s="11"/>
      <c r="E1175" s="11"/>
      <c r="F1175" s="11"/>
      <c r="G1175" s="11"/>
    </row>
    <row r="1176" customFormat="false" ht="15.75" hidden="false" customHeight="false" outlineLevel="0" collapsed="false">
      <c r="A1176" s="9"/>
      <c r="B1176" s="10" t="n">
        <f aca="false">A1176</f>
        <v>0</v>
      </c>
      <c r="C1176" s="11"/>
      <c r="D1176" s="11"/>
      <c r="E1176" s="11"/>
      <c r="F1176" s="11"/>
      <c r="G1176" s="11"/>
    </row>
    <row r="1177" customFormat="false" ht="15.75" hidden="false" customHeight="false" outlineLevel="0" collapsed="false">
      <c r="A1177" s="9"/>
      <c r="B1177" s="10" t="n">
        <f aca="false">A1177</f>
        <v>0</v>
      </c>
      <c r="C1177" s="11"/>
      <c r="D1177" s="11"/>
      <c r="E1177" s="11"/>
      <c r="F1177" s="11"/>
      <c r="G1177" s="11"/>
    </row>
    <row r="1178" customFormat="false" ht="15.75" hidden="false" customHeight="false" outlineLevel="0" collapsed="false">
      <c r="A1178" s="9"/>
      <c r="B1178" s="10" t="n">
        <f aca="false">A1178</f>
        <v>0</v>
      </c>
      <c r="C1178" s="11"/>
      <c r="D1178" s="11"/>
      <c r="E1178" s="11"/>
      <c r="F1178" s="11"/>
      <c r="G1178" s="11"/>
    </row>
    <row r="1179" customFormat="false" ht="15.75" hidden="false" customHeight="false" outlineLevel="0" collapsed="false">
      <c r="A1179" s="9"/>
      <c r="B1179" s="10" t="n">
        <f aca="false">A1179</f>
        <v>0</v>
      </c>
      <c r="C1179" s="11"/>
      <c r="D1179" s="11"/>
      <c r="E1179" s="11"/>
      <c r="F1179" s="11"/>
      <c r="G1179" s="11"/>
    </row>
    <row r="1180" customFormat="false" ht="15.75" hidden="false" customHeight="false" outlineLevel="0" collapsed="false">
      <c r="A1180" s="9"/>
      <c r="B1180" s="10" t="n">
        <f aca="false">A1180</f>
        <v>0</v>
      </c>
      <c r="C1180" s="11"/>
      <c r="D1180" s="11"/>
      <c r="E1180" s="11"/>
      <c r="F1180" s="11"/>
      <c r="G1180" s="11"/>
    </row>
    <row r="1181" customFormat="false" ht="15.75" hidden="false" customHeight="false" outlineLevel="0" collapsed="false">
      <c r="A1181" s="9"/>
      <c r="B1181" s="10" t="n">
        <f aca="false">A1181</f>
        <v>0</v>
      </c>
      <c r="C1181" s="11"/>
      <c r="D1181" s="11"/>
      <c r="E1181" s="11"/>
      <c r="F1181" s="11"/>
      <c r="G1181" s="11"/>
    </row>
    <row r="1182" customFormat="false" ht="15.75" hidden="false" customHeight="false" outlineLevel="0" collapsed="false">
      <c r="A1182" s="9"/>
      <c r="B1182" s="10" t="n">
        <f aca="false">A1182</f>
        <v>0</v>
      </c>
      <c r="C1182" s="11"/>
      <c r="D1182" s="11"/>
      <c r="E1182" s="11"/>
      <c r="F1182" s="11"/>
      <c r="G1182" s="11"/>
    </row>
    <row r="1183" customFormat="false" ht="15.75" hidden="false" customHeight="false" outlineLevel="0" collapsed="false">
      <c r="A1183" s="9"/>
      <c r="B1183" s="10" t="n">
        <f aca="false">A1183</f>
        <v>0</v>
      </c>
      <c r="C1183" s="11"/>
      <c r="D1183" s="11"/>
      <c r="E1183" s="11"/>
      <c r="F1183" s="11"/>
      <c r="G1183" s="11"/>
    </row>
    <row r="1184" customFormat="false" ht="15.75" hidden="false" customHeight="false" outlineLevel="0" collapsed="false">
      <c r="A1184" s="9"/>
      <c r="B1184" s="10" t="n">
        <f aca="false">A1184</f>
        <v>0</v>
      </c>
      <c r="C1184" s="11"/>
      <c r="D1184" s="11"/>
      <c r="E1184" s="11"/>
      <c r="F1184" s="11"/>
      <c r="G1184" s="11"/>
    </row>
    <row r="1185" customFormat="false" ht="15.75" hidden="false" customHeight="false" outlineLevel="0" collapsed="false">
      <c r="A1185" s="9"/>
      <c r="B1185" s="10" t="n">
        <f aca="false">A1185</f>
        <v>0</v>
      </c>
      <c r="C1185" s="11"/>
      <c r="D1185" s="11"/>
      <c r="E1185" s="11"/>
      <c r="F1185" s="11"/>
      <c r="G1185" s="11"/>
    </row>
    <row r="1186" customFormat="false" ht="15.75" hidden="false" customHeight="false" outlineLevel="0" collapsed="false">
      <c r="A1186" s="9"/>
      <c r="B1186" s="10" t="n">
        <f aca="false">A1186</f>
        <v>0</v>
      </c>
      <c r="C1186" s="11"/>
      <c r="D1186" s="11"/>
      <c r="E1186" s="11"/>
      <c r="F1186" s="11"/>
      <c r="G1186" s="11"/>
    </row>
    <row r="1187" customFormat="false" ht="15.75" hidden="false" customHeight="false" outlineLevel="0" collapsed="false">
      <c r="A1187" s="9"/>
      <c r="B1187" s="10" t="n">
        <f aca="false">A1187</f>
        <v>0</v>
      </c>
      <c r="C1187" s="11"/>
      <c r="D1187" s="11"/>
      <c r="E1187" s="11"/>
      <c r="F1187" s="11"/>
      <c r="G1187" s="11"/>
    </row>
    <row r="1188" customFormat="false" ht="15.75" hidden="false" customHeight="false" outlineLevel="0" collapsed="false">
      <c r="A1188" s="9"/>
      <c r="B1188" s="10" t="n">
        <f aca="false">A1188</f>
        <v>0</v>
      </c>
      <c r="C1188" s="11"/>
      <c r="D1188" s="11"/>
      <c r="E1188" s="11"/>
      <c r="F1188" s="11"/>
      <c r="G1188" s="11"/>
    </row>
    <row r="1189" customFormat="false" ht="15.75" hidden="false" customHeight="false" outlineLevel="0" collapsed="false">
      <c r="A1189" s="9"/>
      <c r="B1189" s="10" t="n">
        <f aca="false">A1189</f>
        <v>0</v>
      </c>
      <c r="C1189" s="11"/>
      <c r="D1189" s="11"/>
      <c r="E1189" s="11"/>
      <c r="F1189" s="11"/>
      <c r="G1189" s="11"/>
    </row>
    <row r="1190" customFormat="false" ht="15.75" hidden="false" customHeight="false" outlineLevel="0" collapsed="false">
      <c r="A1190" s="9"/>
      <c r="B1190" s="10" t="n">
        <f aca="false">A1190</f>
        <v>0</v>
      </c>
      <c r="C1190" s="11"/>
      <c r="D1190" s="11"/>
      <c r="E1190" s="11"/>
      <c r="F1190" s="11"/>
      <c r="G1190" s="11"/>
    </row>
    <row r="1191" customFormat="false" ht="15.75" hidden="false" customHeight="false" outlineLevel="0" collapsed="false">
      <c r="A1191" s="9"/>
      <c r="B1191" s="10" t="n">
        <f aca="false">A1191</f>
        <v>0</v>
      </c>
      <c r="C1191" s="11"/>
      <c r="D1191" s="11"/>
      <c r="E1191" s="11"/>
      <c r="F1191" s="11"/>
      <c r="G1191" s="11"/>
    </row>
    <row r="1192" customFormat="false" ht="15.75" hidden="false" customHeight="false" outlineLevel="0" collapsed="false">
      <c r="A1192" s="9"/>
      <c r="B1192" s="10" t="n">
        <f aca="false">A1192</f>
        <v>0</v>
      </c>
      <c r="C1192" s="11"/>
      <c r="D1192" s="11"/>
      <c r="E1192" s="11"/>
      <c r="F1192" s="11"/>
      <c r="G1192" s="11"/>
    </row>
    <row r="1193" customFormat="false" ht="15.75" hidden="false" customHeight="false" outlineLevel="0" collapsed="false">
      <c r="A1193" s="9"/>
      <c r="B1193" s="10" t="n">
        <f aca="false">A1193</f>
        <v>0</v>
      </c>
      <c r="C1193" s="11"/>
      <c r="D1193" s="11"/>
      <c r="E1193" s="11"/>
      <c r="F1193" s="11"/>
      <c r="G1193" s="11"/>
    </row>
    <row r="1194" customFormat="false" ht="15.75" hidden="false" customHeight="false" outlineLevel="0" collapsed="false">
      <c r="A1194" s="9"/>
      <c r="B1194" s="10" t="n">
        <f aca="false">A1194</f>
        <v>0</v>
      </c>
      <c r="C1194" s="11"/>
      <c r="D1194" s="11"/>
      <c r="E1194" s="11"/>
      <c r="F1194" s="11"/>
      <c r="G1194" s="11"/>
    </row>
    <row r="1195" customFormat="false" ht="15.75" hidden="false" customHeight="false" outlineLevel="0" collapsed="false">
      <c r="A1195" s="9"/>
      <c r="B1195" s="10" t="n">
        <f aca="false">A1195</f>
        <v>0</v>
      </c>
      <c r="C1195" s="11"/>
      <c r="D1195" s="11"/>
      <c r="E1195" s="11"/>
      <c r="F1195" s="11"/>
      <c r="G1195" s="11"/>
    </row>
    <row r="1196" customFormat="false" ht="15.75" hidden="false" customHeight="false" outlineLevel="0" collapsed="false">
      <c r="A1196" s="9"/>
      <c r="B1196" s="10" t="n">
        <f aca="false">A1196</f>
        <v>0</v>
      </c>
      <c r="C1196" s="11"/>
      <c r="D1196" s="11"/>
      <c r="E1196" s="11"/>
      <c r="F1196" s="11"/>
      <c r="G1196" s="11"/>
    </row>
    <row r="1197" customFormat="false" ht="15.75" hidden="false" customHeight="false" outlineLevel="0" collapsed="false">
      <c r="A1197" s="9"/>
      <c r="B1197" s="10" t="n">
        <f aca="false">A1197</f>
        <v>0</v>
      </c>
      <c r="C1197" s="11"/>
      <c r="D1197" s="11"/>
      <c r="E1197" s="11"/>
      <c r="F1197" s="11"/>
      <c r="G1197" s="11"/>
    </row>
    <row r="1198" customFormat="false" ht="15.75" hidden="false" customHeight="false" outlineLevel="0" collapsed="false">
      <c r="A1198" s="9"/>
      <c r="B1198" s="10" t="n">
        <f aca="false">A1198</f>
        <v>0</v>
      </c>
      <c r="C1198" s="11"/>
      <c r="D1198" s="11"/>
      <c r="E1198" s="11"/>
      <c r="F1198" s="11"/>
      <c r="G1198" s="11"/>
    </row>
    <row r="1199" customFormat="false" ht="15.75" hidden="false" customHeight="false" outlineLevel="0" collapsed="false">
      <c r="A1199" s="9"/>
      <c r="B1199" s="10" t="n">
        <f aca="false">A1199</f>
        <v>0</v>
      </c>
      <c r="C1199" s="11"/>
      <c r="D1199" s="11"/>
      <c r="E1199" s="11"/>
      <c r="F1199" s="11"/>
      <c r="G1199" s="11"/>
    </row>
    <row r="1200" customFormat="false" ht="15.75" hidden="false" customHeight="false" outlineLevel="0" collapsed="false">
      <c r="A1200" s="9"/>
      <c r="B1200" s="10" t="n">
        <f aca="false">A1200</f>
        <v>0</v>
      </c>
      <c r="C1200" s="11"/>
      <c r="D1200" s="11"/>
      <c r="E1200" s="11"/>
      <c r="F1200" s="11"/>
      <c r="G1200" s="11"/>
    </row>
    <row r="1201" customFormat="false" ht="15.75" hidden="false" customHeight="false" outlineLevel="0" collapsed="false">
      <c r="A1201" s="9"/>
      <c r="B1201" s="10" t="n">
        <f aca="false">A1201</f>
        <v>0</v>
      </c>
      <c r="C1201" s="11"/>
      <c r="D1201" s="11"/>
      <c r="E1201" s="11"/>
      <c r="F1201" s="11"/>
      <c r="G1201" s="11"/>
    </row>
    <row r="1202" customFormat="false" ht="15.75" hidden="false" customHeight="false" outlineLevel="0" collapsed="false">
      <c r="A1202" s="9"/>
      <c r="B1202" s="10" t="n">
        <f aca="false">A1202</f>
        <v>0</v>
      </c>
      <c r="C1202" s="11"/>
      <c r="D1202" s="11"/>
      <c r="E1202" s="11"/>
      <c r="F1202" s="11"/>
      <c r="G1202" s="11"/>
    </row>
    <row r="1203" customFormat="false" ht="15.75" hidden="false" customHeight="false" outlineLevel="0" collapsed="false">
      <c r="A1203" s="9"/>
      <c r="B1203" s="10" t="n">
        <f aca="false">A1203</f>
        <v>0</v>
      </c>
      <c r="C1203" s="11"/>
      <c r="D1203" s="11"/>
      <c r="E1203" s="11"/>
      <c r="F1203" s="11"/>
      <c r="G1203" s="11"/>
    </row>
    <row r="1204" customFormat="false" ht="15.75" hidden="false" customHeight="false" outlineLevel="0" collapsed="false">
      <c r="A1204" s="9"/>
      <c r="B1204" s="10" t="n">
        <f aca="false">A1204</f>
        <v>0</v>
      </c>
      <c r="C1204" s="11"/>
      <c r="D1204" s="11"/>
      <c r="E1204" s="11"/>
      <c r="F1204" s="11"/>
      <c r="G1204" s="11"/>
    </row>
    <row r="1205" customFormat="false" ht="15.75" hidden="false" customHeight="false" outlineLevel="0" collapsed="false">
      <c r="A1205" s="9"/>
      <c r="B1205" s="10" t="n">
        <f aca="false">A1205</f>
        <v>0</v>
      </c>
      <c r="C1205" s="11"/>
      <c r="D1205" s="11"/>
      <c r="E1205" s="11"/>
      <c r="F1205" s="11"/>
      <c r="G1205" s="11"/>
    </row>
    <row r="1206" customFormat="false" ht="15.75" hidden="false" customHeight="false" outlineLevel="0" collapsed="false">
      <c r="A1206" s="9"/>
      <c r="B1206" s="10" t="n">
        <f aca="false">A1206</f>
        <v>0</v>
      </c>
      <c r="C1206" s="11"/>
      <c r="D1206" s="11"/>
      <c r="E1206" s="11"/>
      <c r="F1206" s="11"/>
      <c r="G1206" s="11"/>
    </row>
    <row r="1207" customFormat="false" ht="15.75" hidden="false" customHeight="false" outlineLevel="0" collapsed="false">
      <c r="A1207" s="9"/>
      <c r="B1207" s="10" t="n">
        <f aca="false">A1207</f>
        <v>0</v>
      </c>
      <c r="C1207" s="11"/>
      <c r="D1207" s="11"/>
      <c r="E1207" s="11"/>
      <c r="F1207" s="11"/>
      <c r="G1207" s="11"/>
    </row>
    <row r="1208" customFormat="false" ht="15.75" hidden="false" customHeight="false" outlineLevel="0" collapsed="false">
      <c r="A1208" s="9"/>
      <c r="B1208" s="10" t="n">
        <f aca="false">A1208</f>
        <v>0</v>
      </c>
      <c r="C1208" s="11"/>
      <c r="D1208" s="11"/>
      <c r="E1208" s="11"/>
      <c r="F1208" s="11"/>
      <c r="G1208" s="11"/>
    </row>
    <row r="1209" customFormat="false" ht="15.75" hidden="false" customHeight="false" outlineLevel="0" collapsed="false">
      <c r="A1209" s="9"/>
      <c r="B1209" s="10" t="n">
        <f aca="false">A1209</f>
        <v>0</v>
      </c>
      <c r="C1209" s="11"/>
      <c r="D1209" s="11"/>
      <c r="E1209" s="11"/>
      <c r="F1209" s="11"/>
      <c r="G1209" s="11"/>
    </row>
    <row r="1210" customFormat="false" ht="15.75" hidden="false" customHeight="false" outlineLevel="0" collapsed="false">
      <c r="A1210" s="9"/>
      <c r="B1210" s="10" t="n">
        <f aca="false">A1210</f>
        <v>0</v>
      </c>
      <c r="C1210" s="11"/>
      <c r="D1210" s="11"/>
      <c r="E1210" s="11"/>
      <c r="F1210" s="11"/>
      <c r="G1210" s="11"/>
    </row>
    <row r="1211" customFormat="false" ht="15.75" hidden="false" customHeight="false" outlineLevel="0" collapsed="false">
      <c r="A1211" s="9"/>
      <c r="B1211" s="10" t="n">
        <f aca="false">A1211</f>
        <v>0</v>
      </c>
      <c r="C1211" s="11"/>
      <c r="D1211" s="11"/>
      <c r="E1211" s="11"/>
      <c r="F1211" s="11"/>
      <c r="G1211" s="11"/>
    </row>
    <row r="1212" customFormat="false" ht="15.75" hidden="false" customHeight="false" outlineLevel="0" collapsed="false">
      <c r="A1212" s="9"/>
      <c r="B1212" s="10" t="n">
        <f aca="false">A1212</f>
        <v>0</v>
      </c>
      <c r="C1212" s="11"/>
      <c r="D1212" s="11"/>
      <c r="E1212" s="11"/>
      <c r="F1212" s="11"/>
      <c r="G1212" s="11"/>
    </row>
    <row r="1213" customFormat="false" ht="15.75" hidden="false" customHeight="false" outlineLevel="0" collapsed="false">
      <c r="A1213" s="9"/>
      <c r="B1213" s="10" t="n">
        <f aca="false">A1213</f>
        <v>0</v>
      </c>
      <c r="C1213" s="11"/>
      <c r="D1213" s="11"/>
      <c r="E1213" s="11"/>
      <c r="F1213" s="11"/>
      <c r="G1213" s="11"/>
    </row>
    <row r="1214" customFormat="false" ht="15.75" hidden="false" customHeight="false" outlineLevel="0" collapsed="false">
      <c r="A1214" s="9"/>
      <c r="B1214" s="10" t="n">
        <f aca="false">A1214</f>
        <v>0</v>
      </c>
      <c r="C1214" s="11"/>
      <c r="D1214" s="11"/>
      <c r="E1214" s="11"/>
      <c r="F1214" s="11"/>
      <c r="G1214" s="11"/>
    </row>
    <row r="1215" customFormat="false" ht="15.75" hidden="false" customHeight="false" outlineLevel="0" collapsed="false">
      <c r="A1215" s="9"/>
      <c r="B1215" s="10" t="n">
        <f aca="false">A1215</f>
        <v>0</v>
      </c>
      <c r="C1215" s="11"/>
      <c r="D1215" s="11"/>
      <c r="E1215" s="11"/>
      <c r="F1215" s="11"/>
      <c r="G1215" s="11"/>
    </row>
    <row r="1216" customFormat="false" ht="15.75" hidden="false" customHeight="false" outlineLevel="0" collapsed="false">
      <c r="A1216" s="9"/>
      <c r="B1216" s="10" t="n">
        <f aca="false">A1216</f>
        <v>0</v>
      </c>
      <c r="C1216" s="11"/>
      <c r="D1216" s="11"/>
      <c r="E1216" s="11"/>
      <c r="F1216" s="11"/>
      <c r="G1216" s="11"/>
    </row>
    <row r="1217" customFormat="false" ht="15.75" hidden="false" customHeight="false" outlineLevel="0" collapsed="false">
      <c r="A1217" s="9"/>
      <c r="B1217" s="10" t="n">
        <f aca="false">A1217</f>
        <v>0</v>
      </c>
      <c r="C1217" s="11"/>
      <c r="D1217" s="11"/>
      <c r="E1217" s="11"/>
      <c r="F1217" s="11"/>
      <c r="G1217" s="11"/>
    </row>
    <row r="1218" customFormat="false" ht="15.75" hidden="false" customHeight="false" outlineLevel="0" collapsed="false">
      <c r="A1218" s="9"/>
      <c r="B1218" s="10" t="n">
        <f aca="false">A1218</f>
        <v>0</v>
      </c>
      <c r="C1218" s="11"/>
      <c r="D1218" s="11"/>
      <c r="E1218" s="11"/>
      <c r="F1218" s="11"/>
      <c r="G1218" s="11"/>
    </row>
    <row r="1219" customFormat="false" ht="15.75" hidden="false" customHeight="false" outlineLevel="0" collapsed="false">
      <c r="A1219" s="9"/>
      <c r="B1219" s="10" t="n">
        <f aca="false">A1219</f>
        <v>0</v>
      </c>
      <c r="C1219" s="11"/>
      <c r="D1219" s="11"/>
      <c r="E1219" s="11"/>
      <c r="F1219" s="11"/>
      <c r="G1219" s="11"/>
    </row>
    <row r="1220" customFormat="false" ht="15.75" hidden="false" customHeight="false" outlineLevel="0" collapsed="false">
      <c r="A1220" s="9"/>
      <c r="B1220" s="10" t="n">
        <f aca="false">A1220</f>
        <v>0</v>
      </c>
      <c r="C1220" s="11"/>
      <c r="D1220" s="11"/>
      <c r="E1220" s="11"/>
      <c r="F1220" s="11"/>
      <c r="G1220" s="11"/>
    </row>
    <row r="1221" customFormat="false" ht="15.75" hidden="false" customHeight="false" outlineLevel="0" collapsed="false">
      <c r="A1221" s="9"/>
      <c r="B1221" s="10" t="n">
        <f aca="false">A1221</f>
        <v>0</v>
      </c>
      <c r="C1221" s="11"/>
      <c r="D1221" s="11"/>
      <c r="E1221" s="11"/>
      <c r="F1221" s="11"/>
      <c r="G1221" s="11"/>
    </row>
    <row r="1222" customFormat="false" ht="15.75" hidden="false" customHeight="false" outlineLevel="0" collapsed="false">
      <c r="A1222" s="9"/>
      <c r="B1222" s="10" t="n">
        <f aca="false">A1222</f>
        <v>0</v>
      </c>
      <c r="C1222" s="11"/>
      <c r="D1222" s="11"/>
      <c r="E1222" s="11"/>
      <c r="F1222" s="11"/>
      <c r="G1222" s="11"/>
    </row>
    <row r="1223" customFormat="false" ht="15.75" hidden="false" customHeight="false" outlineLevel="0" collapsed="false">
      <c r="A1223" s="9"/>
      <c r="B1223" s="10" t="n">
        <f aca="false">A1223</f>
        <v>0</v>
      </c>
      <c r="C1223" s="11"/>
      <c r="D1223" s="11"/>
      <c r="E1223" s="11"/>
      <c r="F1223" s="11"/>
      <c r="G1223" s="11"/>
    </row>
    <row r="1224" customFormat="false" ht="15.75" hidden="false" customHeight="false" outlineLevel="0" collapsed="false">
      <c r="A1224" s="9"/>
      <c r="B1224" s="10" t="n">
        <f aca="false">A1224</f>
        <v>0</v>
      </c>
      <c r="C1224" s="11"/>
      <c r="D1224" s="11"/>
      <c r="E1224" s="11"/>
      <c r="F1224" s="11"/>
      <c r="G1224" s="11"/>
    </row>
    <row r="1225" customFormat="false" ht="15.75" hidden="false" customHeight="false" outlineLevel="0" collapsed="false">
      <c r="A1225" s="9"/>
      <c r="B1225" s="10" t="n">
        <f aca="false">A1225</f>
        <v>0</v>
      </c>
      <c r="C1225" s="11"/>
      <c r="D1225" s="11"/>
      <c r="E1225" s="11"/>
      <c r="F1225" s="11"/>
      <c r="G1225" s="11"/>
    </row>
    <row r="1226" customFormat="false" ht="15.75" hidden="false" customHeight="false" outlineLevel="0" collapsed="false">
      <c r="A1226" s="9"/>
      <c r="B1226" s="10" t="n">
        <f aca="false">A1226</f>
        <v>0</v>
      </c>
      <c r="C1226" s="11"/>
      <c r="D1226" s="11"/>
      <c r="E1226" s="11"/>
      <c r="F1226" s="11"/>
      <c r="G1226" s="11"/>
    </row>
    <row r="1227" customFormat="false" ht="15.75" hidden="false" customHeight="false" outlineLevel="0" collapsed="false">
      <c r="A1227" s="9"/>
      <c r="B1227" s="10" t="n">
        <f aca="false">A1227</f>
        <v>0</v>
      </c>
      <c r="C1227" s="11"/>
      <c r="D1227" s="11"/>
      <c r="E1227" s="11"/>
      <c r="F1227" s="11"/>
      <c r="G1227" s="11"/>
    </row>
    <row r="1228" customFormat="false" ht="15.75" hidden="false" customHeight="false" outlineLevel="0" collapsed="false">
      <c r="A1228" s="9"/>
      <c r="B1228" s="10" t="n">
        <f aca="false">A1228</f>
        <v>0</v>
      </c>
      <c r="C1228" s="11"/>
      <c r="D1228" s="11"/>
      <c r="E1228" s="11"/>
      <c r="F1228" s="11"/>
      <c r="G1228" s="11"/>
    </row>
    <row r="1229" customFormat="false" ht="15.75" hidden="false" customHeight="false" outlineLevel="0" collapsed="false">
      <c r="A1229" s="9"/>
      <c r="B1229" s="10" t="n">
        <f aca="false">A1229</f>
        <v>0</v>
      </c>
      <c r="C1229" s="11"/>
      <c r="D1229" s="11"/>
      <c r="E1229" s="11"/>
      <c r="F1229" s="11"/>
      <c r="G1229" s="11"/>
    </row>
    <row r="1230" customFormat="false" ht="15.75" hidden="false" customHeight="false" outlineLevel="0" collapsed="false">
      <c r="A1230" s="9"/>
      <c r="B1230" s="10" t="n">
        <f aca="false">A1230</f>
        <v>0</v>
      </c>
      <c r="C1230" s="11"/>
      <c r="D1230" s="11"/>
      <c r="E1230" s="11"/>
      <c r="F1230" s="11"/>
      <c r="G1230" s="11"/>
    </row>
    <row r="1231" customFormat="false" ht="15.75" hidden="false" customHeight="false" outlineLevel="0" collapsed="false">
      <c r="A1231" s="9"/>
      <c r="B1231" s="10" t="n">
        <f aca="false">A1231</f>
        <v>0</v>
      </c>
      <c r="C1231" s="11"/>
      <c r="D1231" s="11"/>
      <c r="E1231" s="11"/>
      <c r="F1231" s="11"/>
      <c r="G1231" s="11"/>
    </row>
    <row r="1232" customFormat="false" ht="15.75" hidden="false" customHeight="false" outlineLevel="0" collapsed="false">
      <c r="A1232" s="9"/>
      <c r="B1232" s="10" t="n">
        <f aca="false">A1232</f>
        <v>0</v>
      </c>
      <c r="C1232" s="11"/>
      <c r="D1232" s="11"/>
      <c r="E1232" s="11"/>
      <c r="F1232" s="11"/>
      <c r="G1232" s="11"/>
    </row>
    <row r="1233" customFormat="false" ht="15.75" hidden="false" customHeight="false" outlineLevel="0" collapsed="false">
      <c r="A1233" s="9"/>
      <c r="B1233" s="10" t="n">
        <f aca="false">A1233</f>
        <v>0</v>
      </c>
      <c r="C1233" s="11"/>
      <c r="D1233" s="11"/>
      <c r="E1233" s="11"/>
      <c r="F1233" s="11"/>
      <c r="G1233" s="11"/>
    </row>
    <row r="1234" customFormat="false" ht="15.75" hidden="false" customHeight="false" outlineLevel="0" collapsed="false">
      <c r="A1234" s="9"/>
      <c r="B1234" s="10" t="n">
        <f aca="false">A1234</f>
        <v>0</v>
      </c>
      <c r="C1234" s="11"/>
      <c r="D1234" s="11"/>
      <c r="E1234" s="11"/>
      <c r="F1234" s="11"/>
      <c r="G1234" s="11"/>
    </row>
    <row r="1235" customFormat="false" ht="15.75" hidden="false" customHeight="false" outlineLevel="0" collapsed="false">
      <c r="A1235" s="9"/>
      <c r="B1235" s="10" t="n">
        <f aca="false">A1235</f>
        <v>0</v>
      </c>
      <c r="C1235" s="11"/>
      <c r="D1235" s="11"/>
      <c r="E1235" s="11"/>
      <c r="F1235" s="11"/>
      <c r="G1235" s="11"/>
    </row>
    <row r="1236" customFormat="false" ht="15.75" hidden="false" customHeight="false" outlineLevel="0" collapsed="false">
      <c r="A1236" s="9"/>
      <c r="B1236" s="10" t="n">
        <f aca="false">A1236</f>
        <v>0</v>
      </c>
      <c r="C1236" s="11"/>
      <c r="D1236" s="11"/>
      <c r="E1236" s="11"/>
      <c r="F1236" s="11"/>
      <c r="G1236" s="11"/>
    </row>
    <row r="1237" customFormat="false" ht="15.75" hidden="false" customHeight="false" outlineLevel="0" collapsed="false">
      <c r="A1237" s="9"/>
      <c r="B1237" s="10" t="n">
        <f aca="false">A1237</f>
        <v>0</v>
      </c>
      <c r="C1237" s="11"/>
      <c r="D1237" s="11"/>
      <c r="E1237" s="11"/>
      <c r="F1237" s="11"/>
      <c r="G1237" s="11"/>
    </row>
    <row r="1238" customFormat="false" ht="15.75" hidden="false" customHeight="false" outlineLevel="0" collapsed="false">
      <c r="A1238" s="9"/>
      <c r="B1238" s="10" t="n">
        <f aca="false">A1238</f>
        <v>0</v>
      </c>
      <c r="C1238" s="11"/>
      <c r="D1238" s="11"/>
      <c r="E1238" s="11"/>
      <c r="F1238" s="11"/>
      <c r="G1238" s="11"/>
    </row>
    <row r="1239" customFormat="false" ht="15.75" hidden="false" customHeight="false" outlineLevel="0" collapsed="false">
      <c r="A1239" s="9"/>
      <c r="B1239" s="10" t="n">
        <f aca="false">A1239</f>
        <v>0</v>
      </c>
      <c r="C1239" s="11"/>
      <c r="D1239" s="11"/>
      <c r="E1239" s="11"/>
      <c r="F1239" s="11"/>
      <c r="G1239" s="11"/>
    </row>
    <row r="1240" customFormat="false" ht="15.75" hidden="false" customHeight="false" outlineLevel="0" collapsed="false">
      <c r="A1240" s="9"/>
      <c r="B1240" s="10" t="n">
        <f aca="false">A1240</f>
        <v>0</v>
      </c>
      <c r="C1240" s="11"/>
      <c r="D1240" s="11"/>
      <c r="E1240" s="11"/>
      <c r="F1240" s="11"/>
      <c r="G1240" s="11"/>
    </row>
    <row r="1241" customFormat="false" ht="15.75" hidden="false" customHeight="false" outlineLevel="0" collapsed="false">
      <c r="A1241" s="9"/>
      <c r="B1241" s="10" t="n">
        <f aca="false">A1241</f>
        <v>0</v>
      </c>
      <c r="C1241" s="11"/>
      <c r="D1241" s="11"/>
      <c r="E1241" s="11"/>
      <c r="F1241" s="11"/>
      <c r="G1241" s="11"/>
    </row>
    <row r="1242" customFormat="false" ht="15.75" hidden="false" customHeight="false" outlineLevel="0" collapsed="false">
      <c r="A1242" s="9"/>
      <c r="B1242" s="10" t="n">
        <f aca="false">A1242</f>
        <v>0</v>
      </c>
      <c r="C1242" s="11"/>
      <c r="D1242" s="11"/>
      <c r="E1242" s="11"/>
      <c r="F1242" s="11"/>
      <c r="G1242" s="11"/>
    </row>
    <row r="1243" customFormat="false" ht="15.75" hidden="false" customHeight="false" outlineLevel="0" collapsed="false">
      <c r="A1243" s="9"/>
      <c r="B1243" s="10" t="n">
        <f aca="false">A1243</f>
        <v>0</v>
      </c>
      <c r="C1243" s="11"/>
      <c r="D1243" s="11"/>
      <c r="E1243" s="11"/>
      <c r="F1243" s="11"/>
      <c r="G1243" s="11"/>
    </row>
    <row r="1244" customFormat="false" ht="15.75" hidden="false" customHeight="false" outlineLevel="0" collapsed="false">
      <c r="A1244" s="9"/>
      <c r="B1244" s="10" t="n">
        <f aca="false">A1244</f>
        <v>0</v>
      </c>
      <c r="C1244" s="11"/>
      <c r="D1244" s="11"/>
      <c r="E1244" s="11"/>
      <c r="F1244" s="11"/>
      <c r="G1244" s="11"/>
    </row>
    <row r="1245" customFormat="false" ht="15.75" hidden="false" customHeight="false" outlineLevel="0" collapsed="false">
      <c r="A1245" s="9"/>
      <c r="B1245" s="10" t="n">
        <f aca="false">A1245</f>
        <v>0</v>
      </c>
      <c r="C1245" s="11"/>
      <c r="D1245" s="11"/>
      <c r="E1245" s="11"/>
      <c r="F1245" s="11"/>
      <c r="G1245" s="11"/>
    </row>
    <row r="1246" customFormat="false" ht="15.75" hidden="false" customHeight="false" outlineLevel="0" collapsed="false">
      <c r="A1246" s="9"/>
      <c r="B1246" s="10" t="n">
        <f aca="false">A1246</f>
        <v>0</v>
      </c>
      <c r="C1246" s="11"/>
      <c r="D1246" s="11"/>
      <c r="E1246" s="11"/>
      <c r="F1246" s="11"/>
      <c r="G1246" s="11"/>
    </row>
    <row r="1247" customFormat="false" ht="15.75" hidden="false" customHeight="false" outlineLevel="0" collapsed="false">
      <c r="A1247" s="9"/>
      <c r="B1247" s="10" t="n">
        <f aca="false">A1247</f>
        <v>0</v>
      </c>
      <c r="C1247" s="11"/>
      <c r="D1247" s="11"/>
      <c r="E1247" s="11"/>
      <c r="F1247" s="11"/>
      <c r="G1247" s="11"/>
    </row>
    <row r="1248" customFormat="false" ht="15.75" hidden="false" customHeight="false" outlineLevel="0" collapsed="false">
      <c r="A1248" s="9"/>
      <c r="B1248" s="10" t="n">
        <f aca="false">A1248</f>
        <v>0</v>
      </c>
      <c r="C1248" s="11"/>
      <c r="D1248" s="11"/>
      <c r="E1248" s="11"/>
      <c r="F1248" s="11"/>
      <c r="G1248" s="11"/>
    </row>
    <row r="1249" customFormat="false" ht="15.75" hidden="false" customHeight="false" outlineLevel="0" collapsed="false">
      <c r="A1249" s="9"/>
      <c r="B1249" s="10" t="n">
        <f aca="false">A1249</f>
        <v>0</v>
      </c>
      <c r="C1249" s="11"/>
      <c r="D1249" s="11"/>
      <c r="E1249" s="11"/>
      <c r="F1249" s="11"/>
      <c r="G1249" s="11"/>
    </row>
    <row r="1250" customFormat="false" ht="15.75" hidden="false" customHeight="false" outlineLevel="0" collapsed="false">
      <c r="A1250" s="9"/>
      <c r="B1250" s="10" t="n">
        <f aca="false">A1250</f>
        <v>0</v>
      </c>
      <c r="C1250" s="11"/>
      <c r="D1250" s="11"/>
      <c r="E1250" s="11"/>
      <c r="F1250" s="11"/>
      <c r="G1250" s="11"/>
    </row>
    <row r="1251" customFormat="false" ht="15.75" hidden="false" customHeight="false" outlineLevel="0" collapsed="false">
      <c r="A1251" s="9"/>
      <c r="B1251" s="10" t="n">
        <f aca="false">A1251</f>
        <v>0</v>
      </c>
      <c r="C1251" s="11"/>
      <c r="D1251" s="11"/>
      <c r="E1251" s="11"/>
      <c r="F1251" s="11"/>
      <c r="G1251" s="11"/>
    </row>
    <row r="1252" customFormat="false" ht="15.75" hidden="false" customHeight="false" outlineLevel="0" collapsed="false">
      <c r="A1252" s="9"/>
      <c r="B1252" s="10" t="n">
        <f aca="false">A1252</f>
        <v>0</v>
      </c>
      <c r="C1252" s="11"/>
      <c r="D1252" s="11"/>
      <c r="E1252" s="11"/>
      <c r="F1252" s="11"/>
      <c r="G1252" s="11"/>
    </row>
    <row r="1253" customFormat="false" ht="15.75" hidden="false" customHeight="false" outlineLevel="0" collapsed="false">
      <c r="A1253" s="9"/>
      <c r="B1253" s="10" t="n">
        <f aca="false">A1253</f>
        <v>0</v>
      </c>
      <c r="C1253" s="11"/>
      <c r="D1253" s="11"/>
      <c r="E1253" s="11"/>
      <c r="F1253" s="11"/>
      <c r="G1253" s="11"/>
    </row>
    <row r="1254" customFormat="false" ht="15.75" hidden="false" customHeight="false" outlineLevel="0" collapsed="false">
      <c r="A1254" s="9"/>
      <c r="B1254" s="10" t="n">
        <f aca="false">A1254</f>
        <v>0</v>
      </c>
      <c r="C1254" s="11"/>
      <c r="D1254" s="11"/>
      <c r="E1254" s="11"/>
      <c r="F1254" s="11"/>
      <c r="G1254" s="11"/>
    </row>
    <row r="1255" customFormat="false" ht="15.75" hidden="false" customHeight="false" outlineLevel="0" collapsed="false">
      <c r="A1255" s="9"/>
      <c r="B1255" s="10" t="n">
        <f aca="false">A1255</f>
        <v>0</v>
      </c>
      <c r="C1255" s="11"/>
      <c r="D1255" s="11"/>
      <c r="E1255" s="11"/>
      <c r="F1255" s="11"/>
      <c r="G1255" s="11"/>
    </row>
    <row r="1256" customFormat="false" ht="15.75" hidden="false" customHeight="false" outlineLevel="0" collapsed="false">
      <c r="A1256" s="9"/>
      <c r="B1256" s="10" t="n">
        <f aca="false">A1256</f>
        <v>0</v>
      </c>
      <c r="C1256" s="11"/>
      <c r="D1256" s="11"/>
      <c r="E1256" s="11"/>
      <c r="F1256" s="11"/>
      <c r="G1256" s="11"/>
    </row>
    <row r="1257" customFormat="false" ht="15.75" hidden="false" customHeight="false" outlineLevel="0" collapsed="false">
      <c r="A1257" s="9"/>
      <c r="B1257" s="10" t="n">
        <f aca="false">A1257</f>
        <v>0</v>
      </c>
      <c r="C1257" s="11"/>
      <c r="D1257" s="11"/>
      <c r="E1257" s="11"/>
      <c r="F1257" s="11"/>
      <c r="G1257" s="11"/>
    </row>
    <row r="1258" customFormat="false" ht="15.75" hidden="false" customHeight="false" outlineLevel="0" collapsed="false">
      <c r="A1258" s="9"/>
      <c r="B1258" s="10" t="n">
        <f aca="false">A1258</f>
        <v>0</v>
      </c>
      <c r="C1258" s="11"/>
      <c r="D1258" s="11"/>
      <c r="E1258" s="11"/>
      <c r="F1258" s="11"/>
      <c r="G1258" s="11"/>
    </row>
    <row r="1259" customFormat="false" ht="15.75" hidden="false" customHeight="false" outlineLevel="0" collapsed="false">
      <c r="A1259" s="9"/>
      <c r="B1259" s="10" t="n">
        <f aca="false">A1259</f>
        <v>0</v>
      </c>
      <c r="C1259" s="11"/>
      <c r="D1259" s="11"/>
      <c r="E1259" s="11"/>
      <c r="F1259" s="11"/>
      <c r="G1259" s="11"/>
    </row>
    <row r="1260" customFormat="false" ht="15.75" hidden="false" customHeight="false" outlineLevel="0" collapsed="false">
      <c r="A1260" s="9"/>
      <c r="B1260" s="10" t="n">
        <f aca="false">A1260</f>
        <v>0</v>
      </c>
      <c r="C1260" s="11"/>
      <c r="D1260" s="11"/>
      <c r="E1260" s="11"/>
      <c r="F1260" s="11"/>
      <c r="G1260" s="11"/>
    </row>
    <row r="1261" customFormat="false" ht="15.75" hidden="false" customHeight="false" outlineLevel="0" collapsed="false">
      <c r="A1261" s="9"/>
      <c r="B1261" s="10" t="n">
        <f aca="false">A1261</f>
        <v>0</v>
      </c>
      <c r="C1261" s="11"/>
      <c r="D1261" s="11"/>
      <c r="E1261" s="11"/>
      <c r="F1261" s="11"/>
      <c r="G1261" s="11"/>
    </row>
    <row r="1262" customFormat="false" ht="15.75" hidden="false" customHeight="false" outlineLevel="0" collapsed="false">
      <c r="A1262" s="9"/>
      <c r="B1262" s="10" t="n">
        <f aca="false">A1262</f>
        <v>0</v>
      </c>
      <c r="C1262" s="11"/>
      <c r="D1262" s="11"/>
      <c r="E1262" s="11"/>
      <c r="F1262" s="11"/>
      <c r="G1262" s="11"/>
    </row>
    <row r="1263" customFormat="false" ht="15.75" hidden="false" customHeight="false" outlineLevel="0" collapsed="false">
      <c r="A1263" s="9"/>
      <c r="B1263" s="10" t="n">
        <f aca="false">A1263</f>
        <v>0</v>
      </c>
      <c r="C1263" s="11"/>
      <c r="D1263" s="11"/>
      <c r="E1263" s="11"/>
      <c r="F1263" s="11"/>
      <c r="G1263" s="11"/>
    </row>
    <row r="1264" customFormat="false" ht="15.75" hidden="false" customHeight="false" outlineLevel="0" collapsed="false">
      <c r="A1264" s="9"/>
      <c r="B1264" s="10" t="n">
        <f aca="false">A1264</f>
        <v>0</v>
      </c>
      <c r="C1264" s="11"/>
      <c r="D1264" s="11"/>
      <c r="E1264" s="11"/>
      <c r="F1264" s="11"/>
      <c r="G1264" s="11"/>
    </row>
    <row r="1265" customFormat="false" ht="15.75" hidden="false" customHeight="false" outlineLevel="0" collapsed="false">
      <c r="A1265" s="9"/>
      <c r="B1265" s="10" t="n">
        <f aca="false">A1265</f>
        <v>0</v>
      </c>
      <c r="C1265" s="11"/>
      <c r="D1265" s="11"/>
      <c r="E1265" s="11"/>
      <c r="F1265" s="11"/>
      <c r="G1265" s="11"/>
    </row>
    <row r="1266" customFormat="false" ht="15.75" hidden="false" customHeight="false" outlineLevel="0" collapsed="false">
      <c r="A1266" s="9"/>
      <c r="B1266" s="10" t="n">
        <f aca="false">A1266</f>
        <v>0</v>
      </c>
      <c r="C1266" s="11"/>
      <c r="D1266" s="11"/>
      <c r="E1266" s="11"/>
      <c r="F1266" s="11"/>
      <c r="G1266" s="11"/>
    </row>
    <row r="1267" customFormat="false" ht="15.75" hidden="false" customHeight="false" outlineLevel="0" collapsed="false">
      <c r="A1267" s="9"/>
      <c r="B1267" s="10" t="n">
        <f aca="false">A1267</f>
        <v>0</v>
      </c>
      <c r="C1267" s="11"/>
      <c r="D1267" s="11"/>
      <c r="E1267" s="11"/>
      <c r="F1267" s="11"/>
      <c r="G1267" s="11"/>
    </row>
    <row r="1268" customFormat="false" ht="15.75" hidden="false" customHeight="false" outlineLevel="0" collapsed="false">
      <c r="A1268" s="9"/>
      <c r="B1268" s="10" t="n">
        <f aca="false">A1268</f>
        <v>0</v>
      </c>
      <c r="C1268" s="11"/>
      <c r="D1268" s="11"/>
      <c r="E1268" s="11"/>
      <c r="F1268" s="11"/>
      <c r="G1268" s="11"/>
    </row>
    <row r="1269" customFormat="false" ht="15.75" hidden="false" customHeight="false" outlineLevel="0" collapsed="false">
      <c r="A1269" s="9"/>
      <c r="B1269" s="10" t="n">
        <f aca="false">A1269</f>
        <v>0</v>
      </c>
      <c r="C1269" s="11"/>
      <c r="D1269" s="11"/>
      <c r="E1269" s="11"/>
      <c r="F1269" s="11"/>
      <c r="G1269" s="11"/>
    </row>
    <row r="1270" customFormat="false" ht="15.75" hidden="false" customHeight="false" outlineLevel="0" collapsed="false">
      <c r="A1270" s="9"/>
      <c r="B1270" s="10" t="n">
        <f aca="false">A1270</f>
        <v>0</v>
      </c>
      <c r="C1270" s="11"/>
      <c r="D1270" s="11"/>
      <c r="E1270" s="11"/>
      <c r="F1270" s="11"/>
      <c r="G1270" s="11"/>
    </row>
    <row r="1271" customFormat="false" ht="15.75" hidden="false" customHeight="false" outlineLevel="0" collapsed="false">
      <c r="A1271" s="9"/>
      <c r="B1271" s="10" t="n">
        <f aca="false">A1271</f>
        <v>0</v>
      </c>
      <c r="C1271" s="11"/>
      <c r="D1271" s="11"/>
      <c r="E1271" s="11"/>
      <c r="F1271" s="11"/>
      <c r="G1271" s="11"/>
    </row>
    <row r="1272" customFormat="false" ht="15.75" hidden="false" customHeight="false" outlineLevel="0" collapsed="false">
      <c r="A1272" s="9"/>
      <c r="B1272" s="10" t="n">
        <f aca="false">A1272</f>
        <v>0</v>
      </c>
      <c r="C1272" s="11"/>
      <c r="D1272" s="11"/>
      <c r="E1272" s="11"/>
      <c r="F1272" s="11"/>
      <c r="G1272" s="11"/>
    </row>
    <row r="1273" customFormat="false" ht="15.75" hidden="false" customHeight="false" outlineLevel="0" collapsed="false">
      <c r="A1273" s="9"/>
      <c r="B1273" s="10" t="n">
        <f aca="false">A1273</f>
        <v>0</v>
      </c>
      <c r="C1273" s="11"/>
      <c r="D1273" s="11"/>
      <c r="E1273" s="11"/>
      <c r="F1273" s="11"/>
      <c r="G1273" s="11"/>
    </row>
    <row r="1274" customFormat="false" ht="15.75" hidden="false" customHeight="false" outlineLevel="0" collapsed="false">
      <c r="A1274" s="9"/>
      <c r="B1274" s="10" t="n">
        <f aca="false">A1274</f>
        <v>0</v>
      </c>
      <c r="C1274" s="11"/>
      <c r="D1274" s="11"/>
      <c r="E1274" s="11"/>
      <c r="F1274" s="11"/>
      <c r="G1274" s="11"/>
    </row>
    <row r="1275" customFormat="false" ht="15.75" hidden="false" customHeight="false" outlineLevel="0" collapsed="false">
      <c r="A1275" s="9"/>
      <c r="B1275" s="10" t="n">
        <f aca="false">A1275</f>
        <v>0</v>
      </c>
      <c r="C1275" s="11"/>
      <c r="D1275" s="11"/>
      <c r="E1275" s="11"/>
      <c r="F1275" s="11"/>
      <c r="G1275" s="11"/>
    </row>
    <row r="1276" customFormat="false" ht="15.75" hidden="false" customHeight="false" outlineLevel="0" collapsed="false">
      <c r="A1276" s="9"/>
      <c r="B1276" s="10" t="n">
        <f aca="false">A1276</f>
        <v>0</v>
      </c>
      <c r="C1276" s="11"/>
      <c r="D1276" s="11"/>
      <c r="E1276" s="11"/>
      <c r="F1276" s="11"/>
      <c r="G1276" s="11"/>
    </row>
    <row r="1277" customFormat="false" ht="15.75" hidden="false" customHeight="false" outlineLevel="0" collapsed="false">
      <c r="A1277" s="9"/>
      <c r="B1277" s="10" t="n">
        <f aca="false">A1277</f>
        <v>0</v>
      </c>
      <c r="C1277" s="11"/>
      <c r="D1277" s="11"/>
      <c r="E1277" s="11"/>
      <c r="F1277" s="11"/>
      <c r="G1277" s="11"/>
    </row>
    <row r="1278" customFormat="false" ht="15.75" hidden="false" customHeight="false" outlineLevel="0" collapsed="false">
      <c r="A1278" s="9"/>
      <c r="B1278" s="10" t="n">
        <f aca="false">A1278</f>
        <v>0</v>
      </c>
      <c r="C1278" s="11"/>
      <c r="D1278" s="11"/>
      <c r="E1278" s="11"/>
      <c r="F1278" s="11"/>
      <c r="G1278" s="11"/>
    </row>
    <row r="1279" customFormat="false" ht="15.75" hidden="false" customHeight="false" outlineLevel="0" collapsed="false">
      <c r="A1279" s="9"/>
      <c r="B1279" s="10" t="n">
        <f aca="false">A1279</f>
        <v>0</v>
      </c>
      <c r="C1279" s="11"/>
      <c r="D1279" s="11"/>
      <c r="E1279" s="11"/>
      <c r="F1279" s="11"/>
      <c r="G1279" s="11"/>
    </row>
    <row r="1280" customFormat="false" ht="15.75" hidden="false" customHeight="false" outlineLevel="0" collapsed="false">
      <c r="A1280" s="9"/>
      <c r="B1280" s="10" t="n">
        <f aca="false">A1280</f>
        <v>0</v>
      </c>
      <c r="C1280" s="11"/>
      <c r="D1280" s="11"/>
      <c r="E1280" s="11"/>
      <c r="F1280" s="11"/>
      <c r="G1280" s="11"/>
    </row>
    <row r="1281" customFormat="false" ht="15.75" hidden="false" customHeight="false" outlineLevel="0" collapsed="false">
      <c r="A1281" s="9"/>
      <c r="B1281" s="10" t="n">
        <f aca="false">A1281</f>
        <v>0</v>
      </c>
      <c r="C1281" s="11"/>
      <c r="D1281" s="11"/>
      <c r="E1281" s="11"/>
      <c r="F1281" s="11"/>
      <c r="G1281" s="11"/>
    </row>
    <row r="1282" customFormat="false" ht="15.75" hidden="false" customHeight="false" outlineLevel="0" collapsed="false">
      <c r="A1282" s="9"/>
      <c r="B1282" s="10" t="n">
        <f aca="false">A1282</f>
        <v>0</v>
      </c>
      <c r="C1282" s="11"/>
      <c r="D1282" s="11"/>
      <c r="E1282" s="11"/>
      <c r="F1282" s="11"/>
      <c r="G1282" s="11"/>
    </row>
    <row r="1283" customFormat="false" ht="15.75" hidden="false" customHeight="false" outlineLevel="0" collapsed="false">
      <c r="A1283" s="9"/>
      <c r="B1283" s="10" t="n">
        <f aca="false">A1283</f>
        <v>0</v>
      </c>
      <c r="C1283" s="11"/>
      <c r="D1283" s="11"/>
      <c r="E1283" s="11"/>
      <c r="F1283" s="11"/>
      <c r="G1283" s="11"/>
    </row>
    <row r="1284" customFormat="false" ht="15.75" hidden="false" customHeight="false" outlineLevel="0" collapsed="false">
      <c r="A1284" s="9"/>
      <c r="B1284" s="10" t="n">
        <f aca="false">A1284</f>
        <v>0</v>
      </c>
      <c r="C1284" s="11"/>
      <c r="D1284" s="11"/>
      <c r="E1284" s="11"/>
      <c r="F1284" s="11"/>
      <c r="G1284" s="11"/>
    </row>
    <row r="1285" customFormat="false" ht="15.75" hidden="false" customHeight="false" outlineLevel="0" collapsed="false">
      <c r="A1285" s="9"/>
      <c r="B1285" s="10" t="n">
        <f aca="false">A1285</f>
        <v>0</v>
      </c>
      <c r="C1285" s="11"/>
      <c r="D1285" s="11"/>
      <c r="E1285" s="11"/>
      <c r="F1285" s="11"/>
      <c r="G1285" s="11"/>
    </row>
    <row r="1286" customFormat="false" ht="15.75" hidden="false" customHeight="false" outlineLevel="0" collapsed="false">
      <c r="A1286" s="9"/>
      <c r="B1286" s="10" t="n">
        <f aca="false">A1286</f>
        <v>0</v>
      </c>
      <c r="C1286" s="11"/>
      <c r="D1286" s="11"/>
      <c r="E1286" s="11"/>
      <c r="F1286" s="11"/>
      <c r="G1286" s="11"/>
    </row>
    <row r="1287" customFormat="false" ht="15.75" hidden="false" customHeight="false" outlineLevel="0" collapsed="false">
      <c r="A1287" s="9"/>
      <c r="B1287" s="10" t="n">
        <f aca="false">A1287</f>
        <v>0</v>
      </c>
      <c r="C1287" s="11"/>
      <c r="D1287" s="11"/>
      <c r="E1287" s="11"/>
      <c r="F1287" s="11"/>
      <c r="G1287" s="11"/>
    </row>
    <row r="1288" customFormat="false" ht="15.75" hidden="false" customHeight="false" outlineLevel="0" collapsed="false">
      <c r="A1288" s="9"/>
      <c r="B1288" s="10" t="n">
        <f aca="false">A1288</f>
        <v>0</v>
      </c>
      <c r="C1288" s="11"/>
      <c r="D1288" s="11"/>
      <c r="E1288" s="11"/>
      <c r="F1288" s="11"/>
      <c r="G1288" s="11"/>
    </row>
    <row r="1289" customFormat="false" ht="15.75" hidden="false" customHeight="false" outlineLevel="0" collapsed="false">
      <c r="A1289" s="9"/>
      <c r="B1289" s="10" t="n">
        <f aca="false">A1289</f>
        <v>0</v>
      </c>
      <c r="C1289" s="11"/>
      <c r="D1289" s="11"/>
      <c r="E1289" s="11"/>
      <c r="F1289" s="11"/>
      <c r="G1289" s="11"/>
    </row>
    <row r="1290" customFormat="false" ht="15.75" hidden="false" customHeight="false" outlineLevel="0" collapsed="false">
      <c r="A1290" s="9"/>
      <c r="B1290" s="10" t="n">
        <f aca="false">A1290</f>
        <v>0</v>
      </c>
      <c r="C1290" s="11"/>
      <c r="D1290" s="11"/>
      <c r="E1290" s="11"/>
      <c r="F1290" s="11"/>
      <c r="G1290" s="11"/>
    </row>
    <row r="1291" customFormat="false" ht="15.75" hidden="false" customHeight="false" outlineLevel="0" collapsed="false">
      <c r="A1291" s="9"/>
      <c r="B1291" s="10" t="n">
        <f aca="false">A1291</f>
        <v>0</v>
      </c>
      <c r="C1291" s="11"/>
      <c r="D1291" s="11"/>
      <c r="E1291" s="11"/>
      <c r="F1291" s="11"/>
      <c r="G1291" s="11"/>
    </row>
    <row r="1292" customFormat="false" ht="15.75" hidden="false" customHeight="false" outlineLevel="0" collapsed="false">
      <c r="A1292" s="9"/>
      <c r="B1292" s="10" t="n">
        <f aca="false">A1292</f>
        <v>0</v>
      </c>
      <c r="C1292" s="11"/>
      <c r="D1292" s="11"/>
      <c r="E1292" s="11"/>
      <c r="F1292" s="11"/>
      <c r="G1292" s="11"/>
    </row>
    <row r="1293" customFormat="false" ht="15.75" hidden="false" customHeight="false" outlineLevel="0" collapsed="false">
      <c r="A1293" s="9"/>
      <c r="B1293" s="10" t="n">
        <f aca="false">A1293</f>
        <v>0</v>
      </c>
      <c r="C1293" s="11"/>
      <c r="D1293" s="11"/>
      <c r="E1293" s="11"/>
      <c r="F1293" s="11"/>
      <c r="G1293" s="11"/>
    </row>
    <row r="1294" customFormat="false" ht="15.75" hidden="false" customHeight="false" outlineLevel="0" collapsed="false">
      <c r="A1294" s="9"/>
      <c r="B1294" s="10" t="n">
        <f aca="false">A1294</f>
        <v>0</v>
      </c>
      <c r="C1294" s="11"/>
      <c r="D1294" s="11"/>
      <c r="E1294" s="11"/>
      <c r="F1294" s="11"/>
      <c r="G1294" s="11"/>
    </row>
    <row r="1295" customFormat="false" ht="15.75" hidden="false" customHeight="false" outlineLevel="0" collapsed="false">
      <c r="A1295" s="9"/>
      <c r="B1295" s="10" t="n">
        <f aca="false">A1295</f>
        <v>0</v>
      </c>
      <c r="C1295" s="11"/>
      <c r="D1295" s="11"/>
      <c r="E1295" s="11"/>
      <c r="F1295" s="11"/>
      <c r="G1295" s="11"/>
    </row>
    <row r="1296" customFormat="false" ht="15.75" hidden="false" customHeight="false" outlineLevel="0" collapsed="false">
      <c r="A1296" s="9"/>
      <c r="B1296" s="10" t="n">
        <f aca="false">A1296</f>
        <v>0</v>
      </c>
      <c r="C1296" s="11"/>
      <c r="D1296" s="11"/>
      <c r="E1296" s="11"/>
      <c r="F1296" s="11"/>
      <c r="G1296" s="11"/>
    </row>
    <row r="1297" customFormat="false" ht="15.75" hidden="false" customHeight="false" outlineLevel="0" collapsed="false">
      <c r="A1297" s="9"/>
      <c r="B1297" s="10" t="n">
        <f aca="false">A1297</f>
        <v>0</v>
      </c>
      <c r="C1297" s="11"/>
      <c r="D1297" s="11"/>
      <c r="E1297" s="11"/>
      <c r="F1297" s="11"/>
      <c r="G1297" s="11"/>
    </row>
    <row r="1298" customFormat="false" ht="15.75" hidden="false" customHeight="false" outlineLevel="0" collapsed="false">
      <c r="A1298" s="9"/>
      <c r="B1298" s="10" t="n">
        <f aca="false">A1298</f>
        <v>0</v>
      </c>
      <c r="C1298" s="11"/>
      <c r="D1298" s="11"/>
      <c r="E1298" s="11"/>
      <c r="F1298" s="11"/>
      <c r="G1298" s="11"/>
    </row>
    <row r="1299" customFormat="false" ht="15.75" hidden="false" customHeight="false" outlineLevel="0" collapsed="false">
      <c r="A1299" s="9"/>
      <c r="B1299" s="10" t="n">
        <f aca="false">A1299</f>
        <v>0</v>
      </c>
      <c r="C1299" s="11"/>
      <c r="D1299" s="11"/>
      <c r="E1299" s="11"/>
      <c r="F1299" s="11"/>
      <c r="G1299" s="11"/>
    </row>
    <row r="1300" customFormat="false" ht="15.75" hidden="false" customHeight="false" outlineLevel="0" collapsed="false">
      <c r="A1300" s="9"/>
      <c r="B1300" s="10" t="n">
        <f aca="false">A1300</f>
        <v>0</v>
      </c>
      <c r="C1300" s="11"/>
      <c r="D1300" s="11"/>
      <c r="E1300" s="11"/>
      <c r="F1300" s="11"/>
      <c r="G1300" s="11"/>
    </row>
    <row r="1301" customFormat="false" ht="15.75" hidden="false" customHeight="false" outlineLevel="0" collapsed="false">
      <c r="A1301" s="9"/>
      <c r="B1301" s="10" t="n">
        <f aca="false">A1301</f>
        <v>0</v>
      </c>
      <c r="C1301" s="11"/>
      <c r="D1301" s="11"/>
      <c r="E1301" s="11"/>
      <c r="F1301" s="11"/>
      <c r="G1301" s="11"/>
    </row>
    <row r="1302" customFormat="false" ht="15.75" hidden="false" customHeight="false" outlineLevel="0" collapsed="false">
      <c r="A1302" s="9"/>
      <c r="B1302" s="10" t="n">
        <f aca="false">A1302</f>
        <v>0</v>
      </c>
      <c r="C1302" s="11"/>
      <c r="D1302" s="11"/>
      <c r="E1302" s="11"/>
      <c r="F1302" s="11"/>
      <c r="G1302" s="11"/>
    </row>
    <row r="1303" customFormat="false" ht="15.75" hidden="false" customHeight="false" outlineLevel="0" collapsed="false">
      <c r="A1303" s="9"/>
      <c r="B1303" s="10" t="n">
        <f aca="false">A1303</f>
        <v>0</v>
      </c>
      <c r="C1303" s="11"/>
      <c r="D1303" s="11"/>
      <c r="E1303" s="11"/>
      <c r="F1303" s="11"/>
      <c r="G1303" s="11"/>
    </row>
    <row r="1304" customFormat="false" ht="15.75" hidden="false" customHeight="false" outlineLevel="0" collapsed="false">
      <c r="A1304" s="9" t="n">
        <v>45992</v>
      </c>
      <c r="B1304" s="10" t="n">
        <f aca="false">A1304</f>
        <v>45992</v>
      </c>
      <c r="C1304" s="11" t="s">
        <v>386</v>
      </c>
      <c r="D1304" s="11" t="s">
        <v>22</v>
      </c>
      <c r="E1304" s="11"/>
      <c r="F1304" s="11"/>
      <c r="G1304" s="11"/>
    </row>
    <row r="1305" customFormat="false" ht="15.75" hidden="false" customHeight="false" outlineLevel="0" collapsed="false">
      <c r="A1305" s="9"/>
      <c r="B1305" s="10" t="n">
        <f aca="false">A1305</f>
        <v>0</v>
      </c>
      <c r="C1305" s="11"/>
      <c r="D1305" s="11"/>
      <c r="E1305" s="11"/>
      <c r="F1305" s="11"/>
      <c r="G1305" s="11"/>
    </row>
    <row r="1306" customFormat="false" ht="15.75" hidden="false" customHeight="false" outlineLevel="0" collapsed="false">
      <c r="A1306" s="9"/>
      <c r="B1306" s="10" t="n">
        <f aca="false">A1306</f>
        <v>0</v>
      </c>
      <c r="C1306" s="11"/>
      <c r="D1306" s="11"/>
      <c r="E1306" s="11"/>
      <c r="F1306" s="11"/>
      <c r="G1306" s="11"/>
    </row>
    <row r="1307" customFormat="false" ht="15.75" hidden="false" customHeight="false" outlineLevel="0" collapsed="false">
      <c r="A1307" s="9"/>
      <c r="B1307" s="10" t="n">
        <f aca="false">A1307</f>
        <v>0</v>
      </c>
      <c r="C1307" s="11"/>
      <c r="D1307" s="11"/>
      <c r="E1307" s="11"/>
      <c r="F1307" s="11"/>
      <c r="G1307" s="11"/>
    </row>
    <row r="1308" customFormat="false" ht="15.75" hidden="false" customHeight="false" outlineLevel="0" collapsed="false">
      <c r="A1308" s="9"/>
      <c r="B1308" s="10" t="n">
        <f aca="false">A1308</f>
        <v>0</v>
      </c>
      <c r="C1308" s="11"/>
      <c r="D1308" s="11"/>
      <c r="E1308" s="11"/>
      <c r="F1308" s="11"/>
      <c r="G1308" s="11"/>
    </row>
    <row r="1309" customFormat="false" ht="15.75" hidden="false" customHeight="false" outlineLevel="0" collapsed="false">
      <c r="A1309" s="9"/>
      <c r="B1309" s="10" t="n">
        <f aca="false">A1309</f>
        <v>0</v>
      </c>
      <c r="C1309" s="11"/>
      <c r="D1309" s="11"/>
      <c r="E1309" s="11"/>
      <c r="F1309" s="11"/>
      <c r="G1309" s="11"/>
    </row>
    <row r="1310" customFormat="false" ht="15.75" hidden="false" customHeight="false" outlineLevel="0" collapsed="false">
      <c r="A1310" s="9"/>
      <c r="B1310" s="10" t="n">
        <f aca="false">A1310</f>
        <v>0</v>
      </c>
      <c r="C1310" s="11"/>
      <c r="D1310" s="11"/>
      <c r="E1310" s="11"/>
      <c r="F1310" s="11"/>
      <c r="G1310" s="11"/>
    </row>
    <row r="1311" customFormat="false" ht="15.75" hidden="false" customHeight="false" outlineLevel="0" collapsed="false">
      <c r="A1311" s="9"/>
      <c r="B1311" s="10" t="n">
        <f aca="false">A1311</f>
        <v>0</v>
      </c>
      <c r="C1311" s="11"/>
      <c r="D1311" s="11"/>
      <c r="E1311" s="11"/>
      <c r="F1311" s="11"/>
      <c r="G1311" s="11"/>
    </row>
    <row r="1312" customFormat="false" ht="15.75" hidden="false" customHeight="false" outlineLevel="0" collapsed="false">
      <c r="A1312" s="9"/>
      <c r="B1312" s="10" t="n">
        <f aca="false">A1312</f>
        <v>0</v>
      </c>
      <c r="C1312" s="11"/>
      <c r="D1312" s="11"/>
      <c r="E1312" s="11"/>
      <c r="F1312" s="11"/>
      <c r="G1312" s="11"/>
    </row>
    <row r="1313" customFormat="false" ht="15.75" hidden="false" customHeight="false" outlineLevel="0" collapsed="false">
      <c r="A1313" s="9"/>
      <c r="B1313" s="10" t="n">
        <f aca="false">A1313</f>
        <v>0</v>
      </c>
      <c r="C1313" s="11"/>
      <c r="D1313" s="11"/>
      <c r="E1313" s="11"/>
      <c r="F1313" s="11"/>
      <c r="G1313" s="11"/>
    </row>
    <row r="1314" customFormat="false" ht="15.75" hidden="false" customHeight="false" outlineLevel="0" collapsed="false">
      <c r="A1314" s="9"/>
      <c r="B1314" s="10" t="n">
        <f aca="false">A1314</f>
        <v>0</v>
      </c>
      <c r="C1314" s="11"/>
      <c r="D1314" s="11"/>
      <c r="E1314" s="11"/>
      <c r="F1314" s="11"/>
      <c r="G1314" s="11"/>
    </row>
  </sheetData>
  <dataValidations count="5">
    <dataValidation allowBlank="true" errorStyle="stop" operator="between" showDropDown="false" showErrorMessage="true" showInputMessage="false" sqref="E3:F1314" type="list">
      <formula1>"Sí,No"</formula1>
      <formula2>0</formula2>
    </dataValidation>
    <dataValidation allowBlank="true" errorStyle="stop" operator="between" showDropDown="true" showErrorMessage="true" showInputMessage="false" sqref="A3:B1314" type="custom">
      <formula1>OR(NOT(ISERROR(DATEVALUE(A3))), AND(ISNUMBER(A3), LEFT(CELL("format", A3))="D"))</formula1>
      <formula2>0</formula2>
    </dataValidation>
    <dataValidation allowBlank="true" errorStyle="stop" operator="between" showDropDown="false" showErrorMessage="true" showInputMessage="false" sqref="C3:C1314" type="list">
      <formula1>"Salón,Llamada,Online"</formula1>
      <formula2>0</formula2>
    </dataValidation>
    <dataValidation allowBlank="true" errorStyle="stop" operator="between" showDropDown="false" showErrorMessage="true" showInputMessage="false" sqref="D3:D1314" type="list">
      <formula1>BD!$B$2:$B$9</formula1>
      <formula2>0</formula2>
    </dataValidation>
    <dataValidation allowBlank="true" errorStyle="stop" operator="between" showDropDown="false" showErrorMessage="true" showInputMessage="false" sqref="G3:G1314" type="list">
      <formula1>"Nuevo,Existente"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94"/>
  <sheetViews>
    <sheetView showFormulas="false" showGridLines="true" showRowColHeaders="true" showZeros="true" rightToLeft="false" tabSelected="false" showOutlineSymbols="true" defaultGridColor="true" view="normal" topLeftCell="A10" colorId="64" zoomScale="90" zoomScaleNormal="9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8.13"/>
    <col collapsed="false" customWidth="true" hidden="false" outlineLevel="0" max="11" min="11" style="0" width="24"/>
  </cols>
  <sheetData>
    <row r="1" customFormat="false" ht="15.75" hidden="false" customHeight="false" outlineLevel="0" collapsed="false">
      <c r="A1" s="15"/>
      <c r="B1" s="15"/>
      <c r="C1" s="15"/>
      <c r="D1" s="15"/>
      <c r="E1" s="15"/>
      <c r="F1" s="15"/>
      <c r="G1" s="15"/>
    </row>
    <row r="2" customFormat="false" ht="15.75" hidden="false" customHeight="false" outlineLevel="0" collapsed="false">
      <c r="A2" s="16" t="s">
        <v>390</v>
      </c>
      <c r="B2" s="17" t="s">
        <v>391</v>
      </c>
      <c r="C2" s="17" t="s">
        <v>392</v>
      </c>
      <c r="D2" s="17"/>
      <c r="E2" s="18"/>
      <c r="F2" s="19"/>
      <c r="G2" s="15"/>
    </row>
    <row r="3" customFormat="false" ht="15.75" hidden="false" customHeight="false" outlineLevel="0" collapsed="false">
      <c r="A3" s="20" t="n">
        <v>23</v>
      </c>
      <c r="B3" s="21" t="n">
        <v>9</v>
      </c>
      <c r="C3" s="22" t="s">
        <v>393</v>
      </c>
      <c r="D3" s="22" t="s">
        <v>394</v>
      </c>
      <c r="E3" s="23"/>
      <c r="F3" s="22" t="s">
        <v>395</v>
      </c>
      <c r="G3" s="16" t="s">
        <v>396</v>
      </c>
    </row>
    <row r="4" customFormat="false" ht="15.75" hidden="false" customHeight="false" outlineLevel="0" collapsed="false">
      <c r="A4" s="24" t="s">
        <v>397</v>
      </c>
      <c r="B4" s="24"/>
      <c r="C4" s="25" t="n">
        <v>8000000</v>
      </c>
      <c r="D4" s="26" t="n">
        <f aca="false">C26</f>
        <v>14866587</v>
      </c>
      <c r="E4" s="27"/>
      <c r="F4" s="28" t="n">
        <f aca="false">(D4/C4)*1</f>
        <v>1.858323375</v>
      </c>
      <c r="G4" s="29" t="n">
        <f aca="false">D4-C4</f>
        <v>6866587</v>
      </c>
    </row>
    <row r="5" customFormat="false" ht="15.75" hidden="false" customHeight="false" outlineLevel="0" collapsed="false">
      <c r="A5" s="30" t="s">
        <v>398</v>
      </c>
      <c r="B5" s="30"/>
      <c r="C5" s="25" t="n">
        <v>1000000</v>
      </c>
      <c r="D5" s="26" t="n">
        <f aca="false">H26</f>
        <v>270000</v>
      </c>
      <c r="E5" s="27"/>
      <c r="F5" s="28" t="n">
        <f aca="false">(D5/C5)*1</f>
        <v>0.27</v>
      </c>
      <c r="G5" s="29" t="n">
        <f aca="false">D5-C5</f>
        <v>-730000</v>
      </c>
    </row>
    <row r="6" customFormat="false" ht="15.75" hidden="false" customHeight="false" outlineLevel="0" collapsed="false">
      <c r="A6" s="15"/>
      <c r="B6" s="15"/>
      <c r="C6" s="15"/>
      <c r="D6" s="15"/>
      <c r="E6" s="15"/>
      <c r="F6" s="15"/>
      <c r="G6" s="15"/>
    </row>
    <row r="9" customFormat="false" ht="15.75" hidden="false" customHeight="false" outlineLevel="0" collapsed="false">
      <c r="A9" s="31" t="s">
        <v>399</v>
      </c>
      <c r="G9" s="32" t="s">
        <v>400</v>
      </c>
    </row>
    <row r="10" customFormat="false" ht="15.75" hidden="false" customHeight="false" outlineLevel="0" collapsed="false">
      <c r="A10" s="33" t="n">
        <v>1</v>
      </c>
      <c r="B10" s="33" t="s">
        <v>401</v>
      </c>
      <c r="C10" s="34" t="n">
        <v>1492460</v>
      </c>
      <c r="D10" s="35" t="n">
        <v>45927</v>
      </c>
      <c r="G10" s="33" t="n">
        <v>1</v>
      </c>
      <c r="H10" s="34" t="n">
        <v>270000</v>
      </c>
    </row>
    <row r="11" customFormat="false" ht="15.75" hidden="false" customHeight="false" outlineLevel="0" collapsed="false">
      <c r="A11" s="33" t="n">
        <v>1</v>
      </c>
      <c r="B11" s="33" t="s">
        <v>402</v>
      </c>
      <c r="C11" s="34" t="n">
        <v>1010219</v>
      </c>
      <c r="D11" s="36" t="n">
        <v>45932</v>
      </c>
      <c r="H11" s="34"/>
    </row>
    <row r="12" customFormat="false" ht="15.75" hidden="false" customHeight="false" outlineLevel="0" collapsed="false">
      <c r="A12" s="33" t="n">
        <v>1</v>
      </c>
      <c r="B12" s="33" t="s">
        <v>403</v>
      </c>
      <c r="C12" s="34" t="n">
        <v>375750</v>
      </c>
      <c r="D12" s="36" t="n">
        <v>45932</v>
      </c>
      <c r="H12" s="34"/>
    </row>
    <row r="13" customFormat="false" ht="15.75" hidden="false" customHeight="false" outlineLevel="0" collapsed="false">
      <c r="A13" s="33" t="n">
        <v>1</v>
      </c>
      <c r="B13" s="33" t="s">
        <v>404</v>
      </c>
      <c r="C13" s="37" t="n">
        <v>775371</v>
      </c>
      <c r="D13" s="36" t="n">
        <v>45933</v>
      </c>
      <c r="H13" s="34"/>
    </row>
    <row r="14" customFormat="false" ht="15.75" hidden="false" customHeight="false" outlineLevel="0" collapsed="false">
      <c r="A14" s="33" t="n">
        <v>1</v>
      </c>
      <c r="B14" s="33" t="s">
        <v>405</v>
      </c>
      <c r="C14" s="34" t="n">
        <v>49210</v>
      </c>
      <c r="D14" s="36" t="n">
        <v>45936</v>
      </c>
      <c r="H14" s="34"/>
    </row>
    <row r="15" customFormat="false" ht="15.75" hidden="false" customHeight="false" outlineLevel="0" collapsed="false">
      <c r="A15" s="33" t="n">
        <v>1</v>
      </c>
      <c r="B15" s="33" t="s">
        <v>406</v>
      </c>
      <c r="C15" s="34" t="n">
        <v>990000</v>
      </c>
      <c r="D15" s="36" t="n">
        <v>45938</v>
      </c>
      <c r="H15" s="34"/>
    </row>
    <row r="16" customFormat="false" ht="15.75" hidden="false" customHeight="false" outlineLevel="0" collapsed="false">
      <c r="A16" s="38" t="n">
        <v>1</v>
      </c>
      <c r="B16" s="33" t="s">
        <v>407</v>
      </c>
      <c r="C16" s="39" t="n">
        <v>46950</v>
      </c>
      <c r="D16" s="40" t="n">
        <v>45938</v>
      </c>
      <c r="G16" s="41"/>
    </row>
    <row r="17" customFormat="false" ht="15.75" hidden="false" customHeight="false" outlineLevel="0" collapsed="false">
      <c r="A17" s="38" t="n">
        <v>1</v>
      </c>
      <c r="B17" s="33" t="s">
        <v>408</v>
      </c>
      <c r="C17" s="39" t="n">
        <v>313811</v>
      </c>
      <c r="D17" s="40" t="n">
        <v>45947</v>
      </c>
      <c r="G17" s="41"/>
    </row>
    <row r="18" customFormat="false" ht="15.75" hidden="false" customHeight="false" outlineLevel="0" collapsed="false">
      <c r="A18" s="38" t="n">
        <v>1</v>
      </c>
      <c r="B18" s="33" t="s">
        <v>409</v>
      </c>
      <c r="C18" s="39" t="n">
        <v>1415815</v>
      </c>
      <c r="D18" s="40" t="n">
        <v>45954</v>
      </c>
      <c r="G18" s="41"/>
    </row>
    <row r="19" customFormat="false" ht="15.75" hidden="false" customHeight="false" outlineLevel="0" collapsed="false">
      <c r="A19" s="38" t="n">
        <v>1</v>
      </c>
      <c r="B19" s="33" t="s">
        <v>410</v>
      </c>
      <c r="C19" s="39" t="n">
        <v>318822</v>
      </c>
      <c r="D19" s="40" t="n">
        <v>45955</v>
      </c>
      <c r="G19" s="41"/>
    </row>
    <row r="20" customFormat="false" ht="15.75" hidden="false" customHeight="false" outlineLevel="0" collapsed="false">
      <c r="A20" s="38" t="n">
        <v>1</v>
      </c>
      <c r="B20" s="33" t="s">
        <v>411</v>
      </c>
      <c r="C20" s="39" t="n">
        <v>208603</v>
      </c>
      <c r="D20" s="40" t="n">
        <v>42302</v>
      </c>
      <c r="G20" s="41"/>
    </row>
    <row r="21" customFormat="false" ht="15.75" hidden="false" customHeight="false" outlineLevel="0" collapsed="false">
      <c r="A21" s="38" t="n">
        <v>1</v>
      </c>
      <c r="B21" s="33" t="s">
        <v>412</v>
      </c>
      <c r="C21" s="39" t="n">
        <v>1184918</v>
      </c>
      <c r="D21" s="40" t="n">
        <v>45957</v>
      </c>
      <c r="G21" s="41"/>
    </row>
    <row r="22" customFormat="false" ht="15.75" hidden="false" customHeight="false" outlineLevel="0" collapsed="false">
      <c r="A22" s="38" t="n">
        <v>2</v>
      </c>
      <c r="B22" s="33" t="s">
        <v>413</v>
      </c>
      <c r="C22" s="39" t="n">
        <v>21138</v>
      </c>
      <c r="D22" s="40" t="n">
        <v>45957</v>
      </c>
      <c r="G22" s="41"/>
    </row>
    <row r="23" customFormat="false" ht="15.75" hidden="false" customHeight="false" outlineLevel="0" collapsed="false">
      <c r="A23" s="38" t="n">
        <v>1</v>
      </c>
      <c r="B23" s="33" t="s">
        <v>414</v>
      </c>
      <c r="C23" s="39" t="n">
        <v>1329240</v>
      </c>
      <c r="D23" s="40" t="n">
        <v>45958</v>
      </c>
      <c r="G23" s="41"/>
    </row>
    <row r="24" customFormat="false" ht="15.75" hidden="false" customHeight="false" outlineLevel="0" collapsed="false">
      <c r="A24" s="38" t="n">
        <v>1</v>
      </c>
      <c r="B24" s="33" t="s">
        <v>415</v>
      </c>
      <c r="C24" s="39" t="n">
        <v>4806850</v>
      </c>
      <c r="D24" s="40" t="n">
        <v>45959</v>
      </c>
      <c r="G24" s="41"/>
    </row>
    <row r="25" customFormat="false" ht="15.75" hidden="false" customHeight="false" outlineLevel="0" collapsed="false">
      <c r="A25" s="38" t="n">
        <v>1</v>
      </c>
      <c r="B25" s="33" t="s">
        <v>416</v>
      </c>
      <c r="C25" s="39" t="n">
        <v>527430</v>
      </c>
      <c r="D25" s="40" t="n">
        <v>45960</v>
      </c>
      <c r="G25" s="41"/>
    </row>
    <row r="26" customFormat="false" ht="15.75" hidden="false" customHeight="false" outlineLevel="0" collapsed="false">
      <c r="A26" s="42" t="n">
        <f aca="false">SUM(A10:A25)</f>
        <v>17</v>
      </c>
      <c r="C26" s="43" t="n">
        <f aca="false">SUM(C10:C25)</f>
        <v>14866587</v>
      </c>
      <c r="G26" s="44" t="n">
        <f aca="false">G10+G11+G12+G13</f>
        <v>1</v>
      </c>
      <c r="H26" s="45" t="n">
        <f aca="false">SUM(H10:H16)</f>
        <v>270000</v>
      </c>
    </row>
    <row r="27" customFormat="false" ht="15.75" hidden="false" customHeight="false" outlineLevel="0" collapsed="false">
      <c r="A27" s="41"/>
    </row>
    <row r="29" customFormat="false" ht="15.75" hidden="false" customHeight="false" outlineLevel="0" collapsed="false">
      <c r="A29" s="16" t="s">
        <v>417</v>
      </c>
      <c r="B29" s="17" t="s">
        <v>391</v>
      </c>
      <c r="C29" s="17" t="s">
        <v>392</v>
      </c>
      <c r="D29" s="17"/>
      <c r="E29" s="18"/>
      <c r="F29" s="19"/>
      <c r="G29" s="15"/>
    </row>
    <row r="30" customFormat="false" ht="15.75" hidden="false" customHeight="false" outlineLevel="0" collapsed="false">
      <c r="A30" s="16" t="s">
        <v>418</v>
      </c>
      <c r="B30" s="21" t="n">
        <v>1</v>
      </c>
      <c r="C30" s="22" t="s">
        <v>393</v>
      </c>
      <c r="D30" s="22" t="s">
        <v>394</v>
      </c>
      <c r="E30" s="23"/>
      <c r="F30" s="22" t="s">
        <v>395</v>
      </c>
      <c r="G30" s="16" t="s">
        <v>396</v>
      </c>
    </row>
    <row r="31" customFormat="false" ht="15.75" hidden="false" customHeight="false" outlineLevel="0" collapsed="false">
      <c r="A31" s="16" t="s">
        <v>419</v>
      </c>
      <c r="B31" s="46"/>
      <c r="C31" s="25" t="n">
        <v>15000000</v>
      </c>
      <c r="D31" s="26" t="n">
        <v>8986218</v>
      </c>
      <c r="E31" s="27"/>
      <c r="F31" s="28" t="n">
        <f aca="false">(D31/C31)*1</f>
        <v>0.5990812</v>
      </c>
      <c r="G31" s="29" t="n">
        <f aca="false">D31-C31</f>
        <v>-6013782</v>
      </c>
    </row>
    <row r="32" customFormat="false" ht="15.75" hidden="false" customHeight="false" outlineLevel="0" collapsed="false">
      <c r="A32" s="16" t="s">
        <v>420</v>
      </c>
      <c r="B32" s="19"/>
      <c r="C32" s="25" t="n">
        <v>2000000</v>
      </c>
      <c r="D32" s="26" t="n">
        <v>270000</v>
      </c>
      <c r="E32" s="27"/>
      <c r="F32" s="28" t="n">
        <f aca="false">(D32/C32)*1</f>
        <v>0.135</v>
      </c>
      <c r="G32" s="29" t="n">
        <f aca="false">D32-C32</f>
        <v>-1730000</v>
      </c>
    </row>
    <row r="34" customFormat="false" ht="15.75" hidden="false" customHeight="false" outlineLevel="0" collapsed="false">
      <c r="K34" s="47" t="s">
        <v>421</v>
      </c>
    </row>
    <row r="36" customFormat="false" ht="15.75" hidden="false" customHeight="false" outlineLevel="0" collapsed="false">
      <c r="A36" s="31" t="s">
        <v>399</v>
      </c>
      <c r="B36" s="33"/>
      <c r="C36" s="33"/>
      <c r="D36" s="33"/>
      <c r="E36" s="33"/>
      <c r="F36" s="33"/>
      <c r="G36" s="32" t="s">
        <v>400</v>
      </c>
      <c r="H36" s="33"/>
      <c r="I36" s="33"/>
    </row>
    <row r="37" customFormat="false" ht="15.75" hidden="false" customHeight="false" outlineLevel="0" collapsed="false">
      <c r="A37" s="48" t="s">
        <v>422</v>
      </c>
      <c r="B37" s="49" t="s">
        <v>376</v>
      </c>
      <c r="C37" s="50" t="s">
        <v>423</v>
      </c>
      <c r="D37" s="35"/>
      <c r="E37" s="33"/>
      <c r="F37" s="33"/>
      <c r="G37" s="49" t="s">
        <v>424</v>
      </c>
      <c r="H37" s="51" t="s">
        <v>425</v>
      </c>
      <c r="I37" s="49" t="s">
        <v>423</v>
      </c>
    </row>
    <row r="38" customFormat="false" ht="15.75" hidden="false" customHeight="false" outlineLevel="0" collapsed="false">
      <c r="A38" s="33" t="n">
        <v>30</v>
      </c>
      <c r="B38" s="52" t="n">
        <v>45964</v>
      </c>
      <c r="C38" s="34" t="n">
        <v>137790</v>
      </c>
      <c r="D38" s="36"/>
      <c r="E38" s="33"/>
      <c r="F38" s="33"/>
      <c r="G38" s="33" t="s">
        <v>426</v>
      </c>
      <c r="H38" s="53" t="n">
        <v>45981</v>
      </c>
      <c r="I38" s="34" t="n">
        <v>270000</v>
      </c>
    </row>
    <row r="39" customFormat="false" ht="15.75" hidden="false" customHeight="false" outlineLevel="0" collapsed="false">
      <c r="A39" s="33" t="n">
        <v>1</v>
      </c>
      <c r="B39" s="52" t="n">
        <v>45965</v>
      </c>
      <c r="C39" s="34" t="n">
        <v>38260</v>
      </c>
      <c r="D39" s="36"/>
      <c r="E39" s="33"/>
      <c r="F39" s="33"/>
      <c r="G39" s="33"/>
      <c r="H39" s="33"/>
      <c r="I39" s="33"/>
    </row>
    <row r="40" customFormat="false" ht="15.75" hidden="false" customHeight="false" outlineLevel="0" collapsed="false">
      <c r="A40" s="33" t="n">
        <v>1</v>
      </c>
      <c r="B40" s="52" t="n">
        <v>45971</v>
      </c>
      <c r="C40" s="37" t="n">
        <v>656250</v>
      </c>
      <c r="D40" s="36"/>
      <c r="E40" s="33"/>
      <c r="F40" s="33"/>
      <c r="G40" s="33"/>
      <c r="H40" s="33"/>
      <c r="I40" s="33"/>
    </row>
    <row r="41" customFormat="false" ht="15.75" hidden="false" customHeight="false" outlineLevel="0" collapsed="false">
      <c r="A41" s="33" t="n">
        <v>1</v>
      </c>
      <c r="B41" s="53" t="n">
        <v>45973</v>
      </c>
      <c r="C41" s="34" t="n">
        <v>3427800</v>
      </c>
      <c r="D41" s="36"/>
      <c r="E41" s="33"/>
      <c r="F41" s="33"/>
      <c r="G41" s="33"/>
      <c r="H41" s="33"/>
      <c r="I41" s="33"/>
    </row>
    <row r="42" customFormat="false" ht="15.75" hidden="false" customHeight="false" outlineLevel="0" collapsed="false">
      <c r="A42" s="33" t="n">
        <v>1</v>
      </c>
      <c r="B42" s="53" t="n">
        <v>45975</v>
      </c>
      <c r="C42" s="34" t="n">
        <v>58300</v>
      </c>
      <c r="D42" s="36"/>
      <c r="E42" s="33"/>
      <c r="F42" s="33"/>
      <c r="G42" s="33"/>
      <c r="H42" s="33"/>
      <c r="I42" s="33"/>
    </row>
    <row r="43" customFormat="false" ht="15.75" hidden="false" customHeight="false" outlineLevel="0" collapsed="false">
      <c r="A43" s="38" t="n">
        <v>1</v>
      </c>
      <c r="B43" s="53" t="n">
        <v>45976</v>
      </c>
      <c r="C43" s="39" t="n">
        <v>18876</v>
      </c>
      <c r="D43" s="40"/>
      <c r="E43" s="33"/>
      <c r="F43" s="33"/>
      <c r="G43" s="38"/>
      <c r="H43" s="33"/>
      <c r="I43" s="33"/>
    </row>
    <row r="44" customFormat="false" ht="15.75" hidden="false" customHeight="false" outlineLevel="0" collapsed="false">
      <c r="A44" s="38" t="n">
        <v>1</v>
      </c>
      <c r="B44" s="53" t="n">
        <v>45982</v>
      </c>
      <c r="C44" s="39" t="n">
        <v>1619070</v>
      </c>
      <c r="D44" s="40"/>
      <c r="E44" s="33"/>
      <c r="F44" s="33"/>
      <c r="G44" s="38"/>
      <c r="H44" s="33"/>
      <c r="I44" s="33"/>
    </row>
    <row r="45" customFormat="false" ht="15.75" hidden="false" customHeight="false" outlineLevel="0" collapsed="false">
      <c r="A45" s="38" t="n">
        <v>1</v>
      </c>
      <c r="B45" s="53" t="n">
        <v>45982</v>
      </c>
      <c r="C45" s="39" t="n">
        <v>662620</v>
      </c>
      <c r="D45" s="40"/>
      <c r="E45" s="33"/>
      <c r="F45" s="33"/>
      <c r="G45" s="38"/>
      <c r="H45" s="33"/>
      <c r="I45" s="33"/>
    </row>
    <row r="46" customFormat="false" ht="15.75" hidden="false" customHeight="false" outlineLevel="0" collapsed="false">
      <c r="A46" s="38" t="n">
        <v>1</v>
      </c>
      <c r="B46" s="53" t="n">
        <v>45984</v>
      </c>
      <c r="C46" s="39" t="n">
        <v>841460</v>
      </c>
      <c r="D46" s="40"/>
      <c r="E46" s="33"/>
      <c r="F46" s="33"/>
      <c r="G46" s="38"/>
      <c r="H46" s="33"/>
      <c r="I46" s="33"/>
    </row>
    <row r="47" customFormat="false" ht="15.75" hidden="false" customHeight="false" outlineLevel="0" collapsed="false">
      <c r="A47" s="38" t="n">
        <v>1</v>
      </c>
      <c r="B47" s="53" t="n">
        <v>45986</v>
      </c>
      <c r="C47" s="39" t="n">
        <v>179000</v>
      </c>
      <c r="D47" s="40"/>
      <c r="E47" s="33"/>
      <c r="F47" s="33"/>
      <c r="G47" s="38"/>
      <c r="H47" s="33"/>
      <c r="I47" s="33"/>
    </row>
    <row r="48" customFormat="false" ht="15.75" hidden="false" customHeight="false" outlineLevel="0" collapsed="false">
      <c r="A48" s="38"/>
      <c r="B48" s="53"/>
      <c r="C48" s="39"/>
      <c r="D48" s="40"/>
      <c r="E48" s="33"/>
      <c r="F48" s="33"/>
      <c r="G48" s="38"/>
      <c r="H48" s="33"/>
      <c r="I48" s="33"/>
    </row>
    <row r="49" customFormat="false" ht="15.75" hidden="false" customHeight="false" outlineLevel="0" collapsed="false">
      <c r="A49" s="38" t="n">
        <v>1</v>
      </c>
      <c r="B49" s="53" t="n">
        <v>45988</v>
      </c>
      <c r="C49" s="39" t="n">
        <v>1346792</v>
      </c>
      <c r="D49" s="40"/>
      <c r="E49" s="33"/>
      <c r="F49" s="33"/>
      <c r="G49" s="38"/>
      <c r="H49" s="33"/>
      <c r="I49" s="33"/>
    </row>
    <row r="50" customFormat="false" ht="15.75" hidden="false" customHeight="false" outlineLevel="0" collapsed="false">
      <c r="A50" s="54" t="n">
        <f aca="false">SUM(A37:A49)</f>
        <v>40</v>
      </c>
      <c r="B50" s="33"/>
      <c r="C50" s="55" t="n">
        <f aca="false">SUM(C37:C49)</f>
        <v>8986218</v>
      </c>
      <c r="D50" s="33"/>
      <c r="E50" s="33"/>
      <c r="F50" s="33"/>
      <c r="G50" s="38"/>
      <c r="H50" s="33"/>
      <c r="I50" s="56" t="n">
        <f aca="false">I38+I39+I40+I41+I42+I43</f>
        <v>270000</v>
      </c>
    </row>
    <row r="55" customFormat="false" ht="15.75" hidden="false" customHeight="false" outlineLevel="0" collapsed="false">
      <c r="A55" s="16" t="s">
        <v>418</v>
      </c>
      <c r="B55" s="17" t="s">
        <v>391</v>
      </c>
      <c r="C55" s="17" t="s">
        <v>392</v>
      </c>
      <c r="D55" s="17"/>
      <c r="E55" s="18"/>
      <c r="F55" s="19"/>
      <c r="G55" s="15"/>
    </row>
    <row r="56" customFormat="false" ht="15.75" hidden="false" customHeight="false" outlineLevel="0" collapsed="false">
      <c r="A56" s="20" t="n">
        <v>21</v>
      </c>
      <c r="B56" s="21"/>
      <c r="C56" s="22" t="s">
        <v>393</v>
      </c>
      <c r="D56" s="22" t="s">
        <v>394</v>
      </c>
      <c r="E56" s="23"/>
      <c r="F56" s="22" t="s">
        <v>395</v>
      </c>
      <c r="G56" s="16" t="s">
        <v>396</v>
      </c>
    </row>
    <row r="57" customFormat="false" ht="15.75" hidden="false" customHeight="false" outlineLevel="0" collapsed="false">
      <c r="A57" s="24" t="s">
        <v>397</v>
      </c>
      <c r="B57" s="24"/>
      <c r="C57" s="25" t="n">
        <v>19000000</v>
      </c>
      <c r="D57" s="26" t="n">
        <v>20208140</v>
      </c>
      <c r="E57" s="27"/>
      <c r="F57" s="28" t="n">
        <f aca="false">(D57/C57)*1</f>
        <v>1.06358631578947</v>
      </c>
      <c r="G57" s="29" t="n">
        <f aca="false">D57-C57</f>
        <v>1208140</v>
      </c>
    </row>
    <row r="58" customFormat="false" ht="15.75" hidden="false" customHeight="false" outlineLevel="0" collapsed="false">
      <c r="A58" s="30" t="s">
        <v>398</v>
      </c>
      <c r="B58" s="30"/>
      <c r="C58" s="25" t="n">
        <v>2000000</v>
      </c>
      <c r="D58" s="26"/>
      <c r="E58" s="27"/>
      <c r="F58" s="28" t="n">
        <f aca="false">(D58/C58)*1</f>
        <v>0</v>
      </c>
      <c r="G58" s="29" t="n">
        <f aca="false">D58-C58</f>
        <v>-2000000</v>
      </c>
    </row>
    <row r="61" customFormat="false" ht="15.75" hidden="false" customHeight="false" outlineLevel="0" collapsed="false">
      <c r="A61" s="31" t="s">
        <v>399</v>
      </c>
      <c r="B61" s="33"/>
      <c r="C61" s="33"/>
      <c r="D61" s="33"/>
      <c r="E61" s="33"/>
      <c r="F61" s="33"/>
      <c r="G61" s="32" t="s">
        <v>400</v>
      </c>
      <c r="H61" s="33"/>
      <c r="I61" s="33"/>
    </row>
    <row r="62" customFormat="false" ht="15.75" hidden="false" customHeight="false" outlineLevel="0" collapsed="false">
      <c r="A62" s="48" t="s">
        <v>422</v>
      </c>
      <c r="B62" s="49" t="s">
        <v>376</v>
      </c>
      <c r="C62" s="50" t="s">
        <v>423</v>
      </c>
      <c r="D62" s="35"/>
      <c r="E62" s="33"/>
      <c r="F62" s="33"/>
      <c r="G62" s="49" t="s">
        <v>424</v>
      </c>
      <c r="H62" s="51" t="s">
        <v>425</v>
      </c>
      <c r="I62" s="49" t="s">
        <v>423</v>
      </c>
    </row>
    <row r="63" customFormat="false" ht="15.75" hidden="false" customHeight="false" outlineLevel="0" collapsed="false">
      <c r="A63" s="33" t="n">
        <v>1</v>
      </c>
      <c r="B63" s="52" t="n">
        <v>45987</v>
      </c>
      <c r="C63" s="34" t="n">
        <v>1718330</v>
      </c>
      <c r="D63" s="36"/>
      <c r="E63" s="33"/>
      <c r="F63" s="33"/>
      <c r="G63" s="33"/>
      <c r="H63" s="53"/>
      <c r="I63" s="34"/>
    </row>
    <row r="64" customFormat="false" ht="15.75" hidden="false" customHeight="false" outlineLevel="0" collapsed="false">
      <c r="A64" s="33" t="n">
        <v>1</v>
      </c>
      <c r="B64" s="52" t="n">
        <v>45993</v>
      </c>
      <c r="C64" s="34" t="n">
        <v>1019320</v>
      </c>
      <c r="D64" s="36"/>
      <c r="E64" s="33"/>
      <c r="F64" s="33"/>
      <c r="G64" s="33"/>
      <c r="H64" s="33"/>
      <c r="I64" s="33"/>
    </row>
    <row r="65" customFormat="false" ht="15.75" hidden="false" customHeight="false" outlineLevel="0" collapsed="false">
      <c r="A65" s="33" t="n">
        <v>1</v>
      </c>
      <c r="B65" s="52" t="n">
        <v>45989</v>
      </c>
      <c r="C65" s="37" t="n">
        <v>1633528</v>
      </c>
      <c r="D65" s="36"/>
      <c r="E65" s="33"/>
      <c r="F65" s="33"/>
      <c r="G65" s="33"/>
      <c r="H65" s="33"/>
      <c r="I65" s="33"/>
    </row>
    <row r="66" customFormat="false" ht="15.75" hidden="false" customHeight="false" outlineLevel="0" collapsed="false">
      <c r="A66" s="33" t="n">
        <v>1</v>
      </c>
      <c r="B66" s="53" t="n">
        <v>45989</v>
      </c>
      <c r="C66" s="34" t="n">
        <v>1619070</v>
      </c>
      <c r="D66" s="36"/>
      <c r="E66" s="33"/>
      <c r="F66" s="33"/>
      <c r="G66" s="33"/>
      <c r="H66" s="33"/>
      <c r="I66" s="33"/>
    </row>
    <row r="67" customFormat="false" ht="15.75" hidden="false" customHeight="false" outlineLevel="0" collapsed="false">
      <c r="A67" s="33" t="n">
        <v>1</v>
      </c>
      <c r="B67" s="53" t="n">
        <v>45992</v>
      </c>
      <c r="C67" s="34" t="n">
        <v>4104973</v>
      </c>
      <c r="D67" s="36"/>
      <c r="E67" s="33"/>
      <c r="F67" s="33"/>
      <c r="G67" s="33"/>
      <c r="H67" s="33"/>
      <c r="I67" s="33"/>
    </row>
    <row r="68" customFormat="false" ht="15.75" hidden="false" customHeight="false" outlineLevel="0" collapsed="false">
      <c r="A68" s="38" t="n">
        <v>1</v>
      </c>
      <c r="B68" s="53" t="n">
        <v>45973</v>
      </c>
      <c r="C68" s="39" t="n">
        <v>3672130</v>
      </c>
      <c r="D68" s="40"/>
      <c r="E68" s="33"/>
      <c r="F68" s="33"/>
      <c r="G68" s="38"/>
      <c r="H68" s="33"/>
      <c r="I68" s="33"/>
    </row>
    <row r="69" customFormat="false" ht="15.75" hidden="false" customHeight="false" outlineLevel="0" collapsed="false">
      <c r="A69" s="38" t="n">
        <v>1</v>
      </c>
      <c r="B69" s="53" t="n">
        <v>45995</v>
      </c>
      <c r="C69" s="39" t="n">
        <v>139380</v>
      </c>
      <c r="D69" s="40"/>
      <c r="E69" s="33"/>
      <c r="F69" s="33"/>
      <c r="G69" s="38"/>
      <c r="H69" s="33"/>
      <c r="I69" s="33"/>
    </row>
    <row r="70" customFormat="false" ht="15.75" hidden="false" customHeight="false" outlineLevel="0" collapsed="false">
      <c r="A70" s="38" t="n">
        <v>1</v>
      </c>
      <c r="B70" s="53" t="n">
        <v>45996</v>
      </c>
      <c r="C70" s="39" t="n">
        <v>353662</v>
      </c>
      <c r="D70" s="40"/>
      <c r="E70" s="33"/>
      <c r="F70" s="33"/>
      <c r="G70" s="38"/>
      <c r="H70" s="33"/>
      <c r="I70" s="33"/>
    </row>
    <row r="71" customFormat="false" ht="15.75" hidden="false" customHeight="false" outlineLevel="0" collapsed="false">
      <c r="A71" s="38" t="n">
        <v>1</v>
      </c>
      <c r="B71" s="53" t="n">
        <v>46000</v>
      </c>
      <c r="C71" s="39" t="n">
        <v>159660</v>
      </c>
      <c r="D71" s="40"/>
      <c r="E71" s="33"/>
      <c r="F71" s="33"/>
      <c r="G71" s="38"/>
      <c r="H71" s="33"/>
      <c r="I71" s="33"/>
    </row>
    <row r="72" customFormat="false" ht="15.75" hidden="false" customHeight="false" outlineLevel="0" collapsed="false">
      <c r="A72" s="38" t="n">
        <v>1</v>
      </c>
      <c r="B72" s="53" t="n">
        <v>46003</v>
      </c>
      <c r="C72" s="39" t="n">
        <v>690000</v>
      </c>
      <c r="D72" s="40"/>
      <c r="E72" s="33"/>
      <c r="F72" s="33"/>
      <c r="G72" s="38"/>
      <c r="H72" s="33"/>
      <c r="I72" s="33"/>
    </row>
    <row r="73" customFormat="false" ht="15.75" hidden="false" customHeight="false" outlineLevel="0" collapsed="false">
      <c r="A73" s="38" t="n">
        <v>1</v>
      </c>
      <c r="B73" s="53" t="n">
        <v>46003</v>
      </c>
      <c r="C73" s="39" t="n">
        <v>516390</v>
      </c>
      <c r="D73" s="40"/>
      <c r="E73" s="33"/>
      <c r="F73" s="33"/>
      <c r="G73" s="38"/>
      <c r="H73" s="33"/>
      <c r="I73" s="33"/>
    </row>
    <row r="74" customFormat="false" ht="15.75" hidden="false" customHeight="false" outlineLevel="0" collapsed="false">
      <c r="A74" s="38" t="n">
        <v>1</v>
      </c>
      <c r="B74" s="53" t="n">
        <v>46007</v>
      </c>
      <c r="C74" s="39" t="n">
        <v>118301.83</v>
      </c>
      <c r="D74" s="40"/>
      <c r="E74" s="33"/>
      <c r="F74" s="33"/>
      <c r="G74" s="38"/>
      <c r="H74" s="33"/>
      <c r="I74" s="33"/>
    </row>
    <row r="75" customFormat="false" ht="15.75" hidden="false" customHeight="false" outlineLevel="0" collapsed="false">
      <c r="A75" s="38" t="n">
        <v>1</v>
      </c>
      <c r="B75" s="53" t="n">
        <v>46007</v>
      </c>
      <c r="C75" s="39" t="n">
        <v>1957310</v>
      </c>
      <c r="D75" s="40"/>
      <c r="E75" s="33"/>
      <c r="F75" s="33"/>
      <c r="G75" s="38"/>
      <c r="H75" s="33"/>
      <c r="I75" s="33"/>
    </row>
    <row r="76" customFormat="false" ht="15.75" hidden="false" customHeight="false" outlineLevel="0" collapsed="false">
      <c r="A76" s="38" t="n">
        <v>1</v>
      </c>
      <c r="B76" s="53" t="n">
        <v>46008</v>
      </c>
      <c r="C76" s="39" t="n">
        <v>619938</v>
      </c>
      <c r="D76" s="40"/>
      <c r="E76" s="33"/>
      <c r="F76" s="33"/>
      <c r="G76" s="38"/>
      <c r="H76" s="33"/>
      <c r="I76" s="33"/>
    </row>
    <row r="77" customFormat="false" ht="15.75" hidden="false" customHeight="false" outlineLevel="0" collapsed="false">
      <c r="A77" s="38" t="n">
        <v>1</v>
      </c>
      <c r="B77" s="53" t="n">
        <v>46010</v>
      </c>
      <c r="C77" s="39" t="n">
        <v>205335</v>
      </c>
      <c r="D77" s="40"/>
      <c r="E77" s="33"/>
      <c r="F77" s="33"/>
      <c r="G77" s="38"/>
      <c r="H77" s="33"/>
      <c r="I77" s="33"/>
    </row>
    <row r="78" customFormat="false" ht="15.75" hidden="false" customHeight="false" outlineLevel="0" collapsed="false">
      <c r="A78" s="38" t="n">
        <v>1</v>
      </c>
      <c r="B78" s="53" t="n">
        <v>46013</v>
      </c>
      <c r="C78" s="39" t="n">
        <v>325000</v>
      </c>
      <c r="D78" s="40"/>
      <c r="E78" s="33"/>
      <c r="F78" s="33"/>
      <c r="G78" s="38"/>
      <c r="H78" s="33"/>
      <c r="I78" s="33"/>
    </row>
    <row r="79" customFormat="false" ht="15.75" hidden="false" customHeight="false" outlineLevel="0" collapsed="false">
      <c r="A79" s="38" t="n">
        <v>1</v>
      </c>
      <c r="B79" s="53" t="n">
        <v>46017</v>
      </c>
      <c r="C79" s="39" t="n">
        <v>143826</v>
      </c>
      <c r="D79" s="40"/>
      <c r="E79" s="33"/>
      <c r="F79" s="33"/>
      <c r="G79" s="38"/>
      <c r="H79" s="33"/>
      <c r="I79" s="33"/>
    </row>
    <row r="80" customFormat="false" ht="15.75" hidden="false" customHeight="false" outlineLevel="0" collapsed="false">
      <c r="A80" s="38" t="n">
        <v>1</v>
      </c>
      <c r="B80" s="53" t="n">
        <v>46018</v>
      </c>
      <c r="C80" s="39" t="n">
        <v>483081</v>
      </c>
      <c r="D80" s="40"/>
      <c r="E80" s="33"/>
      <c r="F80" s="33"/>
      <c r="G80" s="38"/>
      <c r="H80" s="33"/>
      <c r="I80" s="33"/>
    </row>
    <row r="81" customFormat="false" ht="15.75" hidden="false" customHeight="false" outlineLevel="0" collapsed="false">
      <c r="A81" s="38" t="n">
        <v>1</v>
      </c>
      <c r="B81" s="53" t="n">
        <v>46021</v>
      </c>
      <c r="C81" s="39" t="n">
        <v>683825</v>
      </c>
      <c r="D81" s="40"/>
      <c r="E81" s="33"/>
      <c r="F81" s="33"/>
      <c r="G81" s="38"/>
      <c r="H81" s="33"/>
      <c r="I81" s="33"/>
    </row>
    <row r="82" customFormat="false" ht="15.75" hidden="false" customHeight="false" outlineLevel="0" collapsed="false">
      <c r="A82" s="38" t="n">
        <v>1</v>
      </c>
      <c r="B82" s="53" t="n">
        <v>46021</v>
      </c>
      <c r="C82" s="39" t="n">
        <v>45080</v>
      </c>
      <c r="D82" s="40"/>
      <c r="E82" s="33"/>
      <c r="F82" s="33"/>
      <c r="G82" s="38"/>
      <c r="H82" s="33"/>
      <c r="I82" s="33"/>
    </row>
    <row r="83" customFormat="false" ht="15.75" hidden="false" customHeight="false" outlineLevel="0" collapsed="false">
      <c r="A83" s="54"/>
      <c r="B83" s="33"/>
      <c r="C83" s="55"/>
      <c r="D83" s="33"/>
      <c r="E83" s="33"/>
      <c r="F83" s="33"/>
      <c r="G83" s="38"/>
      <c r="H83" s="33"/>
      <c r="I83" s="56" t="n">
        <f aca="false">I63+I64+I65+I66+I67+I68</f>
        <v>0</v>
      </c>
    </row>
    <row r="86" customFormat="false" ht="15.75" hidden="false" customHeight="false" outlineLevel="0" collapsed="false">
      <c r="A86" s="16" t="s">
        <v>419</v>
      </c>
      <c r="B86" s="17" t="s">
        <v>391</v>
      </c>
      <c r="C86" s="17" t="s">
        <v>392</v>
      </c>
      <c r="D86" s="17"/>
      <c r="E86" s="18"/>
      <c r="F86" s="19"/>
      <c r="G86" s="15"/>
    </row>
    <row r="87" customFormat="false" ht="15.75" hidden="false" customHeight="false" outlineLevel="0" collapsed="false">
      <c r="A87" s="20" t="n">
        <v>19</v>
      </c>
      <c r="B87" s="21" t="n">
        <v>11</v>
      </c>
      <c r="C87" s="22" t="s">
        <v>393</v>
      </c>
      <c r="D87" s="22" t="s">
        <v>394</v>
      </c>
      <c r="E87" s="23"/>
      <c r="F87" s="22" t="s">
        <v>395</v>
      </c>
      <c r="G87" s="16" t="s">
        <v>396</v>
      </c>
    </row>
    <row r="88" customFormat="false" ht="15.75" hidden="false" customHeight="false" outlineLevel="0" collapsed="false">
      <c r="A88" s="24" t="s">
        <v>397</v>
      </c>
      <c r="B88" s="24"/>
      <c r="C88" s="25" t="n">
        <v>25000000</v>
      </c>
      <c r="D88" s="26" t="n">
        <v>24362636</v>
      </c>
      <c r="E88" s="27"/>
      <c r="F88" s="28" t="n">
        <f aca="false">(D88/C88)*1</f>
        <v>0.97450544</v>
      </c>
      <c r="G88" s="29" t="n">
        <f aca="false">D88-C88</f>
        <v>-637364</v>
      </c>
    </row>
    <row r="89" customFormat="false" ht="15.75" hidden="false" customHeight="false" outlineLevel="0" collapsed="false">
      <c r="A89" s="30" t="s">
        <v>398</v>
      </c>
      <c r="B89" s="30"/>
      <c r="C89" s="25" t="n">
        <v>6500000</v>
      </c>
      <c r="D89" s="26" t="n">
        <v>1030000</v>
      </c>
      <c r="E89" s="27"/>
      <c r="F89" s="28" t="n">
        <f aca="false">(D89/C89)*1</f>
        <v>0.158461538461538</v>
      </c>
      <c r="G89" s="29" t="n">
        <f aca="false">D89-C89</f>
        <v>-5470000</v>
      </c>
    </row>
    <row r="93" customFormat="false" ht="15.75" hidden="false" customHeight="false" outlineLevel="0" collapsed="false">
      <c r="A93" s="31" t="s">
        <v>399</v>
      </c>
      <c r="B93" s="33"/>
      <c r="C93" s="33"/>
      <c r="H93" s="47" t="s">
        <v>400</v>
      </c>
    </row>
    <row r="94" customFormat="false" ht="15.75" hidden="false" customHeight="false" outlineLevel="0" collapsed="false">
      <c r="A94" s="48" t="s">
        <v>422</v>
      </c>
      <c r="B94" s="49" t="s">
        <v>376</v>
      </c>
      <c r="C94" s="50" t="s">
        <v>423</v>
      </c>
      <c r="H94" s="49" t="s">
        <v>376</v>
      </c>
      <c r="I94" s="49" t="s">
        <v>423</v>
      </c>
    </row>
    <row r="95" customFormat="false" ht="15.75" hidden="false" customHeight="false" outlineLevel="0" collapsed="false">
      <c r="A95" s="33" t="n">
        <v>4</v>
      </c>
      <c r="B95" s="52" t="n">
        <v>46028</v>
      </c>
      <c r="C95" s="57" t="n">
        <v>8588800</v>
      </c>
      <c r="H95" s="52" t="n">
        <v>46036</v>
      </c>
      <c r="I95" s="34" t="n">
        <v>640000</v>
      </c>
    </row>
    <row r="96" customFormat="false" ht="15.75" hidden="false" customHeight="false" outlineLevel="0" collapsed="false">
      <c r="A96" s="33" t="n">
        <v>1</v>
      </c>
      <c r="B96" s="52" t="n">
        <v>46028</v>
      </c>
      <c r="C96" s="57" t="n">
        <v>1384230</v>
      </c>
      <c r="H96" s="52" t="n">
        <v>46037</v>
      </c>
      <c r="I96" s="34" t="n">
        <v>390000</v>
      </c>
    </row>
    <row r="97" customFormat="false" ht="15.75" hidden="false" customHeight="false" outlineLevel="0" collapsed="false">
      <c r="A97" s="33" t="n">
        <v>1</v>
      </c>
      <c r="B97" s="52" t="n">
        <v>46028</v>
      </c>
      <c r="C97" s="58" t="n">
        <v>611975</v>
      </c>
    </row>
    <row r="98" customFormat="false" ht="15.75" hidden="false" customHeight="false" outlineLevel="0" collapsed="false">
      <c r="A98" s="33" t="n">
        <v>1</v>
      </c>
      <c r="B98" s="53" t="n">
        <v>46034</v>
      </c>
      <c r="C98" s="59" t="s">
        <v>427</v>
      </c>
    </row>
    <row r="99" customFormat="false" ht="15.75" hidden="false" customHeight="false" outlineLevel="0" collapsed="false">
      <c r="A99" s="33" t="n">
        <v>1</v>
      </c>
      <c r="B99" s="53" t="n">
        <v>46035</v>
      </c>
      <c r="C99" s="57" t="n">
        <v>1004473.71</v>
      </c>
    </row>
    <row r="100" customFormat="false" ht="15.75" hidden="false" customHeight="false" outlineLevel="0" collapsed="false">
      <c r="A100" s="38" t="n">
        <v>1</v>
      </c>
      <c r="B100" s="53" t="n">
        <v>46035</v>
      </c>
      <c r="C100" s="57" t="n">
        <v>712225</v>
      </c>
    </row>
    <row r="101" customFormat="false" ht="15.75" hidden="false" customHeight="false" outlineLevel="0" collapsed="false">
      <c r="A101" s="38" t="n">
        <v>1</v>
      </c>
      <c r="B101" s="53" t="n">
        <v>46039</v>
      </c>
      <c r="C101" s="57" t="n">
        <v>15534</v>
      </c>
    </row>
    <row r="102" customFormat="false" ht="15.75" hidden="false" customHeight="false" outlineLevel="0" collapsed="false">
      <c r="A102" s="38" t="n">
        <v>1</v>
      </c>
      <c r="B102" s="53" t="n">
        <v>46039</v>
      </c>
      <c r="C102" s="57" t="n">
        <v>44160</v>
      </c>
    </row>
    <row r="103" customFormat="false" ht="15.75" hidden="false" customHeight="false" outlineLevel="0" collapsed="false">
      <c r="A103" s="38" t="n">
        <v>1</v>
      </c>
      <c r="B103" s="53" t="n">
        <v>46039</v>
      </c>
      <c r="C103" s="57" t="n">
        <v>1766508</v>
      </c>
    </row>
    <row r="104" customFormat="false" ht="15.75" hidden="false" customHeight="false" outlineLevel="0" collapsed="false">
      <c r="A104" s="38" t="n">
        <v>1</v>
      </c>
      <c r="B104" s="53" t="n">
        <v>46041</v>
      </c>
      <c r="C104" s="57" t="n">
        <v>645636.07</v>
      </c>
    </row>
    <row r="105" customFormat="false" ht="15.75" hidden="false" customHeight="false" outlineLevel="0" collapsed="false">
      <c r="A105" s="38" t="n">
        <v>1</v>
      </c>
      <c r="B105" s="53" t="n">
        <v>46046</v>
      </c>
      <c r="C105" s="57" t="n">
        <v>193230.42</v>
      </c>
    </row>
    <row r="106" customFormat="false" ht="15.75" hidden="false" customHeight="false" outlineLevel="0" collapsed="false">
      <c r="A106" s="38" t="n">
        <v>1</v>
      </c>
      <c r="B106" s="53" t="n">
        <v>46046</v>
      </c>
      <c r="C106" s="57" t="n">
        <v>355025</v>
      </c>
    </row>
    <row r="107" customFormat="false" ht="15.75" hidden="false" customHeight="false" outlineLevel="0" collapsed="false">
      <c r="A107" s="38" t="n">
        <v>1</v>
      </c>
      <c r="B107" s="53" t="n">
        <v>46044</v>
      </c>
      <c r="C107" s="57" t="n">
        <v>143825</v>
      </c>
    </row>
    <row r="108" customFormat="false" ht="15.75" hidden="false" customHeight="false" outlineLevel="0" collapsed="false">
      <c r="A108" s="38" t="n">
        <v>1</v>
      </c>
      <c r="B108" s="53" t="n">
        <v>46048</v>
      </c>
      <c r="C108" s="57" t="n">
        <v>188842</v>
      </c>
    </row>
    <row r="109" customFormat="false" ht="15.75" hidden="false" customHeight="false" outlineLevel="0" collapsed="false">
      <c r="A109" s="38" t="n">
        <v>1</v>
      </c>
      <c r="B109" s="53" t="n">
        <v>46049</v>
      </c>
      <c r="C109" s="57" t="n">
        <v>2100000</v>
      </c>
    </row>
    <row r="110" customFormat="false" ht="15.75" hidden="false" customHeight="false" outlineLevel="0" collapsed="false">
      <c r="A110" s="38" t="n">
        <v>1</v>
      </c>
      <c r="B110" s="53" t="n">
        <v>46049</v>
      </c>
      <c r="C110" s="57" t="n">
        <v>144126</v>
      </c>
    </row>
    <row r="111" customFormat="false" ht="15.75" hidden="false" customHeight="false" outlineLevel="0" collapsed="false">
      <c r="A111" s="38" t="n">
        <v>1</v>
      </c>
      <c r="B111" s="53" t="n">
        <v>46050</v>
      </c>
      <c r="C111" s="57" t="n">
        <v>942545</v>
      </c>
    </row>
    <row r="112" customFormat="false" ht="15.75" hidden="false" customHeight="false" outlineLevel="0" collapsed="false">
      <c r="A112" s="38" t="n">
        <v>1</v>
      </c>
      <c r="B112" s="53" t="n">
        <v>46050</v>
      </c>
      <c r="C112" s="57" t="n">
        <v>1410200</v>
      </c>
    </row>
    <row r="113" customFormat="false" ht="15.75" hidden="false" customHeight="false" outlineLevel="0" collapsed="false">
      <c r="A113" s="38" t="n">
        <v>1</v>
      </c>
      <c r="B113" s="53" t="n">
        <v>46050</v>
      </c>
      <c r="C113" s="57" t="n">
        <v>1264844</v>
      </c>
    </row>
    <row r="114" customFormat="false" ht="15.75" hidden="false" customHeight="false" outlineLevel="0" collapsed="false">
      <c r="A114" s="38" t="n">
        <v>1</v>
      </c>
      <c r="B114" s="53" t="n">
        <v>46050</v>
      </c>
      <c r="C114" s="57" t="n">
        <v>520909</v>
      </c>
    </row>
    <row r="115" customFormat="false" ht="15.75" hidden="false" customHeight="false" outlineLevel="0" collapsed="false">
      <c r="A115" s="38" t="n">
        <v>1</v>
      </c>
      <c r="B115" s="53" t="n">
        <v>46050</v>
      </c>
      <c r="C115" s="57" t="n">
        <v>120800</v>
      </c>
    </row>
    <row r="116" customFormat="false" ht="15.75" hidden="false" customHeight="false" outlineLevel="0" collapsed="false">
      <c r="A116" s="38" t="n">
        <v>1</v>
      </c>
      <c r="B116" s="53" t="n">
        <v>46051</v>
      </c>
      <c r="C116" s="57" t="n">
        <v>154036</v>
      </c>
    </row>
    <row r="117" customFormat="false" ht="15.75" hidden="false" customHeight="false" outlineLevel="0" collapsed="false">
      <c r="A117" s="38" t="n">
        <v>1</v>
      </c>
      <c r="B117" s="53" t="n">
        <v>46051</v>
      </c>
      <c r="C117" s="57" t="n">
        <v>573904.83</v>
      </c>
    </row>
    <row r="118" customFormat="false" ht="15.75" hidden="false" customHeight="false" outlineLevel="0" collapsed="false">
      <c r="A118" s="38" t="n">
        <v>1</v>
      </c>
      <c r="B118" s="53" t="n">
        <v>46051</v>
      </c>
      <c r="C118" s="57" t="n">
        <v>543085</v>
      </c>
    </row>
    <row r="119" customFormat="false" ht="15.75" hidden="false" customHeight="false" outlineLevel="0" collapsed="false">
      <c r="A119" s="54"/>
      <c r="B119" s="33"/>
      <c r="C119" s="55"/>
    </row>
    <row r="126" customFormat="false" ht="15.75" hidden="false" customHeight="false" outlineLevel="0" collapsed="false">
      <c r="A126" s="16" t="s">
        <v>420</v>
      </c>
      <c r="B126" s="17" t="s">
        <v>391</v>
      </c>
      <c r="C126" s="17" t="s">
        <v>392</v>
      </c>
      <c r="D126" s="17"/>
      <c r="E126" s="60"/>
      <c r="F126" s="19"/>
      <c r="G126" s="61"/>
    </row>
    <row r="127" customFormat="false" ht="15.75" hidden="false" customHeight="false" outlineLevel="0" collapsed="false">
      <c r="A127" s="20" t="n">
        <v>18</v>
      </c>
      <c r="B127" s="21" t="n">
        <v>18</v>
      </c>
      <c r="C127" s="22" t="s">
        <v>393</v>
      </c>
      <c r="D127" s="22" t="s">
        <v>394</v>
      </c>
      <c r="E127" s="62"/>
      <c r="F127" s="22" t="s">
        <v>395</v>
      </c>
      <c r="G127" s="16" t="s">
        <v>396</v>
      </c>
      <c r="I127" s="33" t="s">
        <v>428</v>
      </c>
    </row>
    <row r="128" customFormat="false" ht="15.75" hidden="false" customHeight="false" outlineLevel="0" collapsed="false">
      <c r="A128" s="24" t="s">
        <v>397</v>
      </c>
      <c r="B128" s="24"/>
      <c r="C128" s="25" t="n">
        <v>26000000</v>
      </c>
      <c r="D128" s="26" t="n">
        <v>25492227</v>
      </c>
      <c r="E128" s="63"/>
      <c r="F128" s="28" t="n">
        <f aca="false">(D128/C128)*1</f>
        <v>0.980470269230769</v>
      </c>
      <c r="G128" s="29" t="n">
        <f aca="false">D128-C128</f>
        <v>-507773</v>
      </c>
      <c r="I128" s="33" t="s">
        <v>429</v>
      </c>
    </row>
    <row r="129" customFormat="false" ht="15.75" hidden="false" customHeight="false" outlineLevel="0" collapsed="false">
      <c r="A129" s="30" t="s">
        <v>398</v>
      </c>
      <c r="B129" s="30"/>
      <c r="C129" s="25" t="n">
        <v>3000000</v>
      </c>
      <c r="D129" s="26" t="n">
        <v>0</v>
      </c>
      <c r="E129" s="63"/>
      <c r="F129" s="28" t="n">
        <f aca="false">(D129/C129)*1</f>
        <v>0</v>
      </c>
      <c r="G129" s="29" t="n">
        <f aca="false">D129-C129</f>
        <v>-3000000</v>
      </c>
    </row>
    <row r="132" customFormat="false" ht="15.75" hidden="false" customHeight="false" outlineLevel="0" collapsed="false">
      <c r="A132" s="64" t="s">
        <v>430</v>
      </c>
      <c r="G132" s="65" t="s">
        <v>400</v>
      </c>
      <c r="J132" s="66" t="s">
        <v>431</v>
      </c>
      <c r="K132" s="67" t="s">
        <v>432</v>
      </c>
      <c r="L132" s="68" t="s">
        <v>433</v>
      </c>
    </row>
    <row r="133" customFormat="false" ht="15.75" hidden="false" customHeight="false" outlineLevel="0" collapsed="false">
      <c r="A133" s="69" t="s">
        <v>434</v>
      </c>
      <c r="B133" s="69" t="s">
        <v>376</v>
      </c>
      <c r="C133" s="69" t="s">
        <v>435</v>
      </c>
      <c r="G133" s="70" t="s">
        <v>376</v>
      </c>
      <c r="H133" s="70" t="s">
        <v>436</v>
      </c>
      <c r="J133" s="34" t="n">
        <v>4955464</v>
      </c>
      <c r="K133" s="71" t="n">
        <v>3951312.91</v>
      </c>
      <c r="L133" s="34" t="n">
        <v>13222580</v>
      </c>
    </row>
    <row r="134" customFormat="false" ht="15.75" hidden="false" customHeight="false" outlineLevel="0" collapsed="false">
      <c r="A134" s="33" t="n">
        <v>1</v>
      </c>
      <c r="B134" s="52" t="n">
        <v>46056</v>
      </c>
      <c r="C134" s="37" t="n">
        <v>44160</v>
      </c>
    </row>
    <row r="135" customFormat="false" ht="15.75" hidden="false" customHeight="false" outlineLevel="0" collapsed="false">
      <c r="A135" s="33" t="n">
        <v>1</v>
      </c>
      <c r="B135" s="52" t="n">
        <v>46058</v>
      </c>
      <c r="C135" s="37" t="n">
        <v>160322</v>
      </c>
    </row>
    <row r="136" customFormat="false" ht="15.75" hidden="false" customHeight="false" outlineLevel="0" collapsed="false">
      <c r="A136" s="33" t="n">
        <v>1</v>
      </c>
      <c r="B136" s="52" t="n">
        <v>46058</v>
      </c>
      <c r="C136" s="71" t="n">
        <v>388774.21</v>
      </c>
    </row>
    <row r="137" customFormat="false" ht="15.75" hidden="false" customHeight="false" outlineLevel="0" collapsed="false">
      <c r="A137" s="33" t="n">
        <v>1</v>
      </c>
      <c r="B137" s="52" t="n">
        <v>46059</v>
      </c>
      <c r="C137" s="71" t="n">
        <v>168557.35</v>
      </c>
    </row>
    <row r="138" customFormat="false" ht="15.75" hidden="false" customHeight="false" outlineLevel="0" collapsed="false">
      <c r="A138" s="33" t="n">
        <v>1</v>
      </c>
      <c r="B138" s="52" t="n">
        <v>46060</v>
      </c>
      <c r="C138" s="71" t="n">
        <v>3393981.35</v>
      </c>
    </row>
    <row r="139" customFormat="false" ht="15.75" hidden="false" customHeight="false" outlineLevel="0" collapsed="false">
      <c r="A139" s="33" t="n">
        <v>1</v>
      </c>
      <c r="B139" s="52" t="n">
        <v>46060</v>
      </c>
      <c r="C139" s="34" t="n">
        <v>2039845</v>
      </c>
    </row>
    <row r="140" customFormat="false" ht="15.75" hidden="false" customHeight="false" outlineLevel="0" collapsed="false">
      <c r="A140" s="33" t="n">
        <v>1</v>
      </c>
      <c r="B140" s="52" t="n">
        <v>46062</v>
      </c>
      <c r="C140" s="34" t="n">
        <v>1612355</v>
      </c>
    </row>
    <row r="141" customFormat="false" ht="15.75" hidden="false" customHeight="false" outlineLevel="0" collapsed="false">
      <c r="A141" s="33" t="n">
        <v>1</v>
      </c>
      <c r="B141" s="52" t="n">
        <v>46063</v>
      </c>
      <c r="C141" s="34" t="n">
        <v>684080</v>
      </c>
    </row>
    <row r="142" customFormat="false" ht="15.75" hidden="false" customHeight="false" outlineLevel="0" collapsed="false">
      <c r="A142" s="33" t="n">
        <v>1</v>
      </c>
      <c r="B142" s="52" t="n">
        <v>46066</v>
      </c>
      <c r="C142" s="34" t="n">
        <v>1138900</v>
      </c>
    </row>
    <row r="143" customFormat="false" ht="15.75" hidden="false" customHeight="false" outlineLevel="0" collapsed="false">
      <c r="A143" s="33" t="n">
        <v>1</v>
      </c>
      <c r="B143" s="52" t="n">
        <v>46066</v>
      </c>
      <c r="C143" s="34" t="n">
        <v>659157</v>
      </c>
    </row>
    <row r="144" customFormat="false" ht="15.75" hidden="false" customHeight="false" outlineLevel="0" collapsed="false">
      <c r="A144" s="33" t="n">
        <v>1</v>
      </c>
      <c r="B144" s="52" t="n">
        <v>46071</v>
      </c>
      <c r="C144" s="34" t="n">
        <v>684075</v>
      </c>
    </row>
    <row r="145" customFormat="false" ht="15.75" hidden="false" customHeight="false" outlineLevel="0" collapsed="false">
      <c r="A145" s="33" t="n">
        <v>1</v>
      </c>
      <c r="B145" s="52" t="n">
        <v>46072</v>
      </c>
      <c r="C145" s="34" t="n">
        <v>683825</v>
      </c>
    </row>
    <row r="146" customFormat="false" ht="15.75" hidden="false" customHeight="false" outlineLevel="0" collapsed="false">
      <c r="A146" s="33" t="n">
        <v>1</v>
      </c>
      <c r="B146" s="52" t="n">
        <v>46073</v>
      </c>
      <c r="C146" s="34" t="n">
        <v>10471325</v>
      </c>
    </row>
    <row r="147" customFormat="false" ht="15.75" hidden="false" customHeight="false" outlineLevel="0" collapsed="false">
      <c r="A147" s="33" t="n">
        <v>1</v>
      </c>
      <c r="B147" s="52" t="n">
        <v>46077</v>
      </c>
      <c r="C147" s="34" t="n">
        <v>1233310</v>
      </c>
    </row>
    <row r="148" customFormat="false" ht="15.75" hidden="false" customHeight="false" outlineLevel="0" collapsed="false">
      <c r="A148" s="33" t="n">
        <v>1</v>
      </c>
      <c r="B148" s="52" t="n">
        <v>46077</v>
      </c>
      <c r="C148" s="34" t="n">
        <v>1609308</v>
      </c>
    </row>
    <row r="149" customFormat="false" ht="15.75" hidden="false" customHeight="false" outlineLevel="0" collapsed="false">
      <c r="A149" s="33" t="n">
        <v>1</v>
      </c>
      <c r="B149" s="52" t="n">
        <v>46078</v>
      </c>
      <c r="C149" s="34" t="n">
        <v>52800</v>
      </c>
    </row>
    <row r="150" customFormat="false" ht="15.75" hidden="false" customHeight="false" outlineLevel="0" collapsed="false">
      <c r="A150" s="33" t="n">
        <v>1</v>
      </c>
      <c r="B150" s="52" t="n">
        <v>46079</v>
      </c>
      <c r="C150" s="34" t="n">
        <v>4189000</v>
      </c>
    </row>
    <row r="151" customFormat="false" ht="15.75" hidden="false" customHeight="false" outlineLevel="0" collapsed="false">
      <c r="A151" s="33" t="n">
        <v>1</v>
      </c>
      <c r="B151" s="52" t="n">
        <v>46079</v>
      </c>
      <c r="C151" s="34" t="n">
        <v>423292</v>
      </c>
    </row>
    <row r="152" customFormat="false" ht="15.75" hidden="false" customHeight="false" outlineLevel="0" collapsed="false">
      <c r="A152" s="33" t="n">
        <v>1</v>
      </c>
      <c r="B152" s="52" t="n">
        <v>46079</v>
      </c>
      <c r="C152" s="34" t="n">
        <v>44160</v>
      </c>
    </row>
    <row r="153" customFormat="false" ht="15.75" hidden="false" customHeight="false" outlineLevel="0" collapsed="false">
      <c r="B153" s="72" t="s">
        <v>436</v>
      </c>
      <c r="C153" s="73" t="n">
        <v>29681226.9</v>
      </c>
    </row>
    <row r="154" customFormat="false" ht="15.75" hidden="false" customHeight="false" outlineLevel="0" collapsed="false">
      <c r="C154" s="33" t="s">
        <v>437</v>
      </c>
    </row>
    <row r="159" customFormat="false" ht="15.75" hidden="false" customHeight="false" outlineLevel="0" collapsed="false">
      <c r="A159" s="16" t="s">
        <v>438</v>
      </c>
      <c r="B159" s="17" t="s">
        <v>391</v>
      </c>
      <c r="C159" s="17" t="s">
        <v>392</v>
      </c>
      <c r="D159" s="17"/>
      <c r="E159" s="60"/>
      <c r="F159" s="19"/>
      <c r="G159" s="61"/>
      <c r="L159" s="74" t="s">
        <v>439</v>
      </c>
      <c r="M159" s="75" t="s">
        <v>432</v>
      </c>
      <c r="N159" s="76" t="s">
        <v>440</v>
      </c>
    </row>
    <row r="160" customFormat="false" ht="15.75" hidden="false" customHeight="false" outlineLevel="0" collapsed="false">
      <c r="A160" s="20" t="n">
        <v>18</v>
      </c>
      <c r="B160" s="21" t="n">
        <v>1</v>
      </c>
      <c r="C160" s="22" t="s">
        <v>393</v>
      </c>
      <c r="D160" s="22" t="s">
        <v>394</v>
      </c>
      <c r="E160" s="62"/>
      <c r="F160" s="22" t="s">
        <v>395</v>
      </c>
      <c r="G160" s="16" t="s">
        <v>396</v>
      </c>
      <c r="L160" s="34" t="n">
        <v>1884830</v>
      </c>
      <c r="N160" s="34" t="n">
        <v>2025920</v>
      </c>
    </row>
    <row r="161" customFormat="false" ht="15.75" hidden="false" customHeight="false" outlineLevel="0" collapsed="false">
      <c r="A161" s="24" t="s">
        <v>397</v>
      </c>
      <c r="B161" s="24"/>
      <c r="C161" s="25" t="n">
        <v>26000000</v>
      </c>
      <c r="D161" s="26" t="n">
        <v>17218481</v>
      </c>
      <c r="E161" s="63"/>
      <c r="F161" s="28" t="n">
        <f aca="false">(D161/C161)*1</f>
        <v>0.662249269230769</v>
      </c>
      <c r="G161" s="29" t="n">
        <f aca="false">D161-C161</f>
        <v>-8781519</v>
      </c>
      <c r="L161" s="34" t="n">
        <v>160322</v>
      </c>
      <c r="N161" s="34" t="n">
        <v>3583430</v>
      </c>
    </row>
    <row r="162" customFormat="false" ht="15.75" hidden="false" customHeight="false" outlineLevel="0" collapsed="false">
      <c r="A162" s="30" t="s">
        <v>398</v>
      </c>
      <c r="B162" s="30"/>
      <c r="C162" s="25" t="n">
        <v>3000000</v>
      </c>
      <c r="D162" s="26" t="n">
        <v>0</v>
      </c>
      <c r="E162" s="63"/>
      <c r="F162" s="28" t="n">
        <f aca="false">(D162/C162)*1</f>
        <v>0</v>
      </c>
      <c r="G162" s="29" t="n">
        <f aca="false">D162-C162</f>
        <v>-3000000</v>
      </c>
      <c r="N162" s="34" t="n">
        <v>520040</v>
      </c>
    </row>
    <row r="165" customFormat="false" ht="15.75" hidden="false" customHeight="false" outlineLevel="0" collapsed="false">
      <c r="A165" s="70" t="s">
        <v>397</v>
      </c>
      <c r="G165" s="77" t="s">
        <v>400</v>
      </c>
    </row>
    <row r="166" customFormat="false" ht="15.75" hidden="false" customHeight="false" outlineLevel="0" collapsed="false">
      <c r="A166" s="78" t="s">
        <v>422</v>
      </c>
      <c r="B166" s="78" t="s">
        <v>376</v>
      </c>
      <c r="C166" s="78" t="s">
        <v>435</v>
      </c>
      <c r="G166" s="79" t="s">
        <v>376</v>
      </c>
      <c r="H166" s="79" t="s">
        <v>436</v>
      </c>
    </row>
    <row r="167" customFormat="false" ht="15.75" hidden="false" customHeight="false" outlineLevel="0" collapsed="false">
      <c r="A167" s="33" t="n">
        <v>1</v>
      </c>
      <c r="B167" s="52" t="n">
        <v>46083</v>
      </c>
      <c r="C167" s="34" t="n">
        <v>2025920</v>
      </c>
    </row>
    <row r="168" customFormat="false" ht="15.75" hidden="false" customHeight="false" outlineLevel="0" collapsed="false">
      <c r="A168" s="33" t="n">
        <v>1</v>
      </c>
      <c r="B168" s="52" t="n">
        <v>46083</v>
      </c>
      <c r="C168" s="34" t="n">
        <v>160322</v>
      </c>
    </row>
    <row r="169" customFormat="false" ht="15.75" hidden="false" customHeight="false" outlineLevel="0" collapsed="false">
      <c r="A169" s="33" t="n">
        <v>1</v>
      </c>
      <c r="B169" s="52" t="n">
        <v>46083</v>
      </c>
      <c r="C169" s="34" t="n">
        <v>1884830</v>
      </c>
    </row>
    <row r="170" customFormat="false" ht="15.75" hidden="false" customHeight="false" outlineLevel="0" collapsed="false">
      <c r="A170" s="33" t="n">
        <v>1</v>
      </c>
      <c r="B170" s="52" t="n">
        <v>46084</v>
      </c>
      <c r="C170" s="34" t="n">
        <v>3583430</v>
      </c>
    </row>
    <row r="171" customFormat="false" ht="15.75" hidden="false" customHeight="false" outlineLevel="0" collapsed="false">
      <c r="A171" s="33" t="n">
        <v>1</v>
      </c>
      <c r="B171" s="52" t="n">
        <v>46084</v>
      </c>
      <c r="C171" s="34" t="n">
        <v>520040</v>
      </c>
    </row>
    <row r="172" customFormat="false" ht="15.75" hidden="false" customHeight="false" outlineLevel="0" collapsed="false">
      <c r="A172" s="33" t="n">
        <v>1</v>
      </c>
      <c r="B172" s="52" t="n">
        <v>46084</v>
      </c>
      <c r="C172" s="80" t="n">
        <v>996044.93</v>
      </c>
    </row>
    <row r="173" customFormat="false" ht="15.75" hidden="false" customHeight="false" outlineLevel="0" collapsed="false">
      <c r="A173" s="33" t="n">
        <v>1</v>
      </c>
    </row>
    <row r="181" customFormat="false" ht="15.75" hidden="false" customHeight="false" outlineLevel="0" collapsed="false">
      <c r="B181" s="81" t="s">
        <v>436</v>
      </c>
      <c r="C181" s="81"/>
    </row>
    <row r="188" customFormat="false" ht="15.75" hidden="false" customHeight="false" outlineLevel="0" collapsed="false">
      <c r="A188" s="16" t="s">
        <v>441</v>
      </c>
      <c r="B188" s="17" t="s">
        <v>391</v>
      </c>
      <c r="C188" s="17" t="s">
        <v>392</v>
      </c>
      <c r="D188" s="17"/>
      <c r="E188" s="60"/>
      <c r="F188" s="19"/>
      <c r="G188" s="61"/>
    </row>
    <row r="189" customFormat="false" ht="15.75" hidden="false" customHeight="false" outlineLevel="0" collapsed="false">
      <c r="A189" s="20" t="n">
        <v>18</v>
      </c>
      <c r="B189" s="21" t="n">
        <v>1</v>
      </c>
      <c r="C189" s="22" t="s">
        <v>393</v>
      </c>
      <c r="D189" s="22" t="s">
        <v>394</v>
      </c>
      <c r="E189" s="62"/>
      <c r="F189" s="22" t="s">
        <v>395</v>
      </c>
      <c r="G189" s="16" t="s">
        <v>396</v>
      </c>
    </row>
    <row r="190" customFormat="false" ht="15.75" hidden="false" customHeight="false" outlineLevel="0" collapsed="false">
      <c r="A190" s="24" t="s">
        <v>397</v>
      </c>
      <c r="B190" s="24"/>
      <c r="C190" s="25" t="n">
        <v>26000000</v>
      </c>
      <c r="D190" s="26" t="n">
        <v>703485.1</v>
      </c>
      <c r="E190" s="63"/>
      <c r="F190" s="28" t="n">
        <f aca="false">(D190/C190)*1</f>
        <v>0.02705711923</v>
      </c>
      <c r="G190" s="29" t="n">
        <f aca="false">D190-C190</f>
        <v>-25296514.9</v>
      </c>
    </row>
    <row r="192" customFormat="false" ht="15.75" hidden="false" customHeight="false" outlineLevel="0" collapsed="false">
      <c r="B192" s="33" t="s">
        <v>442</v>
      </c>
      <c r="D192" s="34" t="n">
        <v>430540</v>
      </c>
    </row>
    <row r="193" customFormat="false" ht="15.75" hidden="false" customHeight="false" outlineLevel="0" collapsed="false">
      <c r="B193" s="33" t="s">
        <v>443</v>
      </c>
      <c r="D193" s="34" t="n">
        <v>76680</v>
      </c>
    </row>
    <row r="194" customFormat="false" ht="15.75" hidden="false" customHeight="false" outlineLevel="0" collapsed="false">
      <c r="B194" s="33" t="s">
        <v>444</v>
      </c>
      <c r="D194" s="71" t="n">
        <v>196265.1</v>
      </c>
    </row>
  </sheetData>
  <mergeCells count="18">
    <mergeCell ref="C2:D2"/>
    <mergeCell ref="A4:B4"/>
    <mergeCell ref="A5:B5"/>
    <mergeCell ref="C29:D29"/>
    <mergeCell ref="C55:D55"/>
    <mergeCell ref="A57:B57"/>
    <mergeCell ref="A58:B58"/>
    <mergeCell ref="C86:D86"/>
    <mergeCell ref="A88:B88"/>
    <mergeCell ref="A89:B89"/>
    <mergeCell ref="C126:D126"/>
    <mergeCell ref="A128:B128"/>
    <mergeCell ref="A129:B129"/>
    <mergeCell ref="C159:D159"/>
    <mergeCell ref="A161:B161"/>
    <mergeCell ref="A162:B162"/>
    <mergeCell ref="C188:D188"/>
    <mergeCell ref="A190:B1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1130"/>
    <outlinePr summaryBelow="0"/>
    <pageSetUpPr fitToPage="false"/>
  </sheetPr>
  <dimension ref="A1:U10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2.6328125" defaultRowHeight="15.75" customHeight="true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3.51"/>
    <col collapsed="false" customWidth="true" hidden="false" outlineLevel="0" max="4" min="4" style="0" width="14"/>
    <col collapsed="false" customWidth="true" hidden="false" outlineLevel="0" max="5" min="5" style="0" width="18.25"/>
    <col collapsed="false" customWidth="true" hidden="false" outlineLevel="1" max="6" min="6" style="0" width="14"/>
    <col collapsed="false" customWidth="true" hidden="false" outlineLevel="1" max="7" min="7" style="0" width="13.63"/>
    <col collapsed="false" customWidth="false" hidden="false" outlineLevel="1" max="8" min="8" style="0" width="12.63"/>
    <col collapsed="false" customWidth="true" hidden="false" outlineLevel="1" max="9" min="9" style="0" width="9.88"/>
    <col collapsed="false" customWidth="true" hidden="false" outlineLevel="1" max="10" min="10" style="0" width="15.38"/>
    <col collapsed="false" customWidth="true" hidden="false" outlineLevel="1" max="11" min="11" style="0" width="10.88"/>
    <col collapsed="false" customWidth="true" hidden="false" outlineLevel="0" max="12" min="12" style="0" width="5.75"/>
    <col collapsed="false" customWidth="true" hidden="false" outlineLevel="0" max="13" min="13" style="0" width="17.88"/>
    <col collapsed="false" customWidth="true" hidden="true" outlineLevel="1" max="14" min="14" style="0" width="14.51"/>
    <col collapsed="false" customWidth="true" hidden="true" outlineLevel="1" max="15" min="15" style="0" width="16.75"/>
    <col collapsed="false" customWidth="true" hidden="true" outlineLevel="1" max="17" min="16" style="0" width="14.51"/>
    <col collapsed="false" customWidth="true" hidden="false" outlineLevel="0" max="19" min="19" style="0" width="15.13"/>
    <col collapsed="false" customWidth="true" hidden="false" outlineLevel="0" max="20" min="20" style="0" width="15.88"/>
    <col collapsed="false" customWidth="true" hidden="false" outlineLevel="0" max="21" min="21" style="0" width="12.5"/>
  </cols>
  <sheetData>
    <row r="1" customFormat="false" ht="30" hidden="false" customHeight="true" outlineLevel="0" collapsed="false">
      <c r="A1" s="82" t="s">
        <v>445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  <c r="M1" s="84" t="s">
        <v>446</v>
      </c>
      <c r="N1" s="85" t="s">
        <v>431</v>
      </c>
      <c r="O1" s="86" t="s">
        <v>447</v>
      </c>
      <c r="P1" s="87" t="s">
        <v>433</v>
      </c>
      <c r="Q1" s="88" t="s">
        <v>400</v>
      </c>
      <c r="R1" s="89" t="s">
        <v>448</v>
      </c>
      <c r="S1" s="89"/>
      <c r="T1" s="90" t="s">
        <v>449</v>
      </c>
      <c r="U1" s="90"/>
    </row>
    <row r="2" customFormat="false" ht="30" hidden="false" customHeight="true" outlineLevel="0" collapsed="false">
      <c r="A2" s="91" t="s">
        <v>450</v>
      </c>
      <c r="B2" s="91" t="s">
        <v>451</v>
      </c>
      <c r="C2" s="91" t="s">
        <v>452</v>
      </c>
      <c r="D2" s="91" t="s">
        <v>453</v>
      </c>
      <c r="E2" s="91" t="s">
        <v>454</v>
      </c>
      <c r="F2" s="91" t="s">
        <v>455</v>
      </c>
      <c r="G2" s="91" t="s">
        <v>456</v>
      </c>
      <c r="H2" s="91" t="s">
        <v>457</v>
      </c>
      <c r="I2" s="91" t="s">
        <v>458</v>
      </c>
      <c r="J2" s="92" t="s">
        <v>459</v>
      </c>
      <c r="K2" s="91" t="s">
        <v>382</v>
      </c>
      <c r="L2" s="83"/>
      <c r="M2" s="93" t="n">
        <f aca="false">SUM(D:D)</f>
        <v>25154836.52</v>
      </c>
      <c r="N2" s="94" t="n">
        <f aca="false">SUMIF($E:$E,N1,$D:$D)</f>
        <v>6940041</v>
      </c>
      <c r="O2" s="94" t="n">
        <f aca="false">SUMIF($E:$E,O1,$D:$D)</f>
        <v>10599175.52</v>
      </c>
      <c r="P2" s="94" t="n">
        <f aca="false">SUMIF($E:$E,P1,$D:$D)</f>
        <v>7615620</v>
      </c>
      <c r="Q2" s="94" t="n">
        <f aca="false">SUMIF($E:$E,Q1,$D:$D)</f>
        <v>0</v>
      </c>
      <c r="R2" s="95" t="n">
        <f aca="false">M2/S2</f>
        <v>0.9674937123</v>
      </c>
      <c r="S2" s="93" t="n">
        <v>26000000</v>
      </c>
      <c r="T2" s="95" t="n">
        <f aca="false">(N2+O2+P2+(Q2/2))/U2</f>
        <v>1.852344368</v>
      </c>
      <c r="U2" s="93" t="n">
        <v>13580000</v>
      </c>
    </row>
    <row r="3" customFormat="false" ht="22.5" hidden="false" customHeight="true" outlineLevel="0" collapsed="false">
      <c r="A3" s="96" t="n">
        <v>1</v>
      </c>
      <c r="B3" s="97" t="n">
        <v>46083</v>
      </c>
      <c r="C3" s="96" t="s">
        <v>460</v>
      </c>
      <c r="D3" s="98" t="n">
        <v>160322</v>
      </c>
      <c r="E3" s="99" t="s">
        <v>431</v>
      </c>
      <c r="F3" s="100" t="n">
        <f aca="false">IF(E3="CONTADO", 4%, IF(E3="TARJETA / CHEQUE", 3%, IF(E3="FINANCIADO", 2.5%, "")))</f>
        <v>0.04</v>
      </c>
      <c r="G3" s="98" t="n">
        <f aca="false">IF(F3="", "", F3*D3)</f>
        <v>6412.88</v>
      </c>
      <c r="H3" s="101" t="b">
        <f aca="false">TRUE()</f>
        <v>1</v>
      </c>
      <c r="I3" s="101" t="b">
        <f aca="false">TRUE()</f>
        <v>1</v>
      </c>
      <c r="J3" s="102" t="n">
        <v>46083</v>
      </c>
      <c r="K3" s="96" t="s">
        <v>461</v>
      </c>
      <c r="L3" s="83"/>
      <c r="N3" s="103"/>
      <c r="O3" s="103"/>
      <c r="P3" s="103"/>
      <c r="Q3" s="103"/>
      <c r="R3" s="104" t="s">
        <v>462</v>
      </c>
      <c r="S3" s="105" t="n">
        <f aca="false">S2-M2</f>
        <v>845163.48</v>
      </c>
      <c r="T3" s="106" t="s">
        <v>462</v>
      </c>
      <c r="U3" s="105" t="str">
        <f aca="false">IF((U2-M2)&gt;=0,U2-M2,"")</f>
        <v/>
      </c>
    </row>
    <row r="4" customFormat="false" ht="22.5" hidden="false" customHeight="true" outlineLevel="0" collapsed="false">
      <c r="A4" s="107" t="n">
        <v>1</v>
      </c>
      <c r="B4" s="108" t="n">
        <v>46083</v>
      </c>
      <c r="C4" s="107" t="s">
        <v>463</v>
      </c>
      <c r="D4" s="109" t="n">
        <v>1884830</v>
      </c>
      <c r="E4" s="110" t="s">
        <v>431</v>
      </c>
      <c r="F4" s="111" t="n">
        <f aca="false">IF(E4="CONTADO", 4%, IF(E4="TARJETA / CHEQUE", 3%, IF(E4="FINANCIADO", 2.5%, "")))</f>
        <v>0.04</v>
      </c>
      <c r="G4" s="109" t="n">
        <f aca="false">IF(F4="", "", F4*D4)</f>
        <v>75393.2</v>
      </c>
      <c r="H4" s="112" t="b">
        <f aca="false">TRUE()</f>
        <v>1</v>
      </c>
      <c r="I4" s="112" t="b">
        <f aca="false">TRUE()</f>
        <v>1</v>
      </c>
      <c r="J4" s="113" t="n">
        <v>46083</v>
      </c>
      <c r="K4" s="107" t="s">
        <v>461</v>
      </c>
      <c r="L4" s="83"/>
    </row>
    <row r="5" customFormat="false" ht="22.5" hidden="false" customHeight="true" outlineLevel="0" collapsed="false">
      <c r="A5" s="96" t="n">
        <v>1</v>
      </c>
      <c r="B5" s="97" t="n">
        <v>46084</v>
      </c>
      <c r="C5" s="96" t="s">
        <v>464</v>
      </c>
      <c r="D5" s="98" t="n">
        <v>3583430</v>
      </c>
      <c r="E5" s="99" t="s">
        <v>433</v>
      </c>
      <c r="F5" s="100" t="n">
        <f aca="false">IF(E5="CONTADO", 4%, IF(E5="TARJETA / CHEQUE", 3%, IF(E5="FINANCIADO", 2.5%, "")))</f>
        <v>0.025</v>
      </c>
      <c r="G5" s="98" t="n">
        <f aca="false">IF(F5="", "", F5*D5)</f>
        <v>89585.75</v>
      </c>
      <c r="H5" s="101" t="b">
        <f aca="false">TRUE()</f>
        <v>1</v>
      </c>
      <c r="I5" s="101" t="b">
        <f aca="false">TRUE()</f>
        <v>1</v>
      </c>
      <c r="J5" s="102" t="n">
        <v>46084</v>
      </c>
      <c r="K5" s="96" t="s">
        <v>465</v>
      </c>
      <c r="L5" s="83"/>
      <c r="M5" s="114" t="s">
        <v>5</v>
      </c>
      <c r="N5" s="115"/>
      <c r="O5" s="115"/>
      <c r="P5" s="115"/>
      <c r="Q5" s="115"/>
      <c r="R5" s="116" t="s">
        <v>466</v>
      </c>
      <c r="S5" s="116"/>
      <c r="T5" s="117" t="s">
        <v>467</v>
      </c>
      <c r="U5" s="117"/>
    </row>
    <row r="6" customFormat="false" ht="22.5" hidden="false" customHeight="true" outlineLevel="0" collapsed="false">
      <c r="A6" s="107" t="n">
        <v>2</v>
      </c>
      <c r="B6" s="108" t="n">
        <v>46084</v>
      </c>
      <c r="C6" s="107" t="s">
        <v>468</v>
      </c>
      <c r="D6" s="109" t="n">
        <v>520040</v>
      </c>
      <c r="E6" s="110" t="s">
        <v>433</v>
      </c>
      <c r="F6" s="111" t="n">
        <f aca="false">IF(E6="CONTADO", 4%, IF(E6="TARJETA / CHEQUE", 3%, IF(E6="FINANCIADO", 2.5%, "")))</f>
        <v>0.025</v>
      </c>
      <c r="G6" s="109" t="n">
        <f aca="false">IF(F6="", "", F6*D6)</f>
        <v>13001</v>
      </c>
      <c r="H6" s="112" t="b">
        <f aca="false">TRUE()</f>
        <v>1</v>
      </c>
      <c r="I6" s="112" t="b">
        <f aca="false">TRUE()</f>
        <v>1</v>
      </c>
      <c r="J6" s="113" t="n">
        <v>46086</v>
      </c>
      <c r="K6" s="107" t="s">
        <v>461</v>
      </c>
      <c r="L6" s="83"/>
      <c r="M6" s="118" t="s">
        <v>469</v>
      </c>
      <c r="N6" s="119"/>
      <c r="O6" s="119"/>
      <c r="P6" s="119"/>
      <c r="Q6" s="119"/>
      <c r="R6" s="120" t="str">
        <f aca="false">IFERROR(VLOOKUP(M6,BD!H:J,2,FALSE()),"")</f>
        <v>Online - ZONA 20</v>
      </c>
      <c r="S6" s="120"/>
      <c r="T6" s="120" t="str">
        <f aca="false">IFERROR(VLOOKUP(M6,BD!H:J,3,FALSE()),"")</f>
        <v>30%</v>
      </c>
      <c r="U6" s="120"/>
    </row>
    <row r="7" customFormat="false" ht="22.5" hidden="false" customHeight="true" outlineLevel="0" collapsed="false">
      <c r="A7" s="96" t="n">
        <v>2</v>
      </c>
      <c r="B7" s="97" t="n">
        <v>46084</v>
      </c>
      <c r="C7" s="96" t="s">
        <v>470</v>
      </c>
      <c r="D7" s="98" t="n">
        <v>996044.93</v>
      </c>
      <c r="E7" s="99" t="s">
        <v>447</v>
      </c>
      <c r="F7" s="100" t="n">
        <f aca="false">IF(E7="CONTADO", 4%, IF(E7="TARJETA / CHEQUE", 3%, IF(E7="FINANCIADO", 2.5%, "")))</f>
        <v>0.03</v>
      </c>
      <c r="G7" s="98" t="n">
        <f aca="false">IF(F7="", "", F7*D7)</f>
        <v>29881.3479</v>
      </c>
      <c r="H7" s="101" t="b">
        <f aca="false">TRUE()</f>
        <v>1</v>
      </c>
      <c r="I7" s="101" t="b">
        <f aca="false">TRUE()</f>
        <v>1</v>
      </c>
      <c r="J7" s="102" t="n">
        <v>46086</v>
      </c>
      <c r="K7" s="96" t="s">
        <v>461</v>
      </c>
      <c r="L7" s="83"/>
      <c r="M7" s="103"/>
      <c r="N7" s="103"/>
      <c r="O7" s="103"/>
      <c r="P7" s="103"/>
      <c r="Q7" s="103"/>
      <c r="R7" s="83"/>
      <c r="S7" s="103"/>
      <c r="T7" s="103"/>
      <c r="U7" s="103"/>
    </row>
    <row r="8" customFormat="false" ht="22.5" hidden="false" customHeight="true" outlineLevel="0" collapsed="false">
      <c r="A8" s="107" t="n">
        <v>2</v>
      </c>
      <c r="B8" s="108" t="n">
        <v>46085</v>
      </c>
      <c r="C8" s="107" t="s">
        <v>471</v>
      </c>
      <c r="D8" s="109" t="n">
        <v>343845</v>
      </c>
      <c r="E8" s="110" t="s">
        <v>433</v>
      </c>
      <c r="F8" s="111" t="n">
        <f aca="false">IF(E8="CONTADO", 4%, IF(E8="TARJETA / CHEQUE", 3%, IF(E8="FINANCIADO", 2.5%, "")))</f>
        <v>0.025</v>
      </c>
      <c r="G8" s="109" t="n">
        <f aca="false">IF(F8="", "", F8*D8)</f>
        <v>8596.125</v>
      </c>
      <c r="H8" s="112" t="b">
        <f aca="false">TRUE()</f>
        <v>1</v>
      </c>
      <c r="I8" s="112" t="b">
        <f aca="false">TRUE()</f>
        <v>1</v>
      </c>
      <c r="J8" s="113" t="n">
        <v>46084</v>
      </c>
      <c r="K8" s="107" t="s">
        <v>465</v>
      </c>
      <c r="L8" s="83"/>
      <c r="M8" s="103"/>
      <c r="N8" s="103"/>
      <c r="O8" s="103"/>
      <c r="P8" s="103"/>
      <c r="Q8" s="103"/>
      <c r="R8" s="83"/>
      <c r="S8" s="103"/>
      <c r="T8" s="103"/>
      <c r="U8" s="103"/>
    </row>
    <row r="9" customFormat="false" ht="22.5" hidden="false" customHeight="true" outlineLevel="0" collapsed="false">
      <c r="A9" s="96" t="n">
        <v>8</v>
      </c>
      <c r="B9" s="97" t="n">
        <v>46091</v>
      </c>
      <c r="C9" s="99" t="s">
        <v>472</v>
      </c>
      <c r="D9" s="121" t="n">
        <v>1364055</v>
      </c>
      <c r="E9" s="99" t="s">
        <v>433</v>
      </c>
      <c r="F9" s="100" t="n">
        <f aca="false">IF(E9="CONTADO", 4%, IF(E9="TARJETA / CHEQUE", 3%, IF(E9="FINANCIADO", 2.5%, "")))</f>
        <v>0.025</v>
      </c>
      <c r="G9" s="98" t="n">
        <f aca="false">IF(F9="", "", F9*D9)</f>
        <v>34101.375</v>
      </c>
      <c r="H9" s="101" t="b">
        <f aca="false">TRUE()</f>
        <v>1</v>
      </c>
      <c r="I9" s="101" t="b">
        <f aca="false">TRUE()</f>
        <v>1</v>
      </c>
      <c r="J9" s="102" t="n">
        <v>46097</v>
      </c>
      <c r="K9" s="96" t="s">
        <v>461</v>
      </c>
      <c r="L9" s="83"/>
    </row>
    <row r="10" customFormat="false" ht="22.5" hidden="false" customHeight="true" outlineLevel="0" collapsed="false">
      <c r="A10" s="107" t="n">
        <v>8</v>
      </c>
      <c r="B10" s="108" t="n">
        <v>46091</v>
      </c>
      <c r="C10" s="110" t="s">
        <v>473</v>
      </c>
      <c r="D10" s="122" t="n">
        <v>4048396.13</v>
      </c>
      <c r="E10" s="110" t="s">
        <v>447</v>
      </c>
      <c r="F10" s="111" t="n">
        <f aca="false">IF(E10="CONTADO", 4%, IF(E10="TARJETA / CHEQUE", 3%, IF(E10="FINANCIADO", 2.5%, "")))</f>
        <v>0.03</v>
      </c>
      <c r="G10" s="109" t="n">
        <f aca="false">IF(F10="", "", F10*D10)</f>
        <v>121451.8839</v>
      </c>
      <c r="H10" s="112" t="b">
        <f aca="false">TRUE()</f>
        <v>1</v>
      </c>
      <c r="I10" s="112" t="b">
        <f aca="false">TRUE()</f>
        <v>1</v>
      </c>
      <c r="J10" s="113" t="n">
        <v>46094</v>
      </c>
      <c r="K10" s="107" t="s">
        <v>461</v>
      </c>
      <c r="L10" s="83"/>
    </row>
    <row r="11" customFormat="false" ht="22.5" hidden="false" customHeight="true" outlineLevel="0" collapsed="false">
      <c r="A11" s="99" t="n">
        <v>12</v>
      </c>
      <c r="B11" s="123" t="n">
        <v>46097</v>
      </c>
      <c r="C11" s="99" t="s">
        <v>474</v>
      </c>
      <c r="D11" s="121" t="n">
        <v>672918</v>
      </c>
      <c r="E11" s="99" t="s">
        <v>431</v>
      </c>
      <c r="F11" s="124" t="n">
        <f aca="false">IF(E11="CONTADO", 4%, IF(E11="TARJETA / CHEQUE", 3%, IF(OR(E11="FINANCIADO", E11="MCP"), 2.5%, "")))</f>
        <v>0.04</v>
      </c>
      <c r="G11" s="121" t="n">
        <f aca="false">IF(F11="", "", F11*D11)</f>
        <v>26916.72</v>
      </c>
      <c r="H11" s="125" t="b">
        <f aca="false">TRUE()</f>
        <v>1</v>
      </c>
      <c r="I11" s="125" t="b">
        <f aca="false">TRUE()</f>
        <v>1</v>
      </c>
      <c r="J11" s="126" t="n">
        <v>46098</v>
      </c>
      <c r="K11" s="99" t="s">
        <v>465</v>
      </c>
      <c r="L11" s="83"/>
      <c r="M11" s="103"/>
      <c r="N11" s="103"/>
      <c r="O11" s="103"/>
      <c r="P11" s="103"/>
      <c r="Q11" s="103"/>
      <c r="R11" s="83"/>
      <c r="S11" s="103"/>
      <c r="T11" s="103"/>
      <c r="U11" s="103"/>
    </row>
    <row r="12" customFormat="false" ht="22.5" hidden="false" customHeight="true" outlineLevel="0" collapsed="false">
      <c r="A12" s="110" t="n">
        <v>14</v>
      </c>
      <c r="B12" s="127" t="n">
        <v>46099</v>
      </c>
      <c r="C12" s="110" t="s">
        <v>475</v>
      </c>
      <c r="D12" s="122" t="n">
        <v>2340350</v>
      </c>
      <c r="E12" s="110" t="s">
        <v>431</v>
      </c>
      <c r="F12" s="128" t="n">
        <f aca="false">IF(E12="CONTADO", 4%, IF(E12="TARJETA / CHEQUE", 3%, IF(OR(E12="FINANCIADO", E12="MCP"), 2.5%, "")))</f>
        <v>0.04</v>
      </c>
      <c r="G12" s="122" t="n">
        <f aca="false">IF(F12="", "", F12*D12)</f>
        <v>93614</v>
      </c>
      <c r="H12" s="129" t="b">
        <f aca="false">TRUE()</f>
        <v>1</v>
      </c>
      <c r="I12" s="129" t="b">
        <f aca="false">TRUE()</f>
        <v>1</v>
      </c>
      <c r="J12" s="130" t="n">
        <v>46106</v>
      </c>
      <c r="K12" s="110" t="s">
        <v>461</v>
      </c>
      <c r="L12" s="83"/>
      <c r="M12" s="103"/>
      <c r="N12" s="103"/>
      <c r="O12" s="103"/>
      <c r="P12" s="103"/>
      <c r="Q12" s="103"/>
      <c r="R12" s="83"/>
      <c r="S12" s="103"/>
      <c r="T12" s="103"/>
      <c r="U12" s="103"/>
    </row>
    <row r="13" customFormat="false" ht="22.5" hidden="false" customHeight="true" outlineLevel="0" collapsed="false">
      <c r="A13" s="99" t="n">
        <v>16</v>
      </c>
      <c r="B13" s="123" t="n">
        <v>46101</v>
      </c>
      <c r="C13" s="99" t="s">
        <v>476</v>
      </c>
      <c r="D13" s="121" t="n">
        <v>1804250</v>
      </c>
      <c r="E13" s="99" t="s">
        <v>433</v>
      </c>
      <c r="F13" s="124" t="n">
        <f aca="false">IF(E13="CONTADO", 4%, IF(E13="TARJETA / CHEQUE", 3%, IF(OR(E13="FINANCIADO", E13="MCP"), 2.5%, "")))</f>
        <v>0.025</v>
      </c>
      <c r="G13" s="121" t="n">
        <f aca="false">IF(F13="", "", F13*D13)</f>
        <v>45106.25</v>
      </c>
      <c r="H13" s="125" t="b">
        <f aca="false">TRUE()</f>
        <v>1</v>
      </c>
      <c r="I13" s="125" t="b">
        <f aca="false">TRUE()</f>
        <v>1</v>
      </c>
      <c r="J13" s="126" t="n">
        <v>46107</v>
      </c>
      <c r="K13" s="99" t="s">
        <v>465</v>
      </c>
      <c r="L13" s="83"/>
      <c r="M13" s="103"/>
      <c r="N13" s="103"/>
      <c r="O13" s="103"/>
      <c r="P13" s="103"/>
      <c r="Q13" s="103"/>
      <c r="R13" s="83"/>
      <c r="S13" s="103"/>
      <c r="T13" s="103"/>
      <c r="U13" s="103"/>
    </row>
    <row r="14" customFormat="false" ht="22.5" hidden="false" customHeight="true" outlineLevel="0" collapsed="false">
      <c r="A14" s="110" t="n">
        <v>16</v>
      </c>
      <c r="B14" s="127" t="n">
        <v>46101</v>
      </c>
      <c r="C14" s="110" t="s">
        <v>477</v>
      </c>
      <c r="D14" s="122" t="n">
        <v>1500000</v>
      </c>
      <c r="E14" s="110" t="s">
        <v>431</v>
      </c>
      <c r="F14" s="128" t="n">
        <f aca="false">IF(E14="CONTADO", 4%, IF(E14="TARJETA / CHEQUE", 3%, IF(OR(E14="FINANCIADO", E14="MCP"), 2.5%, "")))</f>
        <v>0.04</v>
      </c>
      <c r="G14" s="122" t="n">
        <f aca="false">IF(F14="", "", F14*D14)</f>
        <v>60000</v>
      </c>
      <c r="H14" s="129" t="b">
        <f aca="false">TRUE()</f>
        <v>1</v>
      </c>
      <c r="I14" s="129" t="b">
        <f aca="false">TRUE()</f>
        <v>1</v>
      </c>
      <c r="J14" s="130" t="n">
        <v>46104</v>
      </c>
      <c r="K14" s="110" t="s">
        <v>465</v>
      </c>
      <c r="L14" s="83"/>
      <c r="M14" s="103"/>
      <c r="N14" s="103"/>
      <c r="O14" s="103"/>
      <c r="P14" s="103"/>
      <c r="Q14" s="103"/>
      <c r="R14" s="83"/>
      <c r="S14" s="103"/>
      <c r="T14" s="103"/>
      <c r="U14" s="103"/>
    </row>
    <row r="15" customFormat="false" ht="22.5" hidden="false" customHeight="true" outlineLevel="0" collapsed="false">
      <c r="A15" s="99" t="n">
        <v>17</v>
      </c>
      <c r="B15" s="123" t="n">
        <v>46102</v>
      </c>
      <c r="C15" s="99" t="s">
        <v>478</v>
      </c>
      <c r="D15" s="121" t="n">
        <v>3275957.46</v>
      </c>
      <c r="E15" s="99" t="s">
        <v>447</v>
      </c>
      <c r="F15" s="124" t="n">
        <f aca="false">IF(E15="CONTADO", 4%, IF(E15="TARJETA / CHEQUE", 3%, IF(OR(E15="FINANCIADO", E15="MCP"), 2.5%, "")))</f>
        <v>0.03</v>
      </c>
      <c r="G15" s="121" t="n">
        <f aca="false">IF(F15="", "", F15*D15)</f>
        <v>98278.7238</v>
      </c>
      <c r="H15" s="125" t="b">
        <f aca="false">TRUE()</f>
        <v>1</v>
      </c>
      <c r="I15" s="125" t="b">
        <f aca="false">TRUE()</f>
        <v>1</v>
      </c>
      <c r="J15" s="126" t="n">
        <v>46102</v>
      </c>
      <c r="K15" s="99" t="s">
        <v>461</v>
      </c>
      <c r="L15" s="83"/>
      <c r="M15" s="103"/>
      <c r="N15" s="103"/>
      <c r="O15" s="103"/>
      <c r="P15" s="103"/>
      <c r="Q15" s="103"/>
      <c r="R15" s="83"/>
      <c r="S15" s="103"/>
      <c r="T15" s="103"/>
      <c r="U15" s="103"/>
    </row>
    <row r="16" customFormat="false" ht="22.5" hidden="false" customHeight="true" outlineLevel="0" collapsed="false">
      <c r="A16" s="110" t="n">
        <v>19</v>
      </c>
      <c r="B16" s="127" t="n">
        <v>46104</v>
      </c>
      <c r="C16" s="110" t="s">
        <v>479</v>
      </c>
      <c r="D16" s="122" t="n">
        <v>381621</v>
      </c>
      <c r="E16" s="110" t="s">
        <v>431</v>
      </c>
      <c r="F16" s="128" t="n">
        <f aca="false">IF(E16="CONTADO", 4%, IF(E16="TARJETA / CHEQUE", 3%, IF(OR(E16="FINANCIADO", E16="MCP"), 2.5%, "")))</f>
        <v>0.04</v>
      </c>
      <c r="G16" s="122" t="n">
        <f aca="false">IF(F16="", "", F16*D16)</f>
        <v>15264.84</v>
      </c>
      <c r="H16" s="129" t="b">
        <f aca="false">TRUE()</f>
        <v>1</v>
      </c>
      <c r="I16" s="129" t="b">
        <f aca="false">TRUE()</f>
        <v>1</v>
      </c>
      <c r="J16" s="130" t="n">
        <v>46106</v>
      </c>
      <c r="K16" s="110" t="s">
        <v>461</v>
      </c>
      <c r="L16" s="83"/>
      <c r="M16" s="103"/>
      <c r="N16" s="103"/>
      <c r="O16" s="103"/>
      <c r="P16" s="103"/>
      <c r="Q16" s="103"/>
      <c r="R16" s="83"/>
      <c r="S16" s="103"/>
      <c r="T16" s="103"/>
      <c r="U16" s="103"/>
    </row>
    <row r="17" customFormat="false" ht="22.5" hidden="false" customHeight="true" outlineLevel="0" collapsed="false">
      <c r="A17" s="99" t="n">
        <v>19</v>
      </c>
      <c r="B17" s="123" t="n">
        <v>46104</v>
      </c>
      <c r="C17" s="99" t="s">
        <v>480</v>
      </c>
      <c r="D17" s="121" t="n">
        <v>2278777</v>
      </c>
      <c r="E17" s="99" t="s">
        <v>447</v>
      </c>
      <c r="F17" s="124" t="n">
        <f aca="false">IF(E17="CONTADO", 4%, IF(E17="TARJETA / CHEQUE", 3%, IF(OR(E17="FINANCIADO", E17="MCP"), 2.5%, "")))</f>
        <v>0.03</v>
      </c>
      <c r="G17" s="121" t="n">
        <f aca="false">IF(F17="", "", F17*D17)</f>
        <v>68363.31</v>
      </c>
      <c r="H17" s="125" t="b">
        <f aca="false">TRUE()</f>
        <v>1</v>
      </c>
      <c r="I17" s="125" t="b">
        <f aca="false">TRUE()</f>
        <v>1</v>
      </c>
      <c r="J17" s="126" t="n">
        <v>46107</v>
      </c>
      <c r="K17" s="99" t="s">
        <v>461</v>
      </c>
      <c r="L17" s="83"/>
      <c r="M17" s="103"/>
      <c r="N17" s="103"/>
      <c r="O17" s="103"/>
      <c r="P17" s="103"/>
      <c r="Q17" s="103"/>
      <c r="R17" s="83"/>
      <c r="S17" s="103"/>
      <c r="T17" s="103"/>
      <c r="U17" s="103"/>
    </row>
    <row r="18" customFormat="false" ht="22.5" hidden="false" customHeight="true" outlineLevel="0" collapsed="false">
      <c r="A18" s="110" t="n">
        <v>22</v>
      </c>
      <c r="B18" s="127" t="n">
        <v>46107</v>
      </c>
      <c r="C18" s="110"/>
      <c r="D18" s="122" t="n">
        <v>0</v>
      </c>
      <c r="E18" s="110" t="s">
        <v>433</v>
      </c>
      <c r="F18" s="128" t="n">
        <f aca="false">IF(E18="CONTADO", 4%, IF(E18="TARJETA / CHEQUE", 3%, IF(OR(E18="FINANCIADO", E18="MCP"), 2.5%, "")))</f>
        <v>0.025</v>
      </c>
      <c r="G18" s="122" t="n">
        <f aca="false">IF(F18="", "", F18*D18)</f>
        <v>0</v>
      </c>
      <c r="H18" s="129" t="b">
        <f aca="false">FALSE()</f>
        <v>0</v>
      </c>
      <c r="I18" s="129" t="b">
        <f aca="false">FALSE()</f>
        <v>0</v>
      </c>
      <c r="J18" s="130"/>
      <c r="K18" s="110"/>
      <c r="L18" s="83"/>
      <c r="M18" s="103"/>
      <c r="N18" s="103"/>
      <c r="O18" s="103"/>
      <c r="P18" s="103"/>
      <c r="Q18" s="103"/>
      <c r="R18" s="83"/>
      <c r="S18" s="103"/>
      <c r="T18" s="103"/>
      <c r="U18" s="103"/>
    </row>
    <row r="19" customFormat="false" ht="22.5" hidden="false" customHeight="true" outlineLevel="0" collapsed="false">
      <c r="A19" s="99"/>
      <c r="B19" s="99"/>
      <c r="C19" s="99"/>
      <c r="D19" s="121"/>
      <c r="E19" s="99"/>
      <c r="F19" s="124" t="str">
        <f aca="false">IF(E19="CONTADO", 4%, IF(E19="TARJETA / CHEQUE", 3%, IF(OR(E19="FINANCIADO", E19="MCP"), 2.5%, "")))</f>
        <v/>
      </c>
      <c r="G19" s="121" t="str">
        <f aca="false">IF(F19="", "", F19*D19)</f>
        <v/>
      </c>
      <c r="H19" s="125" t="b">
        <f aca="false">FALSE()</f>
        <v>0</v>
      </c>
      <c r="I19" s="125" t="b">
        <f aca="false">FALSE()</f>
        <v>0</v>
      </c>
      <c r="J19" s="126"/>
      <c r="K19" s="99"/>
      <c r="L19" s="83"/>
      <c r="M19" s="103"/>
      <c r="N19" s="103"/>
      <c r="O19" s="103"/>
      <c r="P19" s="103"/>
      <c r="Q19" s="103"/>
      <c r="R19" s="83"/>
      <c r="S19" s="103"/>
      <c r="T19" s="103"/>
      <c r="U19" s="103"/>
    </row>
    <row r="20" customFormat="false" ht="22.5" hidden="false" customHeight="true" outlineLevel="0" collapsed="false">
      <c r="A20" s="110"/>
      <c r="B20" s="110"/>
      <c r="C20" s="110"/>
      <c r="D20" s="122"/>
      <c r="E20" s="110"/>
      <c r="F20" s="128" t="str">
        <f aca="false">IF(E20="CONTADO", 4%, IF(E20="TARJETA / CHEQUE", 3%, IF(OR(E20="FINANCIADO", E20="MCP"), 2.5%, "")))</f>
        <v/>
      </c>
      <c r="G20" s="122" t="str">
        <f aca="false">IF(F20="", "", F20*D20)</f>
        <v/>
      </c>
      <c r="H20" s="131" t="b">
        <f aca="false">FALSE()</f>
        <v>0</v>
      </c>
      <c r="I20" s="131" t="b">
        <f aca="false">FALSE()</f>
        <v>0</v>
      </c>
      <c r="J20" s="130"/>
      <c r="K20" s="110"/>
      <c r="L20" s="83"/>
      <c r="M20" s="103"/>
      <c r="N20" s="103"/>
      <c r="O20" s="103"/>
      <c r="P20" s="103"/>
      <c r="Q20" s="103"/>
      <c r="R20" s="83"/>
      <c r="S20" s="103"/>
      <c r="T20" s="103"/>
      <c r="U20" s="103"/>
    </row>
    <row r="21" customFormat="false" ht="22.5" hidden="false" customHeight="true" outlineLevel="0" collapsed="false">
      <c r="A21" s="99"/>
      <c r="B21" s="99"/>
      <c r="C21" s="99"/>
      <c r="D21" s="121"/>
      <c r="E21" s="99"/>
      <c r="F21" s="124" t="str">
        <f aca="false">IF(E21="CONTADO", 4%, IF(E21="TARJETA / CHEQUE", 3%, IF(OR(E21="FINANCIADO", E21="MCP"), 2.5%, "")))</f>
        <v/>
      </c>
      <c r="G21" s="121" t="str">
        <f aca="false">IF(F21="", "", F21*D21)</f>
        <v/>
      </c>
      <c r="H21" s="132" t="b">
        <f aca="false">FALSE()</f>
        <v>0</v>
      </c>
      <c r="I21" s="132" t="b">
        <f aca="false">FALSE()</f>
        <v>0</v>
      </c>
      <c r="J21" s="126"/>
      <c r="K21" s="99"/>
      <c r="L21" s="83"/>
      <c r="M21" s="103"/>
      <c r="N21" s="103"/>
      <c r="O21" s="103"/>
      <c r="P21" s="103"/>
      <c r="Q21" s="103"/>
      <c r="R21" s="83"/>
      <c r="S21" s="103"/>
      <c r="T21" s="103"/>
      <c r="U21" s="103"/>
    </row>
    <row r="22" customFormat="false" ht="22.5" hidden="false" customHeight="true" outlineLevel="0" collapsed="false">
      <c r="A22" s="110"/>
      <c r="B22" s="110"/>
      <c r="C22" s="110"/>
      <c r="D22" s="122"/>
      <c r="E22" s="110"/>
      <c r="F22" s="128" t="str">
        <f aca="false">IF(E22="CONTADO", 4%, IF(E22="TARJETA / CHEQUE", 3%, IF(OR(E22="FINANCIADO", E22="MCP"), 2.5%, "")))</f>
        <v/>
      </c>
      <c r="G22" s="122" t="str">
        <f aca="false">IF(F22="", "", F22*D22)</f>
        <v/>
      </c>
      <c r="H22" s="131" t="b">
        <f aca="false">FALSE()</f>
        <v>0</v>
      </c>
      <c r="I22" s="131" t="b">
        <f aca="false">FALSE()</f>
        <v>0</v>
      </c>
      <c r="J22" s="130"/>
      <c r="K22" s="110"/>
      <c r="L22" s="83"/>
      <c r="M22" s="103"/>
      <c r="N22" s="103"/>
      <c r="O22" s="103"/>
      <c r="P22" s="103"/>
      <c r="Q22" s="103"/>
      <c r="R22" s="83"/>
      <c r="S22" s="103"/>
      <c r="T22" s="103"/>
      <c r="U22" s="103"/>
    </row>
    <row r="23" customFormat="false" ht="22.5" hidden="false" customHeight="true" outlineLevel="0" collapsed="false">
      <c r="A23" s="99"/>
      <c r="B23" s="99"/>
      <c r="C23" s="99"/>
      <c r="D23" s="121"/>
      <c r="E23" s="99"/>
      <c r="F23" s="124" t="str">
        <f aca="false">IF(E23="CONTADO", 4%, IF(E23="TARJETA / CHEQUE", 3%, IF(OR(E23="FINANCIADO", E23="MCP"), 2.5%, "")))</f>
        <v/>
      </c>
      <c r="G23" s="121" t="str">
        <f aca="false">IF(F23="", "", F23*D23)</f>
        <v/>
      </c>
      <c r="H23" s="132" t="b">
        <f aca="false">FALSE()</f>
        <v>0</v>
      </c>
      <c r="I23" s="132" t="b">
        <f aca="false">FALSE()</f>
        <v>0</v>
      </c>
      <c r="J23" s="126"/>
      <c r="K23" s="99"/>
      <c r="L23" s="83"/>
      <c r="M23" s="103"/>
      <c r="N23" s="103"/>
      <c r="O23" s="103"/>
      <c r="P23" s="103"/>
      <c r="Q23" s="103"/>
      <c r="R23" s="83"/>
      <c r="S23" s="103"/>
      <c r="T23" s="103"/>
      <c r="U23" s="103"/>
    </row>
    <row r="24" customFormat="false" ht="22.5" hidden="false" customHeight="true" outlineLevel="0" collapsed="false">
      <c r="A24" s="110"/>
      <c r="B24" s="110"/>
      <c r="C24" s="110"/>
      <c r="D24" s="122"/>
      <c r="E24" s="110"/>
      <c r="F24" s="128" t="str">
        <f aca="false">IF(E24="CONTADO", 4%, IF(E24="TARJETA / CHEQUE", 3%, IF(OR(E24="FINANCIADO", E24="MCP"), 2.5%, "")))</f>
        <v/>
      </c>
      <c r="G24" s="122" t="str">
        <f aca="false">IF(F24="", "", F24*D24)</f>
        <v/>
      </c>
      <c r="H24" s="131" t="b">
        <f aca="false">FALSE()</f>
        <v>0</v>
      </c>
      <c r="I24" s="131" t="b">
        <f aca="false">FALSE()</f>
        <v>0</v>
      </c>
      <c r="J24" s="130"/>
      <c r="K24" s="110"/>
      <c r="L24" s="83"/>
      <c r="M24" s="103"/>
      <c r="N24" s="103"/>
      <c r="O24" s="103"/>
      <c r="P24" s="103"/>
      <c r="Q24" s="103"/>
      <c r="R24" s="83"/>
      <c r="S24" s="103"/>
      <c r="T24" s="103"/>
      <c r="U24" s="103"/>
    </row>
    <row r="25" customFormat="false" ht="22.5" hidden="false" customHeight="true" outlineLevel="0" collapsed="false">
      <c r="A25" s="99"/>
      <c r="B25" s="99"/>
      <c r="C25" s="99"/>
      <c r="D25" s="121"/>
      <c r="E25" s="99"/>
      <c r="F25" s="124" t="str">
        <f aca="false">IF(E25="CONTADO", 4%, IF(E25="TARJETA / CHEQUE", 3%, IF(OR(E25="FINANCIADO", E25="MCP"), 2.5%, "")))</f>
        <v/>
      </c>
      <c r="G25" s="121" t="str">
        <f aca="false">IF(F25="", "", F25*D25)</f>
        <v/>
      </c>
      <c r="H25" s="132" t="b">
        <f aca="false">FALSE()</f>
        <v>0</v>
      </c>
      <c r="I25" s="132" t="b">
        <f aca="false">FALSE()</f>
        <v>0</v>
      </c>
      <c r="J25" s="126"/>
      <c r="K25" s="99"/>
      <c r="L25" s="83"/>
      <c r="M25" s="103"/>
      <c r="N25" s="103"/>
      <c r="O25" s="103"/>
      <c r="P25" s="103"/>
      <c r="Q25" s="103"/>
      <c r="R25" s="83"/>
      <c r="S25" s="103"/>
      <c r="T25" s="103"/>
      <c r="U25" s="103"/>
    </row>
    <row r="26" customFormat="false" ht="22.5" hidden="false" customHeight="true" outlineLevel="0" collapsed="false">
      <c r="A26" s="110"/>
      <c r="B26" s="110"/>
      <c r="C26" s="110"/>
      <c r="D26" s="122"/>
      <c r="E26" s="110"/>
      <c r="F26" s="128" t="str">
        <f aca="false">IF(E26="CONTADO", 4%, IF(E26="TARJETA / CHEQUE", 3%, IF(OR(E26="FINANCIADO", E26="MCP"), 2.5%, "")))</f>
        <v/>
      </c>
      <c r="G26" s="122" t="str">
        <f aca="false">IF(F26="", "", F26*D26)</f>
        <v/>
      </c>
      <c r="H26" s="131" t="b">
        <f aca="false">FALSE()</f>
        <v>0</v>
      </c>
      <c r="I26" s="131" t="b">
        <f aca="false">FALSE()</f>
        <v>0</v>
      </c>
      <c r="J26" s="130"/>
      <c r="K26" s="110"/>
      <c r="L26" s="83"/>
      <c r="M26" s="103"/>
      <c r="N26" s="103"/>
      <c r="O26" s="103"/>
      <c r="P26" s="103"/>
      <c r="Q26" s="103"/>
      <c r="R26" s="83"/>
      <c r="S26" s="103"/>
      <c r="T26" s="103"/>
      <c r="U26" s="103"/>
    </row>
    <row r="27" customFormat="false" ht="22.5" hidden="false" customHeight="true" outlineLevel="0" collapsed="false">
      <c r="A27" s="99"/>
      <c r="B27" s="99"/>
      <c r="C27" s="99"/>
      <c r="D27" s="121"/>
      <c r="E27" s="99"/>
      <c r="F27" s="124" t="str">
        <f aca="false">IF(E27="CONTADO", 4%, IF(E27="TARJETA / CHEQUE", 3%, IF(OR(E27="FINANCIADO", E27="MCP"), 2.5%, "")))</f>
        <v/>
      </c>
      <c r="G27" s="121" t="str">
        <f aca="false">IF(F27="", "", F27*D27)</f>
        <v/>
      </c>
      <c r="H27" s="132" t="b">
        <f aca="false">FALSE()</f>
        <v>0</v>
      </c>
      <c r="I27" s="132" t="b">
        <f aca="false">FALSE()</f>
        <v>0</v>
      </c>
      <c r="J27" s="126"/>
      <c r="K27" s="99"/>
      <c r="L27" s="83"/>
      <c r="M27" s="103"/>
      <c r="N27" s="103"/>
      <c r="O27" s="103"/>
      <c r="P27" s="103"/>
      <c r="Q27" s="103"/>
      <c r="R27" s="83"/>
      <c r="S27" s="103"/>
      <c r="T27" s="103"/>
      <c r="U27" s="103"/>
    </row>
    <row r="28" customFormat="false" ht="22.5" hidden="false" customHeight="true" outlineLevel="0" collapsed="false">
      <c r="A28" s="110"/>
      <c r="B28" s="110"/>
      <c r="C28" s="110"/>
      <c r="D28" s="122"/>
      <c r="E28" s="110"/>
      <c r="F28" s="128" t="str">
        <f aca="false">IF(E28="CONTADO", 4%, IF(E28="TARJETA / CHEQUE", 3%, IF(OR(E28="FINANCIADO", E28="MCP"), 2.5%, "")))</f>
        <v/>
      </c>
      <c r="G28" s="122" t="str">
        <f aca="false">IF(F28="", "", F28*D28)</f>
        <v/>
      </c>
      <c r="H28" s="131" t="b">
        <f aca="false">FALSE()</f>
        <v>0</v>
      </c>
      <c r="I28" s="131" t="b">
        <f aca="false">FALSE()</f>
        <v>0</v>
      </c>
      <c r="J28" s="130"/>
      <c r="K28" s="110"/>
      <c r="L28" s="83"/>
      <c r="M28" s="103"/>
      <c r="N28" s="103"/>
      <c r="O28" s="103"/>
      <c r="P28" s="103"/>
      <c r="Q28" s="103"/>
      <c r="R28" s="83"/>
      <c r="S28" s="103"/>
      <c r="T28" s="103"/>
      <c r="U28" s="103"/>
    </row>
    <row r="29" customFormat="false" ht="22.5" hidden="false" customHeight="true" outlineLevel="0" collapsed="false">
      <c r="A29" s="99"/>
      <c r="B29" s="99"/>
      <c r="C29" s="99"/>
      <c r="D29" s="121"/>
      <c r="E29" s="99"/>
      <c r="F29" s="124" t="str">
        <f aca="false">IF(E29="CONTADO", 4%, IF(E29="TARJETA / CHEQUE", 3%, IF(OR(E29="FINANCIADO", E29="MCP"), 2.5%, "")))</f>
        <v/>
      </c>
      <c r="G29" s="121" t="str">
        <f aca="false">IF(F29="", "", F29*D29)</f>
        <v/>
      </c>
      <c r="H29" s="132" t="b">
        <f aca="false">FALSE()</f>
        <v>0</v>
      </c>
      <c r="I29" s="132" t="b">
        <f aca="false">FALSE()</f>
        <v>0</v>
      </c>
      <c r="J29" s="126"/>
      <c r="K29" s="99"/>
      <c r="L29" s="83"/>
      <c r="M29" s="103"/>
      <c r="N29" s="103"/>
      <c r="O29" s="103"/>
      <c r="P29" s="103"/>
      <c r="Q29" s="103"/>
      <c r="R29" s="83"/>
      <c r="S29" s="103"/>
      <c r="T29" s="103"/>
      <c r="U29" s="103"/>
    </row>
    <row r="30" customFormat="false" ht="22.5" hidden="false" customHeight="true" outlineLevel="0" collapsed="false">
      <c r="A30" s="110"/>
      <c r="B30" s="110"/>
      <c r="C30" s="110"/>
      <c r="D30" s="122"/>
      <c r="E30" s="110"/>
      <c r="F30" s="128" t="str">
        <f aca="false">IF(E30="CONTADO", 4%, IF(E30="TARJETA / CHEQUE", 3%, IF(OR(E30="FINANCIADO", E30="MCP"), 2.5%, "")))</f>
        <v/>
      </c>
      <c r="G30" s="122" t="str">
        <f aca="false">IF(F30="", "", F30*D30)</f>
        <v/>
      </c>
      <c r="H30" s="131" t="b">
        <f aca="false">FALSE()</f>
        <v>0</v>
      </c>
      <c r="I30" s="131" t="b">
        <f aca="false">FALSE()</f>
        <v>0</v>
      </c>
      <c r="J30" s="130"/>
      <c r="K30" s="110"/>
      <c r="L30" s="83"/>
      <c r="M30" s="103"/>
      <c r="N30" s="103"/>
      <c r="O30" s="103"/>
      <c r="P30" s="103"/>
      <c r="Q30" s="103"/>
      <c r="R30" s="83"/>
      <c r="S30" s="103"/>
      <c r="T30" s="103"/>
      <c r="U30" s="103"/>
    </row>
    <row r="31" customFormat="false" ht="22.5" hidden="false" customHeight="true" outlineLevel="0" collapsed="false">
      <c r="A31" s="99"/>
      <c r="B31" s="99"/>
      <c r="C31" s="99"/>
      <c r="D31" s="121"/>
      <c r="E31" s="99"/>
      <c r="F31" s="124" t="str">
        <f aca="false">IF(E31="CONTADO", 4%, IF(E31="TARJETA / CHEQUE", 3%, IF(OR(E31="FINANCIADO", E31="MCP"), 2.5%, "")))</f>
        <v/>
      </c>
      <c r="G31" s="121" t="str">
        <f aca="false">IF(F31="", "", F31*D31)</f>
        <v/>
      </c>
      <c r="H31" s="132" t="b">
        <f aca="false">FALSE()</f>
        <v>0</v>
      </c>
      <c r="I31" s="132" t="b">
        <f aca="false">FALSE()</f>
        <v>0</v>
      </c>
      <c r="J31" s="126"/>
      <c r="K31" s="99"/>
      <c r="L31" s="83"/>
      <c r="M31" s="103"/>
      <c r="N31" s="103"/>
      <c r="O31" s="103"/>
      <c r="P31" s="103"/>
      <c r="Q31" s="103"/>
      <c r="R31" s="83"/>
      <c r="S31" s="103"/>
      <c r="T31" s="103"/>
      <c r="U31" s="103"/>
    </row>
    <row r="32" customFormat="false" ht="22.5" hidden="false" customHeight="true" outlineLevel="0" collapsed="false">
      <c r="A32" s="110"/>
      <c r="B32" s="110"/>
      <c r="C32" s="110"/>
      <c r="D32" s="122"/>
      <c r="E32" s="110"/>
      <c r="F32" s="128" t="str">
        <f aca="false">IF(E32="CONTADO", 4%, IF(E32="TARJETA / CHEQUE", 3%, IF(OR(E32="FINANCIADO", E32="MCP"), 2.5%, "")))</f>
        <v/>
      </c>
      <c r="G32" s="122" t="str">
        <f aca="false">IF(F32="", "", F32*D32)</f>
        <v/>
      </c>
      <c r="H32" s="131" t="b">
        <f aca="false">FALSE()</f>
        <v>0</v>
      </c>
      <c r="I32" s="131" t="b">
        <f aca="false">FALSE()</f>
        <v>0</v>
      </c>
      <c r="J32" s="130"/>
      <c r="K32" s="110"/>
      <c r="L32" s="83"/>
      <c r="M32" s="103"/>
      <c r="N32" s="103"/>
      <c r="O32" s="103"/>
      <c r="P32" s="103"/>
      <c r="Q32" s="103"/>
      <c r="R32" s="83"/>
      <c r="S32" s="103"/>
      <c r="T32" s="103"/>
      <c r="U32" s="103"/>
    </row>
    <row r="33" customFormat="false" ht="22.5" hidden="false" customHeight="true" outlineLevel="0" collapsed="false">
      <c r="A33" s="99"/>
      <c r="B33" s="99"/>
      <c r="C33" s="99"/>
      <c r="D33" s="121"/>
      <c r="E33" s="99"/>
      <c r="F33" s="124" t="str">
        <f aca="false">IF(E33="CONTADO", 4%, IF(E33="TARJETA / CHEQUE", 3%, IF(OR(E33="FINANCIADO", E33="MCP"), 2.5%, "")))</f>
        <v/>
      </c>
      <c r="G33" s="121" t="str">
        <f aca="false">IF(F33="", "", F33*D33)</f>
        <v/>
      </c>
      <c r="H33" s="132" t="b">
        <f aca="false">FALSE()</f>
        <v>0</v>
      </c>
      <c r="I33" s="132" t="b">
        <f aca="false">FALSE()</f>
        <v>0</v>
      </c>
      <c r="J33" s="126"/>
      <c r="K33" s="99"/>
      <c r="L33" s="83"/>
      <c r="M33" s="103"/>
      <c r="N33" s="103"/>
      <c r="O33" s="103"/>
      <c r="P33" s="103"/>
      <c r="Q33" s="103"/>
      <c r="R33" s="83"/>
      <c r="S33" s="103"/>
      <c r="T33" s="103"/>
      <c r="U33" s="103"/>
    </row>
    <row r="34" customFormat="false" ht="22.5" hidden="false" customHeight="true" outlineLevel="0" collapsed="false">
      <c r="A34" s="110"/>
      <c r="B34" s="110"/>
      <c r="C34" s="110"/>
      <c r="D34" s="122"/>
      <c r="E34" s="110"/>
      <c r="F34" s="128" t="str">
        <f aca="false">IF(E34="CONTADO", 4%, IF(E34="TARJETA / CHEQUE", 3%, IF(OR(E34="FINANCIADO", E34="MCP"), 2.5%, "")))</f>
        <v/>
      </c>
      <c r="G34" s="122" t="str">
        <f aca="false">IF(F34="", "", F34*D34)</f>
        <v/>
      </c>
      <c r="H34" s="131" t="b">
        <f aca="false">FALSE()</f>
        <v>0</v>
      </c>
      <c r="I34" s="131" t="b">
        <f aca="false">FALSE()</f>
        <v>0</v>
      </c>
      <c r="J34" s="130"/>
      <c r="K34" s="110"/>
      <c r="L34" s="83"/>
      <c r="M34" s="103"/>
      <c r="N34" s="103"/>
      <c r="O34" s="103"/>
      <c r="P34" s="103"/>
      <c r="Q34" s="103"/>
      <c r="R34" s="83"/>
      <c r="S34" s="103"/>
      <c r="T34" s="103"/>
      <c r="U34" s="103"/>
    </row>
    <row r="35" customFormat="false" ht="22.5" hidden="false" customHeight="true" outlineLevel="0" collapsed="false">
      <c r="A35" s="99"/>
      <c r="B35" s="99"/>
      <c r="C35" s="99"/>
      <c r="D35" s="121"/>
      <c r="E35" s="99"/>
      <c r="F35" s="124" t="str">
        <f aca="false">IF(E35="CONTADO", 4%, IF(E35="TARJETA / CHEQUE", 3%, IF(OR(E35="FINANCIADO", E35="MCP"), 2.5%, "")))</f>
        <v/>
      </c>
      <c r="G35" s="121" t="str">
        <f aca="false">IF(F35="", "", F35*D35)</f>
        <v/>
      </c>
      <c r="H35" s="132" t="b">
        <f aca="false">FALSE()</f>
        <v>0</v>
      </c>
      <c r="I35" s="132" t="b">
        <f aca="false">FALSE()</f>
        <v>0</v>
      </c>
      <c r="J35" s="126"/>
      <c r="K35" s="99"/>
      <c r="L35" s="83"/>
      <c r="M35" s="103"/>
      <c r="N35" s="103"/>
      <c r="O35" s="103"/>
      <c r="P35" s="103"/>
      <c r="Q35" s="103"/>
      <c r="R35" s="83"/>
      <c r="S35" s="103"/>
      <c r="T35" s="103"/>
      <c r="U35" s="103"/>
    </row>
    <row r="36" customFormat="false" ht="22.5" hidden="false" customHeight="true" outlineLevel="0" collapsed="false">
      <c r="A36" s="110"/>
      <c r="B36" s="110"/>
      <c r="C36" s="110"/>
      <c r="D36" s="122"/>
      <c r="E36" s="110"/>
      <c r="F36" s="128" t="str">
        <f aca="false">IF(E36="CONTADO", 4%, IF(E36="TARJETA / CHEQUE", 3%, IF(OR(E36="FINANCIADO", E36="MCP"), 2.5%, "")))</f>
        <v/>
      </c>
      <c r="G36" s="122" t="str">
        <f aca="false">IF(F36="", "", F36*D36)</f>
        <v/>
      </c>
      <c r="H36" s="131" t="b">
        <f aca="false">FALSE()</f>
        <v>0</v>
      </c>
      <c r="I36" s="131" t="b">
        <f aca="false">FALSE()</f>
        <v>0</v>
      </c>
      <c r="J36" s="130"/>
      <c r="K36" s="110"/>
      <c r="L36" s="83"/>
      <c r="M36" s="103"/>
      <c r="N36" s="103"/>
      <c r="O36" s="103"/>
      <c r="P36" s="103"/>
      <c r="Q36" s="103"/>
      <c r="R36" s="83"/>
      <c r="S36" s="103"/>
      <c r="T36" s="103"/>
      <c r="U36" s="103"/>
    </row>
    <row r="37" customFormat="false" ht="22.5" hidden="false" customHeight="true" outlineLevel="0" collapsed="false">
      <c r="A37" s="99"/>
      <c r="B37" s="99"/>
      <c r="C37" s="99"/>
      <c r="D37" s="121"/>
      <c r="E37" s="99"/>
      <c r="F37" s="124" t="str">
        <f aca="false">IF(E37="CONTADO", 4%, IF(E37="TARJETA / CHEQUE", 3%, IF(OR(E37="FINANCIADO", E37="MCP"), 2.5%, "")))</f>
        <v/>
      </c>
      <c r="G37" s="121" t="str">
        <f aca="false">IF(F37="", "", F37*D37)</f>
        <v/>
      </c>
      <c r="H37" s="132" t="b">
        <f aca="false">FALSE()</f>
        <v>0</v>
      </c>
      <c r="I37" s="132" t="b">
        <f aca="false">FALSE()</f>
        <v>0</v>
      </c>
      <c r="J37" s="126"/>
      <c r="K37" s="99"/>
      <c r="L37" s="83"/>
      <c r="M37" s="103"/>
      <c r="N37" s="103"/>
      <c r="O37" s="103"/>
      <c r="P37" s="103"/>
      <c r="Q37" s="103"/>
      <c r="R37" s="83"/>
      <c r="S37" s="103"/>
      <c r="T37" s="103"/>
      <c r="U37" s="103"/>
    </row>
    <row r="38" customFormat="false" ht="22.5" hidden="false" customHeight="true" outlineLevel="0" collapsed="false">
      <c r="A38" s="110"/>
      <c r="B38" s="110"/>
      <c r="C38" s="110"/>
      <c r="D38" s="122"/>
      <c r="E38" s="110"/>
      <c r="F38" s="128" t="str">
        <f aca="false">IF(E38="CONTADO", 4%, IF(E38="TARJETA / CHEQUE", 3%, IF(OR(E38="FINANCIADO", E38="MCP"), 2.5%, "")))</f>
        <v/>
      </c>
      <c r="G38" s="122" t="str">
        <f aca="false">IF(F38="", "", F38*D38)</f>
        <v/>
      </c>
      <c r="H38" s="131" t="b">
        <f aca="false">FALSE()</f>
        <v>0</v>
      </c>
      <c r="I38" s="131" t="b">
        <f aca="false">FALSE()</f>
        <v>0</v>
      </c>
      <c r="J38" s="130"/>
      <c r="K38" s="110"/>
      <c r="L38" s="83"/>
      <c r="M38" s="103"/>
      <c r="N38" s="103"/>
      <c r="O38" s="103"/>
      <c r="P38" s="103"/>
      <c r="Q38" s="103"/>
      <c r="R38" s="83"/>
      <c r="S38" s="103"/>
      <c r="T38" s="103"/>
      <c r="U38" s="103"/>
    </row>
    <row r="39" customFormat="false" ht="22.5" hidden="false" customHeight="true" outlineLevel="0" collapsed="false">
      <c r="A39" s="99"/>
      <c r="B39" s="99"/>
      <c r="C39" s="99"/>
      <c r="D39" s="121"/>
      <c r="E39" s="99"/>
      <c r="F39" s="124" t="str">
        <f aca="false">IF(E39="CONTADO", 4%, IF(E39="TARJETA / CHEQUE", 3%, IF(OR(E39="FINANCIADO", E39="MCP"), 2.5%, "")))</f>
        <v/>
      </c>
      <c r="G39" s="121" t="str">
        <f aca="false">IF(F39="", "", F39*D39)</f>
        <v/>
      </c>
      <c r="H39" s="132" t="b">
        <f aca="false">FALSE()</f>
        <v>0</v>
      </c>
      <c r="I39" s="132" t="b">
        <f aca="false">FALSE()</f>
        <v>0</v>
      </c>
      <c r="J39" s="126"/>
      <c r="K39" s="99"/>
      <c r="L39" s="83"/>
      <c r="M39" s="103"/>
      <c r="N39" s="103"/>
      <c r="O39" s="103"/>
      <c r="P39" s="103"/>
      <c r="Q39" s="103"/>
      <c r="R39" s="83"/>
      <c r="S39" s="103"/>
      <c r="T39" s="103"/>
      <c r="U39" s="103"/>
    </row>
    <row r="40" customFormat="false" ht="22.5" hidden="false" customHeight="true" outlineLevel="0" collapsed="false">
      <c r="A40" s="110"/>
      <c r="B40" s="110"/>
      <c r="C40" s="110"/>
      <c r="D40" s="122"/>
      <c r="E40" s="110"/>
      <c r="F40" s="128" t="str">
        <f aca="false">IF(E40="CONTADO", 4%, IF(E40="TARJETA / CHEQUE", 3%, IF(OR(E40="FINANCIADO", E40="MCP"), 2.5%, "")))</f>
        <v/>
      </c>
      <c r="G40" s="122" t="str">
        <f aca="false">IF(F40="", "", F40*D40)</f>
        <v/>
      </c>
      <c r="H40" s="131" t="b">
        <f aca="false">FALSE()</f>
        <v>0</v>
      </c>
      <c r="I40" s="131" t="b">
        <f aca="false">FALSE()</f>
        <v>0</v>
      </c>
      <c r="J40" s="130"/>
      <c r="K40" s="110"/>
      <c r="L40" s="83"/>
      <c r="M40" s="103"/>
      <c r="N40" s="103"/>
      <c r="O40" s="103"/>
      <c r="P40" s="103"/>
      <c r="Q40" s="103"/>
      <c r="R40" s="83"/>
      <c r="S40" s="103"/>
      <c r="T40" s="103"/>
      <c r="U40" s="103"/>
    </row>
    <row r="41" customFormat="false" ht="22.5" hidden="false" customHeight="true" outlineLevel="0" collapsed="false">
      <c r="A41" s="99"/>
      <c r="B41" s="99"/>
      <c r="C41" s="99"/>
      <c r="D41" s="121"/>
      <c r="E41" s="99"/>
      <c r="F41" s="124" t="str">
        <f aca="false">IF(E41="CONTADO", 4%, IF(E41="TARJETA / CHEQUE", 3%, IF(OR(E41="FINANCIADO", E41="MCP"), 2.5%, "")))</f>
        <v/>
      </c>
      <c r="G41" s="121" t="str">
        <f aca="false">IF(F41="", "", F41*D41)</f>
        <v/>
      </c>
      <c r="H41" s="132" t="b">
        <f aca="false">FALSE()</f>
        <v>0</v>
      </c>
      <c r="I41" s="132" t="b">
        <f aca="false">FALSE()</f>
        <v>0</v>
      </c>
      <c r="J41" s="126"/>
      <c r="K41" s="99"/>
      <c r="L41" s="83"/>
      <c r="M41" s="103"/>
      <c r="N41" s="103"/>
      <c r="O41" s="103"/>
      <c r="P41" s="103"/>
      <c r="Q41" s="103"/>
      <c r="R41" s="83"/>
      <c r="S41" s="103"/>
      <c r="T41" s="103"/>
      <c r="U41" s="103"/>
    </row>
    <row r="42" customFormat="false" ht="22.5" hidden="false" customHeight="true" outlineLevel="0" collapsed="false">
      <c r="A42" s="110"/>
      <c r="B42" s="110"/>
      <c r="C42" s="110"/>
      <c r="D42" s="122"/>
      <c r="E42" s="110"/>
      <c r="F42" s="128" t="str">
        <f aca="false">IF(E42="CONTADO", 4%, IF(E42="TARJETA / CHEQUE", 3%, IF(OR(E42="FINANCIADO", E42="MCP"), 2.5%, "")))</f>
        <v/>
      </c>
      <c r="G42" s="122" t="str">
        <f aca="false">IF(F42="", "", F42*D42)</f>
        <v/>
      </c>
      <c r="H42" s="131" t="b">
        <f aca="false">FALSE()</f>
        <v>0</v>
      </c>
      <c r="I42" s="131" t="b">
        <f aca="false">FALSE()</f>
        <v>0</v>
      </c>
      <c r="J42" s="130"/>
      <c r="K42" s="110"/>
      <c r="L42" s="83"/>
      <c r="M42" s="103"/>
      <c r="N42" s="103"/>
      <c r="O42" s="103"/>
      <c r="P42" s="103"/>
      <c r="Q42" s="103"/>
      <c r="R42" s="83"/>
      <c r="S42" s="103"/>
      <c r="T42" s="103"/>
      <c r="U42" s="103"/>
    </row>
    <row r="43" customFormat="false" ht="22.5" hidden="false" customHeight="true" outlineLevel="0" collapsed="false">
      <c r="A43" s="99"/>
      <c r="B43" s="99"/>
      <c r="C43" s="99"/>
      <c r="D43" s="121"/>
      <c r="E43" s="99"/>
      <c r="F43" s="124" t="str">
        <f aca="false">IF(E43="CONTADO", 4%, IF(E43="TARJETA / CHEQUE", 3%, IF(OR(E43="FINANCIADO", E43="MCP"), 2.5%, "")))</f>
        <v/>
      </c>
      <c r="G43" s="121" t="str">
        <f aca="false">IF(F43="", "", F43*D43)</f>
        <v/>
      </c>
      <c r="H43" s="132" t="b">
        <f aca="false">FALSE()</f>
        <v>0</v>
      </c>
      <c r="I43" s="132" t="b">
        <f aca="false">FALSE()</f>
        <v>0</v>
      </c>
      <c r="J43" s="126"/>
      <c r="K43" s="99"/>
      <c r="L43" s="83"/>
      <c r="M43" s="103"/>
      <c r="N43" s="103"/>
      <c r="O43" s="103"/>
      <c r="P43" s="103"/>
      <c r="Q43" s="103"/>
      <c r="R43" s="83"/>
      <c r="S43" s="103"/>
      <c r="T43" s="103"/>
      <c r="U43" s="103"/>
    </row>
    <row r="44" customFormat="false" ht="22.5" hidden="false" customHeight="true" outlineLevel="0" collapsed="false">
      <c r="A44" s="110"/>
      <c r="B44" s="110"/>
      <c r="C44" s="110"/>
      <c r="D44" s="122"/>
      <c r="E44" s="110"/>
      <c r="F44" s="128" t="str">
        <f aca="false">IF(E44="CONTADO", 4%, IF(E44="TARJETA / CHEQUE", 3%, IF(OR(E44="FINANCIADO", E44="MCP"), 2.5%, "")))</f>
        <v/>
      </c>
      <c r="G44" s="122" t="str">
        <f aca="false">IF(F44="", "", F44*D44)</f>
        <v/>
      </c>
      <c r="H44" s="131" t="b">
        <f aca="false">FALSE()</f>
        <v>0</v>
      </c>
      <c r="I44" s="131" t="b">
        <f aca="false">FALSE()</f>
        <v>0</v>
      </c>
      <c r="J44" s="130"/>
      <c r="K44" s="110"/>
      <c r="L44" s="83"/>
      <c r="M44" s="103"/>
      <c r="N44" s="103"/>
      <c r="O44" s="103"/>
      <c r="P44" s="103"/>
      <c r="Q44" s="103"/>
      <c r="R44" s="83"/>
      <c r="S44" s="103"/>
      <c r="T44" s="103"/>
      <c r="U44" s="103"/>
    </row>
    <row r="45" customFormat="false" ht="22.5" hidden="false" customHeight="true" outlineLevel="0" collapsed="false">
      <c r="A45" s="99"/>
      <c r="B45" s="99"/>
      <c r="C45" s="99"/>
      <c r="D45" s="121"/>
      <c r="E45" s="99"/>
      <c r="F45" s="124" t="str">
        <f aca="false">IF(E45="CONTADO", 4%, IF(E45="TARJETA / CHEQUE", 3%, IF(OR(E45="FINANCIADO", E45="MCP"), 2.5%, "")))</f>
        <v/>
      </c>
      <c r="G45" s="121" t="str">
        <f aca="false">IF(F45="", "", F45*D45)</f>
        <v/>
      </c>
      <c r="H45" s="132" t="b">
        <f aca="false">FALSE()</f>
        <v>0</v>
      </c>
      <c r="I45" s="132" t="b">
        <f aca="false">FALSE()</f>
        <v>0</v>
      </c>
      <c r="J45" s="126"/>
      <c r="K45" s="99"/>
      <c r="L45" s="83"/>
      <c r="M45" s="103"/>
      <c r="N45" s="103"/>
      <c r="O45" s="103"/>
      <c r="P45" s="103"/>
      <c r="Q45" s="103"/>
      <c r="R45" s="83"/>
      <c r="S45" s="103"/>
      <c r="T45" s="103"/>
      <c r="U45" s="103"/>
    </row>
    <row r="46" customFormat="false" ht="22.5" hidden="false" customHeight="true" outlineLevel="0" collapsed="false">
      <c r="A46" s="110"/>
      <c r="B46" s="110"/>
      <c r="C46" s="110"/>
      <c r="D46" s="122"/>
      <c r="E46" s="110"/>
      <c r="F46" s="128" t="str">
        <f aca="false">IF(E46="CONTADO", 4%, IF(E46="TARJETA / CHEQUE", 3%, IF(OR(E46="FINANCIADO", E46="MCP"), 2.5%, "")))</f>
        <v/>
      </c>
      <c r="G46" s="122" t="str">
        <f aca="false">IF(F46="", "", F46*D46)</f>
        <v/>
      </c>
      <c r="H46" s="131" t="b">
        <f aca="false">FALSE()</f>
        <v>0</v>
      </c>
      <c r="I46" s="131" t="b">
        <f aca="false">FALSE()</f>
        <v>0</v>
      </c>
      <c r="J46" s="130"/>
      <c r="K46" s="110"/>
      <c r="L46" s="83"/>
      <c r="M46" s="103"/>
      <c r="N46" s="103"/>
      <c r="O46" s="103"/>
      <c r="P46" s="103"/>
      <c r="Q46" s="103"/>
      <c r="R46" s="83"/>
      <c r="S46" s="103"/>
      <c r="T46" s="103"/>
      <c r="U46" s="103"/>
    </row>
    <row r="47" customFormat="false" ht="22.5" hidden="false" customHeight="true" outlineLevel="0" collapsed="false">
      <c r="A47" s="99"/>
      <c r="B47" s="99"/>
      <c r="C47" s="99"/>
      <c r="D47" s="121"/>
      <c r="E47" s="99"/>
      <c r="F47" s="124" t="str">
        <f aca="false">IF(E47="CONTADO", 4%, IF(E47="TARJETA / CHEQUE", 3%, IF(OR(E47="FINANCIADO", E47="MCP"), 2.5%, "")))</f>
        <v/>
      </c>
      <c r="G47" s="121" t="str">
        <f aca="false">IF(F47="", "", F47*D47)</f>
        <v/>
      </c>
      <c r="H47" s="132" t="b">
        <f aca="false">FALSE()</f>
        <v>0</v>
      </c>
      <c r="I47" s="132" t="b">
        <f aca="false">FALSE()</f>
        <v>0</v>
      </c>
      <c r="J47" s="126"/>
      <c r="K47" s="99"/>
      <c r="L47" s="83"/>
      <c r="M47" s="103"/>
      <c r="N47" s="103"/>
      <c r="O47" s="103"/>
      <c r="P47" s="103"/>
      <c r="Q47" s="103"/>
      <c r="R47" s="83"/>
      <c r="S47" s="103"/>
      <c r="T47" s="103"/>
      <c r="U47" s="103"/>
    </row>
    <row r="48" customFormat="false" ht="22.5" hidden="false" customHeight="true" outlineLevel="0" collapsed="false">
      <c r="A48" s="110"/>
      <c r="B48" s="110"/>
      <c r="C48" s="110"/>
      <c r="D48" s="122"/>
      <c r="E48" s="110"/>
      <c r="F48" s="128" t="str">
        <f aca="false">IF(E48="CONTADO", 4%, IF(E48="TARJETA / CHEQUE", 3%, IF(OR(E48="FINANCIADO", E48="MCP"), 2.5%, "")))</f>
        <v/>
      </c>
      <c r="G48" s="122" t="str">
        <f aca="false">IF(F48="", "", F48*D48)</f>
        <v/>
      </c>
      <c r="H48" s="131" t="b">
        <f aca="false">FALSE()</f>
        <v>0</v>
      </c>
      <c r="I48" s="131" t="b">
        <f aca="false">FALSE()</f>
        <v>0</v>
      </c>
      <c r="J48" s="130"/>
      <c r="K48" s="110"/>
      <c r="L48" s="83"/>
      <c r="M48" s="103"/>
      <c r="N48" s="103"/>
      <c r="O48" s="103"/>
      <c r="P48" s="103"/>
      <c r="Q48" s="103"/>
      <c r="R48" s="83"/>
      <c r="S48" s="103"/>
      <c r="T48" s="103"/>
      <c r="U48" s="103"/>
    </row>
    <row r="49" customFormat="false" ht="22.5" hidden="false" customHeight="true" outlineLevel="0" collapsed="false">
      <c r="A49" s="99"/>
      <c r="B49" s="99"/>
      <c r="C49" s="99"/>
      <c r="D49" s="121"/>
      <c r="E49" s="99"/>
      <c r="F49" s="124" t="str">
        <f aca="false">IF(E49="CONTADO", 4%, IF(E49="TARJETA / CHEQUE", 3%, IF(OR(E49="FINANCIADO", E49="MCP"), 2.5%, "")))</f>
        <v/>
      </c>
      <c r="G49" s="121" t="str">
        <f aca="false">IF(F49="", "", F49*D49)</f>
        <v/>
      </c>
      <c r="H49" s="132" t="b">
        <f aca="false">FALSE()</f>
        <v>0</v>
      </c>
      <c r="I49" s="132" t="b">
        <f aca="false">FALSE()</f>
        <v>0</v>
      </c>
      <c r="J49" s="126"/>
      <c r="K49" s="99"/>
      <c r="L49" s="83"/>
      <c r="M49" s="103"/>
      <c r="N49" s="103"/>
      <c r="O49" s="103"/>
      <c r="P49" s="103"/>
      <c r="Q49" s="103"/>
      <c r="R49" s="83"/>
      <c r="S49" s="103"/>
      <c r="T49" s="103"/>
      <c r="U49" s="103"/>
    </row>
    <row r="50" customFormat="false" ht="22.5" hidden="false" customHeight="true" outlineLevel="0" collapsed="false">
      <c r="A50" s="110"/>
      <c r="B50" s="110"/>
      <c r="C50" s="110"/>
      <c r="D50" s="122"/>
      <c r="E50" s="110"/>
      <c r="F50" s="128" t="str">
        <f aca="false">IF(E50="CONTADO", 4%, IF(E50="TARJETA / CHEQUE", 3%, IF(OR(E50="FINANCIADO", E50="MCP"), 2.5%, "")))</f>
        <v/>
      </c>
      <c r="G50" s="122" t="str">
        <f aca="false">IF(F50="", "", F50*D50)</f>
        <v/>
      </c>
      <c r="H50" s="131" t="b">
        <f aca="false">FALSE()</f>
        <v>0</v>
      </c>
      <c r="I50" s="131" t="b">
        <f aca="false">FALSE()</f>
        <v>0</v>
      </c>
      <c r="J50" s="130"/>
      <c r="K50" s="110"/>
      <c r="L50" s="83"/>
      <c r="M50" s="103"/>
      <c r="N50" s="103"/>
      <c r="O50" s="103"/>
      <c r="P50" s="103"/>
      <c r="Q50" s="103"/>
      <c r="R50" s="83"/>
      <c r="S50" s="103"/>
      <c r="T50" s="103"/>
      <c r="U50" s="103"/>
    </row>
    <row r="51" customFormat="false" ht="22.5" hidden="false" customHeight="true" outlineLevel="0" collapsed="false">
      <c r="A51" s="99"/>
      <c r="B51" s="99"/>
      <c r="C51" s="99"/>
      <c r="D51" s="121"/>
      <c r="E51" s="99"/>
      <c r="F51" s="124" t="str">
        <f aca="false">IF(E51="CONTADO", 4%, IF(E51="TARJETA / CHEQUE", 3%, IF(OR(E51="FINANCIADO", E51="MCP"), 2.5%, "")))</f>
        <v/>
      </c>
      <c r="G51" s="121" t="str">
        <f aca="false">IF(F51="", "", F51*D51)</f>
        <v/>
      </c>
      <c r="H51" s="132" t="b">
        <f aca="false">FALSE()</f>
        <v>0</v>
      </c>
      <c r="I51" s="132" t="b">
        <f aca="false">FALSE()</f>
        <v>0</v>
      </c>
      <c r="J51" s="126"/>
      <c r="K51" s="99"/>
      <c r="L51" s="83"/>
      <c r="M51" s="103"/>
      <c r="N51" s="103"/>
      <c r="O51" s="103"/>
      <c r="P51" s="103"/>
      <c r="Q51" s="103"/>
      <c r="R51" s="83"/>
      <c r="S51" s="103"/>
      <c r="T51" s="103"/>
      <c r="U51" s="103"/>
    </row>
    <row r="52" customFormat="false" ht="22.5" hidden="false" customHeight="true" outlineLevel="0" collapsed="false">
      <c r="A52" s="110"/>
      <c r="B52" s="110"/>
      <c r="C52" s="110"/>
      <c r="D52" s="122"/>
      <c r="E52" s="110"/>
      <c r="F52" s="128" t="str">
        <f aca="false">IF(E52="CONTADO", 4%, IF(E52="TARJETA / CHEQUE", 3%, IF(OR(E52="FINANCIADO", E52="MCP"), 2.5%, "")))</f>
        <v/>
      </c>
      <c r="G52" s="122" t="str">
        <f aca="false">IF(F52="", "", F52*D52)</f>
        <v/>
      </c>
      <c r="H52" s="131" t="b">
        <f aca="false">FALSE()</f>
        <v>0</v>
      </c>
      <c r="I52" s="131" t="b">
        <f aca="false">FALSE()</f>
        <v>0</v>
      </c>
      <c r="J52" s="130"/>
      <c r="K52" s="110"/>
      <c r="L52" s="83"/>
      <c r="M52" s="103"/>
      <c r="N52" s="103"/>
      <c r="O52" s="103"/>
      <c r="P52" s="103"/>
      <c r="Q52" s="103"/>
      <c r="R52" s="83"/>
      <c r="S52" s="103"/>
      <c r="T52" s="103"/>
      <c r="U52" s="103"/>
    </row>
    <row r="53" customFormat="false" ht="22.5" hidden="false" customHeight="true" outlineLevel="0" collapsed="false">
      <c r="A53" s="99"/>
      <c r="B53" s="99"/>
      <c r="C53" s="99"/>
      <c r="D53" s="121"/>
      <c r="E53" s="99"/>
      <c r="F53" s="124" t="str">
        <f aca="false">IF(E53="CONTADO", 4%, IF(E53="TARJETA / CHEQUE", 3%, IF(OR(E53="FINANCIADO", E53="MCP"), 2.5%, "")))</f>
        <v/>
      </c>
      <c r="G53" s="121" t="str">
        <f aca="false">IF(F53="", "", F53*D53)</f>
        <v/>
      </c>
      <c r="H53" s="132" t="b">
        <f aca="false">FALSE()</f>
        <v>0</v>
      </c>
      <c r="I53" s="132" t="b">
        <f aca="false">FALSE()</f>
        <v>0</v>
      </c>
      <c r="J53" s="126"/>
      <c r="K53" s="99"/>
      <c r="L53" s="83"/>
      <c r="M53" s="103"/>
      <c r="N53" s="103"/>
      <c r="O53" s="103"/>
      <c r="P53" s="103"/>
      <c r="Q53" s="103"/>
      <c r="R53" s="83"/>
      <c r="S53" s="103"/>
      <c r="T53" s="103"/>
      <c r="U53" s="103"/>
    </row>
    <row r="54" customFormat="false" ht="22.5" hidden="false" customHeight="true" outlineLevel="0" collapsed="false">
      <c r="A54" s="110"/>
      <c r="B54" s="110"/>
      <c r="C54" s="110"/>
      <c r="D54" s="122"/>
      <c r="E54" s="110"/>
      <c r="F54" s="128" t="str">
        <f aca="false">IF(E54="CONTADO", 4%, IF(E54="TARJETA / CHEQUE", 3%, IF(OR(E54="FINANCIADO", E54="MCP"), 2.5%, "")))</f>
        <v/>
      </c>
      <c r="G54" s="122" t="str">
        <f aca="false">IF(F54="", "", F54*D54)</f>
        <v/>
      </c>
      <c r="H54" s="131" t="b">
        <f aca="false">FALSE()</f>
        <v>0</v>
      </c>
      <c r="I54" s="131" t="b">
        <f aca="false">FALSE()</f>
        <v>0</v>
      </c>
      <c r="J54" s="130"/>
      <c r="K54" s="110"/>
      <c r="L54" s="83"/>
      <c r="M54" s="103"/>
      <c r="N54" s="103"/>
      <c r="O54" s="103"/>
      <c r="P54" s="103"/>
      <c r="Q54" s="103"/>
      <c r="R54" s="83"/>
      <c r="S54" s="103"/>
      <c r="T54" s="103"/>
      <c r="U54" s="103"/>
    </row>
    <row r="55" customFormat="false" ht="22.5" hidden="false" customHeight="true" outlineLevel="0" collapsed="false">
      <c r="A55" s="99"/>
      <c r="B55" s="99"/>
      <c r="C55" s="99"/>
      <c r="D55" s="121"/>
      <c r="E55" s="99"/>
      <c r="F55" s="124" t="str">
        <f aca="false">IF(E55="CONTADO", 4%, IF(E55="TARJETA / CHEQUE", 3%, IF(OR(E55="FINANCIADO", E55="MCP"), 2.5%, "")))</f>
        <v/>
      </c>
      <c r="G55" s="121" t="str">
        <f aca="false">IF(F55="", "", F55*D55)</f>
        <v/>
      </c>
      <c r="H55" s="132" t="b">
        <f aca="false">FALSE()</f>
        <v>0</v>
      </c>
      <c r="I55" s="132" t="b">
        <f aca="false">FALSE()</f>
        <v>0</v>
      </c>
      <c r="J55" s="126"/>
      <c r="K55" s="99"/>
      <c r="L55" s="83"/>
      <c r="M55" s="103"/>
      <c r="N55" s="103"/>
      <c r="O55" s="103"/>
      <c r="P55" s="103"/>
      <c r="Q55" s="103"/>
      <c r="R55" s="83"/>
      <c r="S55" s="103"/>
      <c r="T55" s="103"/>
      <c r="U55" s="103"/>
    </row>
    <row r="56" customFormat="false" ht="22.5" hidden="false" customHeight="true" outlineLevel="0" collapsed="false">
      <c r="A56" s="110"/>
      <c r="B56" s="110"/>
      <c r="C56" s="110"/>
      <c r="D56" s="122"/>
      <c r="E56" s="110"/>
      <c r="F56" s="128" t="str">
        <f aca="false">IF(E56="CONTADO", 4%, IF(E56="TARJETA / CHEQUE", 3%, IF(OR(E56="FINANCIADO", E56="MCP"), 2.5%, "")))</f>
        <v/>
      </c>
      <c r="G56" s="122" t="str">
        <f aca="false">IF(F56="", "", F56*D56)</f>
        <v/>
      </c>
      <c r="H56" s="131" t="b">
        <f aca="false">FALSE()</f>
        <v>0</v>
      </c>
      <c r="I56" s="131" t="b">
        <f aca="false">FALSE()</f>
        <v>0</v>
      </c>
      <c r="J56" s="130"/>
      <c r="K56" s="110"/>
      <c r="L56" s="83"/>
      <c r="M56" s="103"/>
      <c r="N56" s="103"/>
      <c r="O56" s="103"/>
      <c r="P56" s="103"/>
      <c r="Q56" s="103"/>
      <c r="R56" s="83"/>
      <c r="S56" s="103"/>
      <c r="T56" s="103"/>
      <c r="U56" s="103"/>
    </row>
    <row r="57" customFormat="false" ht="22.5" hidden="false" customHeight="true" outlineLevel="0" collapsed="false">
      <c r="A57" s="99"/>
      <c r="B57" s="99"/>
      <c r="C57" s="99"/>
      <c r="D57" s="121"/>
      <c r="E57" s="99"/>
      <c r="F57" s="124" t="str">
        <f aca="false">IF(E57="CONTADO", 4%, IF(E57="TARJETA / CHEQUE", 3%, IF(OR(E57="FINANCIADO", E57="MCP"), 2.5%, "")))</f>
        <v/>
      </c>
      <c r="G57" s="121" t="str">
        <f aca="false">IF(F57="", "", F57*D57)</f>
        <v/>
      </c>
      <c r="H57" s="132" t="b">
        <f aca="false">FALSE()</f>
        <v>0</v>
      </c>
      <c r="I57" s="132" t="b">
        <f aca="false">FALSE()</f>
        <v>0</v>
      </c>
      <c r="J57" s="126"/>
      <c r="K57" s="99"/>
      <c r="L57" s="83"/>
      <c r="M57" s="103"/>
      <c r="N57" s="103"/>
      <c r="O57" s="103"/>
      <c r="P57" s="103"/>
      <c r="Q57" s="103"/>
      <c r="R57" s="83"/>
      <c r="S57" s="103"/>
      <c r="T57" s="103"/>
      <c r="U57" s="103"/>
    </row>
    <row r="58" customFormat="false" ht="22.5" hidden="false" customHeight="true" outlineLevel="0" collapsed="false">
      <c r="A58" s="110"/>
      <c r="B58" s="110"/>
      <c r="C58" s="110"/>
      <c r="D58" s="122"/>
      <c r="E58" s="110"/>
      <c r="F58" s="128" t="str">
        <f aca="false">IF(E58="CONTADO", 4%, IF(E58="TARJETA / CHEQUE", 3%, IF(OR(E58="FINANCIADO", E58="MCP"), 2.5%, "")))</f>
        <v/>
      </c>
      <c r="G58" s="122" t="str">
        <f aca="false">IF(F58="", "", F58*D58)</f>
        <v/>
      </c>
      <c r="H58" s="131" t="b">
        <f aca="false">FALSE()</f>
        <v>0</v>
      </c>
      <c r="I58" s="131" t="b">
        <f aca="false">FALSE()</f>
        <v>0</v>
      </c>
      <c r="J58" s="130"/>
      <c r="K58" s="110"/>
      <c r="L58" s="83"/>
      <c r="M58" s="103"/>
      <c r="N58" s="103"/>
      <c r="O58" s="103"/>
      <c r="P58" s="103"/>
      <c r="Q58" s="103"/>
      <c r="R58" s="83"/>
      <c r="S58" s="103"/>
      <c r="T58" s="103"/>
      <c r="U58" s="103"/>
    </row>
    <row r="59" customFormat="false" ht="22.5" hidden="false" customHeight="true" outlineLevel="0" collapsed="false">
      <c r="A59" s="99"/>
      <c r="B59" s="99"/>
      <c r="C59" s="99"/>
      <c r="D59" s="121"/>
      <c r="E59" s="99"/>
      <c r="F59" s="124" t="str">
        <f aca="false">IF(E59="CONTADO", 4%, IF(E59="TARJETA / CHEQUE", 3%, IF(OR(E59="FINANCIADO", E59="MCP"), 2.5%, "")))</f>
        <v/>
      </c>
      <c r="G59" s="121" t="str">
        <f aca="false">IF(F59="", "", F59*D59)</f>
        <v/>
      </c>
      <c r="H59" s="132" t="b">
        <f aca="false">FALSE()</f>
        <v>0</v>
      </c>
      <c r="I59" s="132" t="b">
        <f aca="false">FALSE()</f>
        <v>0</v>
      </c>
      <c r="J59" s="126"/>
      <c r="K59" s="99"/>
      <c r="L59" s="83"/>
      <c r="M59" s="103"/>
      <c r="N59" s="103"/>
      <c r="O59" s="103"/>
      <c r="P59" s="103"/>
      <c r="Q59" s="103"/>
      <c r="R59" s="83"/>
      <c r="S59" s="103"/>
      <c r="T59" s="103"/>
      <c r="U59" s="103"/>
    </row>
    <row r="60" customFormat="false" ht="22.5" hidden="false" customHeight="true" outlineLevel="0" collapsed="false">
      <c r="A60" s="110"/>
      <c r="B60" s="110"/>
      <c r="C60" s="110"/>
      <c r="D60" s="122"/>
      <c r="E60" s="110"/>
      <c r="F60" s="128" t="str">
        <f aca="false">IF(E60="CONTADO", 4%, IF(E60="TARJETA / CHEQUE", 3%, IF(OR(E60="FINANCIADO", E60="MCP"), 2.5%, "")))</f>
        <v/>
      </c>
      <c r="G60" s="122" t="str">
        <f aca="false">IF(F60="", "", F60*D60)</f>
        <v/>
      </c>
      <c r="H60" s="131" t="b">
        <f aca="false">FALSE()</f>
        <v>0</v>
      </c>
      <c r="I60" s="131" t="b">
        <f aca="false">FALSE()</f>
        <v>0</v>
      </c>
      <c r="J60" s="130"/>
      <c r="K60" s="110"/>
      <c r="L60" s="83"/>
      <c r="M60" s="103"/>
      <c r="N60" s="103"/>
      <c r="O60" s="103"/>
      <c r="P60" s="103"/>
      <c r="Q60" s="103"/>
      <c r="R60" s="83"/>
      <c r="S60" s="103"/>
      <c r="T60" s="103"/>
      <c r="U60" s="103"/>
    </row>
    <row r="61" customFormat="false" ht="22.5" hidden="false" customHeight="true" outlineLevel="0" collapsed="false">
      <c r="A61" s="99"/>
      <c r="B61" s="99"/>
      <c r="C61" s="99"/>
      <c r="D61" s="121"/>
      <c r="E61" s="99"/>
      <c r="F61" s="124" t="str">
        <f aca="false">IF(E61="CONTADO", 4%, IF(E61="TARJETA / CHEQUE", 3%, IF(OR(E61="FINANCIADO", E61="MCP"), 2.5%, "")))</f>
        <v/>
      </c>
      <c r="G61" s="121" t="str">
        <f aca="false">IF(F61="", "", F61*D61)</f>
        <v/>
      </c>
      <c r="H61" s="132" t="b">
        <f aca="false">FALSE()</f>
        <v>0</v>
      </c>
      <c r="I61" s="132" t="b">
        <f aca="false">FALSE()</f>
        <v>0</v>
      </c>
      <c r="J61" s="126"/>
      <c r="K61" s="99"/>
      <c r="L61" s="83"/>
      <c r="M61" s="103"/>
      <c r="N61" s="103"/>
      <c r="O61" s="103"/>
      <c r="P61" s="103"/>
      <c r="Q61" s="103"/>
      <c r="R61" s="83"/>
      <c r="S61" s="103"/>
      <c r="T61" s="103"/>
      <c r="U61" s="103"/>
    </row>
    <row r="62" customFormat="false" ht="22.5" hidden="false" customHeight="true" outlineLevel="0" collapsed="false">
      <c r="A62" s="110"/>
      <c r="B62" s="110"/>
      <c r="C62" s="110"/>
      <c r="D62" s="122"/>
      <c r="E62" s="110"/>
      <c r="F62" s="128" t="str">
        <f aca="false">IF(E62="CONTADO", 4%, IF(E62="TARJETA / CHEQUE", 3%, IF(OR(E62="FINANCIADO", E62="MCP"), 2.5%, "")))</f>
        <v/>
      </c>
      <c r="G62" s="122" t="str">
        <f aca="false">IF(F62="", "", F62*D62)</f>
        <v/>
      </c>
      <c r="H62" s="131" t="b">
        <f aca="false">FALSE()</f>
        <v>0</v>
      </c>
      <c r="I62" s="131" t="b">
        <f aca="false">FALSE()</f>
        <v>0</v>
      </c>
      <c r="J62" s="130"/>
      <c r="K62" s="110"/>
      <c r="L62" s="83"/>
      <c r="M62" s="103"/>
      <c r="N62" s="103"/>
      <c r="O62" s="103"/>
      <c r="P62" s="103"/>
      <c r="Q62" s="103"/>
      <c r="R62" s="83"/>
      <c r="S62" s="103"/>
      <c r="T62" s="103"/>
      <c r="U62" s="103"/>
    </row>
    <row r="63" customFormat="false" ht="22.5" hidden="false" customHeight="true" outlineLevel="0" collapsed="false">
      <c r="A63" s="99"/>
      <c r="B63" s="99"/>
      <c r="C63" s="99"/>
      <c r="D63" s="121"/>
      <c r="E63" s="99"/>
      <c r="F63" s="124" t="str">
        <f aca="false">IF(E63="CONTADO", 4%, IF(E63="TARJETA / CHEQUE", 3%, IF(OR(E63="FINANCIADO", E63="MCP"), 2.5%, "")))</f>
        <v/>
      </c>
      <c r="G63" s="121" t="str">
        <f aca="false">IF(F63="", "", F63*D63)</f>
        <v/>
      </c>
      <c r="H63" s="132" t="b">
        <f aca="false">FALSE()</f>
        <v>0</v>
      </c>
      <c r="I63" s="132" t="b">
        <f aca="false">FALSE()</f>
        <v>0</v>
      </c>
      <c r="J63" s="126"/>
      <c r="K63" s="99"/>
      <c r="L63" s="83"/>
      <c r="M63" s="103"/>
      <c r="N63" s="103"/>
      <c r="O63" s="103"/>
      <c r="P63" s="103"/>
      <c r="Q63" s="103"/>
      <c r="R63" s="83"/>
      <c r="S63" s="103"/>
      <c r="T63" s="103"/>
      <c r="U63" s="103"/>
    </row>
    <row r="64" customFormat="false" ht="22.5" hidden="false" customHeight="true" outlineLevel="0" collapsed="false">
      <c r="A64" s="110"/>
      <c r="B64" s="110"/>
      <c r="C64" s="110"/>
      <c r="D64" s="122"/>
      <c r="E64" s="110"/>
      <c r="F64" s="128" t="str">
        <f aca="false">IF(E64="CONTADO", 4%, IF(E64="TARJETA / CHEQUE", 3%, IF(OR(E64="FINANCIADO", E64="MCP"), 2.5%, "")))</f>
        <v/>
      </c>
      <c r="G64" s="122" t="str">
        <f aca="false">IF(F64="", "", F64*D64)</f>
        <v/>
      </c>
      <c r="H64" s="131" t="b">
        <f aca="false">FALSE()</f>
        <v>0</v>
      </c>
      <c r="I64" s="131" t="b">
        <f aca="false">FALSE()</f>
        <v>0</v>
      </c>
      <c r="J64" s="130"/>
      <c r="K64" s="110"/>
      <c r="L64" s="83"/>
      <c r="M64" s="103"/>
      <c r="N64" s="103"/>
      <c r="O64" s="103"/>
      <c r="P64" s="103"/>
      <c r="Q64" s="103"/>
      <c r="R64" s="83"/>
      <c r="S64" s="103"/>
      <c r="T64" s="103"/>
      <c r="U64" s="103"/>
    </row>
    <row r="65" customFormat="false" ht="22.5" hidden="false" customHeight="true" outlineLevel="0" collapsed="false">
      <c r="A65" s="99"/>
      <c r="B65" s="99"/>
      <c r="C65" s="99"/>
      <c r="D65" s="121"/>
      <c r="E65" s="99"/>
      <c r="F65" s="124" t="str">
        <f aca="false">IF(E65="CONTADO", 4%, IF(E65="TARJETA / CHEQUE", 3%, IF(OR(E65="FINANCIADO", E65="MCP"), 2.5%, "")))</f>
        <v/>
      </c>
      <c r="G65" s="121" t="str">
        <f aca="false">IF(F65="", "", F65*D65)</f>
        <v/>
      </c>
      <c r="H65" s="132" t="b">
        <f aca="false">FALSE()</f>
        <v>0</v>
      </c>
      <c r="I65" s="132" t="b">
        <f aca="false">FALSE()</f>
        <v>0</v>
      </c>
      <c r="J65" s="126"/>
      <c r="K65" s="99"/>
      <c r="L65" s="83"/>
      <c r="M65" s="103"/>
      <c r="N65" s="103"/>
      <c r="O65" s="103"/>
      <c r="P65" s="103"/>
      <c r="Q65" s="103"/>
      <c r="R65" s="83"/>
      <c r="S65" s="103"/>
      <c r="T65" s="103"/>
      <c r="U65" s="103"/>
    </row>
    <row r="66" customFormat="false" ht="22.5" hidden="false" customHeight="true" outlineLevel="0" collapsed="false">
      <c r="A66" s="110"/>
      <c r="B66" s="110"/>
      <c r="C66" s="110"/>
      <c r="D66" s="122"/>
      <c r="E66" s="110"/>
      <c r="F66" s="128" t="str">
        <f aca="false">IF(E66="CONTADO", 4%, IF(E66="TARJETA / CHEQUE", 3%, IF(OR(E66="FINANCIADO", E66="MCP"), 2.5%, "")))</f>
        <v/>
      </c>
      <c r="G66" s="122" t="str">
        <f aca="false">IF(F66="", "", F66*D66)</f>
        <v/>
      </c>
      <c r="H66" s="131" t="b">
        <f aca="false">FALSE()</f>
        <v>0</v>
      </c>
      <c r="I66" s="131" t="b">
        <f aca="false">FALSE()</f>
        <v>0</v>
      </c>
      <c r="J66" s="130"/>
      <c r="K66" s="110"/>
      <c r="L66" s="83"/>
      <c r="M66" s="103"/>
      <c r="N66" s="103"/>
      <c r="O66" s="103"/>
      <c r="P66" s="103"/>
      <c r="Q66" s="103"/>
      <c r="R66" s="83"/>
      <c r="S66" s="103"/>
      <c r="T66" s="103"/>
      <c r="U66" s="103"/>
    </row>
    <row r="67" customFormat="false" ht="22.5" hidden="false" customHeight="true" outlineLevel="0" collapsed="false">
      <c r="A67" s="99"/>
      <c r="B67" s="99"/>
      <c r="C67" s="99"/>
      <c r="D67" s="121"/>
      <c r="E67" s="99"/>
      <c r="F67" s="124" t="str">
        <f aca="false">IF(E67="CONTADO", 4%, IF(E67="TARJETA / CHEQUE", 3%, IF(OR(E67="FINANCIADO", E67="MCP"), 2.5%, "")))</f>
        <v/>
      </c>
      <c r="G67" s="121" t="str">
        <f aca="false">IF(F67="", "", F67*D67)</f>
        <v/>
      </c>
      <c r="H67" s="132" t="b">
        <f aca="false">FALSE()</f>
        <v>0</v>
      </c>
      <c r="I67" s="132" t="b">
        <f aca="false">FALSE()</f>
        <v>0</v>
      </c>
      <c r="J67" s="126"/>
      <c r="K67" s="99"/>
      <c r="L67" s="83"/>
      <c r="M67" s="103"/>
      <c r="N67" s="103"/>
      <c r="O67" s="103"/>
      <c r="P67" s="103"/>
      <c r="Q67" s="103"/>
      <c r="R67" s="83"/>
      <c r="S67" s="103"/>
      <c r="T67" s="103"/>
      <c r="U67" s="103"/>
    </row>
    <row r="68" customFormat="false" ht="22.5" hidden="false" customHeight="true" outlineLevel="0" collapsed="false">
      <c r="A68" s="110"/>
      <c r="B68" s="110"/>
      <c r="C68" s="110"/>
      <c r="D68" s="122"/>
      <c r="E68" s="110"/>
      <c r="F68" s="128" t="str">
        <f aca="false">IF(E68="CONTADO", 4%, IF(E68="TARJETA / CHEQUE", 3%, IF(OR(E68="FINANCIADO", E68="MCP"), 2.5%, "")))</f>
        <v/>
      </c>
      <c r="G68" s="122" t="str">
        <f aca="false">IF(F68="", "", F68*D68)</f>
        <v/>
      </c>
      <c r="H68" s="131" t="b">
        <f aca="false">FALSE()</f>
        <v>0</v>
      </c>
      <c r="I68" s="131" t="b">
        <f aca="false">FALSE()</f>
        <v>0</v>
      </c>
      <c r="J68" s="130"/>
      <c r="K68" s="110"/>
      <c r="L68" s="83"/>
      <c r="M68" s="103"/>
      <c r="N68" s="103"/>
      <c r="O68" s="103"/>
      <c r="P68" s="103"/>
      <c r="Q68" s="103"/>
      <c r="R68" s="83"/>
      <c r="S68" s="103"/>
      <c r="T68" s="103"/>
      <c r="U68" s="103"/>
    </row>
    <row r="69" customFormat="false" ht="22.5" hidden="false" customHeight="true" outlineLevel="0" collapsed="false">
      <c r="A69" s="99"/>
      <c r="B69" s="99"/>
      <c r="C69" s="99"/>
      <c r="D69" s="121"/>
      <c r="E69" s="99"/>
      <c r="F69" s="124" t="str">
        <f aca="false">IF(E69="CONTADO", 4%, IF(E69="TARJETA / CHEQUE", 3%, IF(OR(E69="FINANCIADO", E69="MCP"), 2.5%, "")))</f>
        <v/>
      </c>
      <c r="G69" s="121" t="str">
        <f aca="false">IF(F69="", "", F69*D69)</f>
        <v/>
      </c>
      <c r="H69" s="132" t="b">
        <f aca="false">FALSE()</f>
        <v>0</v>
      </c>
      <c r="I69" s="132" t="b">
        <f aca="false">FALSE()</f>
        <v>0</v>
      </c>
      <c r="J69" s="126"/>
      <c r="K69" s="99"/>
      <c r="L69" s="83"/>
      <c r="M69" s="103"/>
      <c r="N69" s="103"/>
      <c r="O69" s="103"/>
      <c r="P69" s="103"/>
      <c r="Q69" s="103"/>
      <c r="R69" s="83"/>
      <c r="S69" s="103"/>
      <c r="T69" s="103"/>
      <c r="U69" s="103"/>
    </row>
    <row r="70" customFormat="false" ht="22.5" hidden="false" customHeight="true" outlineLevel="0" collapsed="false">
      <c r="A70" s="110"/>
      <c r="B70" s="110"/>
      <c r="C70" s="110"/>
      <c r="D70" s="122"/>
      <c r="E70" s="110"/>
      <c r="F70" s="128" t="str">
        <f aca="false">IF(E70="CONTADO", 4%, IF(E70="TARJETA / CHEQUE", 3%, IF(OR(E70="FINANCIADO", E70="MCP"), 2.5%, "")))</f>
        <v/>
      </c>
      <c r="G70" s="122" t="str">
        <f aca="false">IF(F70="", "", F70*D70)</f>
        <v/>
      </c>
      <c r="H70" s="131" t="b">
        <f aca="false">FALSE()</f>
        <v>0</v>
      </c>
      <c r="I70" s="131" t="b">
        <f aca="false">FALSE()</f>
        <v>0</v>
      </c>
      <c r="J70" s="130"/>
      <c r="K70" s="110"/>
      <c r="L70" s="83"/>
      <c r="M70" s="103"/>
      <c r="N70" s="103"/>
      <c r="O70" s="103"/>
      <c r="P70" s="103"/>
      <c r="Q70" s="103"/>
      <c r="R70" s="83"/>
      <c r="S70" s="103"/>
      <c r="T70" s="103"/>
      <c r="U70" s="103"/>
    </row>
    <row r="71" customFormat="false" ht="22.5" hidden="false" customHeight="true" outlineLevel="0" collapsed="false">
      <c r="A71" s="99"/>
      <c r="B71" s="99"/>
      <c r="C71" s="99"/>
      <c r="D71" s="121"/>
      <c r="E71" s="99"/>
      <c r="F71" s="124" t="str">
        <f aca="false">IF(E71="CONTADO", 4%, IF(E71="TARJETA / CHEQUE", 3%, IF(OR(E71="FINANCIADO", E71="MCP"), 2.5%, "")))</f>
        <v/>
      </c>
      <c r="G71" s="121" t="str">
        <f aca="false">IF(F71="", "", F71*D71)</f>
        <v/>
      </c>
      <c r="H71" s="132" t="b">
        <f aca="false">FALSE()</f>
        <v>0</v>
      </c>
      <c r="I71" s="132" t="b">
        <f aca="false">FALSE()</f>
        <v>0</v>
      </c>
      <c r="J71" s="126"/>
      <c r="K71" s="99"/>
      <c r="L71" s="83"/>
      <c r="M71" s="103"/>
      <c r="N71" s="103"/>
      <c r="O71" s="103"/>
      <c r="P71" s="103"/>
      <c r="Q71" s="103"/>
      <c r="R71" s="83"/>
      <c r="S71" s="103"/>
      <c r="T71" s="103"/>
      <c r="U71" s="103"/>
    </row>
    <row r="72" customFormat="false" ht="22.5" hidden="false" customHeight="true" outlineLevel="0" collapsed="false">
      <c r="A72" s="110"/>
      <c r="B72" s="110"/>
      <c r="C72" s="110"/>
      <c r="D72" s="122"/>
      <c r="E72" s="110"/>
      <c r="F72" s="128" t="str">
        <f aca="false">IF(E72="CONTADO", 4%, IF(E72="TARJETA / CHEQUE", 3%, IF(OR(E72="FINANCIADO", E72="MCP"), 2.5%, "")))</f>
        <v/>
      </c>
      <c r="G72" s="122" t="str">
        <f aca="false">IF(F72="", "", F72*D72)</f>
        <v/>
      </c>
      <c r="H72" s="131" t="b">
        <f aca="false">FALSE()</f>
        <v>0</v>
      </c>
      <c r="I72" s="131" t="b">
        <f aca="false">FALSE()</f>
        <v>0</v>
      </c>
      <c r="J72" s="130"/>
      <c r="K72" s="110"/>
      <c r="L72" s="83"/>
      <c r="M72" s="103"/>
      <c r="N72" s="103"/>
      <c r="O72" s="103"/>
      <c r="P72" s="103"/>
      <c r="Q72" s="103"/>
      <c r="R72" s="83"/>
      <c r="S72" s="103"/>
      <c r="T72" s="103"/>
      <c r="U72" s="103"/>
    </row>
    <row r="73" customFormat="false" ht="22.5" hidden="false" customHeight="true" outlineLevel="0" collapsed="false">
      <c r="A73" s="99"/>
      <c r="B73" s="99"/>
      <c r="C73" s="99"/>
      <c r="D73" s="121"/>
      <c r="E73" s="99"/>
      <c r="F73" s="124" t="str">
        <f aca="false">IF(E73="CONTADO", 4%, IF(E73="TARJETA / CHEQUE", 3%, IF(OR(E73="FINANCIADO", E73="MCP"), 2.5%, "")))</f>
        <v/>
      </c>
      <c r="G73" s="121" t="str">
        <f aca="false">IF(F73="", "", F73*D73)</f>
        <v/>
      </c>
      <c r="H73" s="132" t="b">
        <f aca="false">FALSE()</f>
        <v>0</v>
      </c>
      <c r="I73" s="132" t="b">
        <f aca="false">FALSE()</f>
        <v>0</v>
      </c>
      <c r="J73" s="126"/>
      <c r="K73" s="99"/>
      <c r="L73" s="83"/>
      <c r="M73" s="103"/>
      <c r="N73" s="103"/>
      <c r="O73" s="103"/>
      <c r="P73" s="103"/>
      <c r="Q73" s="103"/>
      <c r="R73" s="83"/>
      <c r="S73" s="103"/>
      <c r="T73" s="103"/>
      <c r="U73" s="103"/>
    </row>
    <row r="74" customFormat="false" ht="22.5" hidden="false" customHeight="true" outlineLevel="0" collapsed="false">
      <c r="A74" s="110"/>
      <c r="B74" s="110"/>
      <c r="C74" s="110"/>
      <c r="D74" s="122"/>
      <c r="E74" s="110"/>
      <c r="F74" s="128" t="str">
        <f aca="false">IF(E74="CONTADO", 4%, IF(E74="TARJETA / CHEQUE", 3%, IF(OR(E74="FINANCIADO", E74="MCP"), 2.5%, "")))</f>
        <v/>
      </c>
      <c r="G74" s="122" t="str">
        <f aca="false">IF(F74="", "", F74*D74)</f>
        <v/>
      </c>
      <c r="H74" s="131" t="b">
        <f aca="false">FALSE()</f>
        <v>0</v>
      </c>
      <c r="I74" s="131" t="b">
        <f aca="false">FALSE()</f>
        <v>0</v>
      </c>
      <c r="J74" s="130"/>
      <c r="K74" s="110"/>
      <c r="L74" s="83"/>
      <c r="M74" s="103"/>
      <c r="N74" s="103"/>
      <c r="O74" s="103"/>
      <c r="P74" s="103"/>
      <c r="Q74" s="103"/>
      <c r="R74" s="83"/>
      <c r="S74" s="103"/>
      <c r="T74" s="103"/>
      <c r="U74" s="103"/>
    </row>
    <row r="75" customFormat="false" ht="22.5" hidden="false" customHeight="true" outlineLevel="0" collapsed="false">
      <c r="A75" s="99"/>
      <c r="B75" s="99"/>
      <c r="C75" s="99"/>
      <c r="D75" s="121"/>
      <c r="E75" s="99"/>
      <c r="F75" s="124" t="str">
        <f aca="false">IF(E75="CONTADO", 4%, IF(E75="TARJETA / CHEQUE", 3%, IF(OR(E75="FINANCIADO", E75="MCP"), 2.5%, "")))</f>
        <v/>
      </c>
      <c r="G75" s="121" t="str">
        <f aca="false">IF(F75="", "", F75*D75)</f>
        <v/>
      </c>
      <c r="H75" s="132" t="b">
        <f aca="false">FALSE()</f>
        <v>0</v>
      </c>
      <c r="I75" s="132" t="b">
        <f aca="false">FALSE()</f>
        <v>0</v>
      </c>
      <c r="J75" s="126"/>
      <c r="K75" s="99"/>
      <c r="L75" s="83"/>
      <c r="M75" s="103"/>
      <c r="N75" s="103"/>
      <c r="O75" s="103"/>
      <c r="P75" s="103"/>
      <c r="Q75" s="103"/>
      <c r="R75" s="83"/>
      <c r="S75" s="103"/>
      <c r="T75" s="103"/>
      <c r="U75" s="103"/>
    </row>
    <row r="76" customFormat="false" ht="22.5" hidden="false" customHeight="true" outlineLevel="0" collapsed="false">
      <c r="A76" s="110"/>
      <c r="B76" s="110"/>
      <c r="C76" s="110"/>
      <c r="D76" s="122"/>
      <c r="E76" s="110"/>
      <c r="F76" s="128" t="str">
        <f aca="false">IF(E76="CONTADO", 4%, IF(E76="TARJETA / CHEQUE", 3%, IF(OR(E76="FINANCIADO", E76="MCP"), 2.5%, "")))</f>
        <v/>
      </c>
      <c r="G76" s="122" t="str">
        <f aca="false">IF(F76="", "", F76*D76)</f>
        <v/>
      </c>
      <c r="H76" s="131" t="b">
        <f aca="false">FALSE()</f>
        <v>0</v>
      </c>
      <c r="I76" s="131" t="b">
        <f aca="false">FALSE()</f>
        <v>0</v>
      </c>
      <c r="J76" s="130"/>
      <c r="K76" s="110"/>
      <c r="L76" s="83"/>
      <c r="M76" s="103"/>
      <c r="N76" s="103"/>
      <c r="O76" s="103"/>
      <c r="P76" s="103"/>
      <c r="Q76" s="103"/>
      <c r="R76" s="83"/>
      <c r="S76" s="103"/>
      <c r="T76" s="103"/>
      <c r="U76" s="103"/>
    </row>
    <row r="77" customFormat="false" ht="22.5" hidden="false" customHeight="true" outlineLevel="0" collapsed="false">
      <c r="A77" s="99"/>
      <c r="B77" s="99"/>
      <c r="C77" s="99"/>
      <c r="D77" s="121"/>
      <c r="E77" s="99"/>
      <c r="F77" s="124" t="str">
        <f aca="false">IF(E77="CONTADO", 4%, IF(E77="TARJETA / CHEQUE", 3%, IF(OR(E77="FINANCIADO", E77="MCP"), 2.5%, "")))</f>
        <v/>
      </c>
      <c r="G77" s="121" t="str">
        <f aca="false">IF(F77="", "", F77*D77)</f>
        <v/>
      </c>
      <c r="H77" s="132" t="b">
        <f aca="false">FALSE()</f>
        <v>0</v>
      </c>
      <c r="I77" s="132" t="b">
        <f aca="false">FALSE()</f>
        <v>0</v>
      </c>
      <c r="J77" s="126"/>
      <c r="K77" s="99"/>
      <c r="L77" s="83"/>
      <c r="M77" s="103"/>
      <c r="N77" s="103"/>
      <c r="O77" s="103"/>
      <c r="P77" s="103"/>
      <c r="Q77" s="103"/>
      <c r="R77" s="83"/>
      <c r="S77" s="103"/>
      <c r="T77" s="103"/>
      <c r="U77" s="103"/>
    </row>
    <row r="78" customFormat="false" ht="22.5" hidden="false" customHeight="true" outlineLevel="0" collapsed="false">
      <c r="A78" s="110"/>
      <c r="B78" s="110"/>
      <c r="C78" s="110"/>
      <c r="D78" s="122"/>
      <c r="E78" s="110"/>
      <c r="F78" s="128" t="str">
        <f aca="false">IF(E78="CONTADO", 4%, IF(E78="TARJETA / CHEQUE", 3%, IF(OR(E78="FINANCIADO", E78="MCP"), 2.5%, "")))</f>
        <v/>
      </c>
      <c r="G78" s="122" t="str">
        <f aca="false">IF(F78="", "", F78*D78)</f>
        <v/>
      </c>
      <c r="H78" s="131" t="b">
        <f aca="false">FALSE()</f>
        <v>0</v>
      </c>
      <c r="I78" s="131" t="b">
        <f aca="false">FALSE()</f>
        <v>0</v>
      </c>
      <c r="J78" s="130"/>
      <c r="K78" s="110"/>
      <c r="L78" s="83"/>
      <c r="M78" s="103"/>
      <c r="N78" s="103"/>
      <c r="O78" s="103"/>
      <c r="P78" s="103"/>
      <c r="Q78" s="103"/>
      <c r="R78" s="83"/>
      <c r="S78" s="103"/>
      <c r="T78" s="103"/>
      <c r="U78" s="103"/>
    </row>
    <row r="79" customFormat="false" ht="22.5" hidden="false" customHeight="true" outlineLevel="0" collapsed="false">
      <c r="A79" s="99"/>
      <c r="B79" s="99"/>
      <c r="C79" s="99"/>
      <c r="D79" s="121"/>
      <c r="E79" s="99"/>
      <c r="F79" s="124" t="str">
        <f aca="false">IF(E79="CONTADO", 4%, IF(E79="TARJETA / CHEQUE", 3%, IF(OR(E79="FINANCIADO", E79="MCP"), 2.5%, "")))</f>
        <v/>
      </c>
      <c r="G79" s="121" t="str">
        <f aca="false">IF(F79="", "", F79*D79)</f>
        <v/>
      </c>
      <c r="H79" s="132" t="b">
        <f aca="false">FALSE()</f>
        <v>0</v>
      </c>
      <c r="I79" s="132" t="b">
        <f aca="false">FALSE()</f>
        <v>0</v>
      </c>
      <c r="J79" s="126"/>
      <c r="K79" s="99"/>
      <c r="L79" s="83"/>
      <c r="M79" s="103"/>
      <c r="N79" s="103"/>
      <c r="O79" s="103"/>
      <c r="P79" s="103"/>
      <c r="Q79" s="103"/>
      <c r="R79" s="83"/>
      <c r="S79" s="103"/>
      <c r="T79" s="103"/>
      <c r="U79" s="103"/>
    </row>
    <row r="80" customFormat="false" ht="22.5" hidden="false" customHeight="true" outlineLevel="0" collapsed="false">
      <c r="A80" s="110"/>
      <c r="B80" s="110"/>
      <c r="C80" s="110"/>
      <c r="D80" s="122"/>
      <c r="E80" s="110"/>
      <c r="F80" s="128" t="str">
        <f aca="false">IF(E80="CONTADO", 4%, IF(E80="TARJETA / CHEQUE", 3%, IF(OR(E80="FINANCIADO", E80="MCP"), 2.5%, "")))</f>
        <v/>
      </c>
      <c r="G80" s="122" t="str">
        <f aca="false">IF(F80="", "", F80*D80)</f>
        <v/>
      </c>
      <c r="H80" s="131" t="b">
        <f aca="false">FALSE()</f>
        <v>0</v>
      </c>
      <c r="I80" s="131" t="b">
        <f aca="false">FALSE()</f>
        <v>0</v>
      </c>
      <c r="J80" s="130"/>
      <c r="K80" s="110"/>
      <c r="L80" s="83"/>
      <c r="M80" s="103"/>
      <c r="N80" s="103"/>
      <c r="O80" s="103"/>
      <c r="P80" s="103"/>
      <c r="Q80" s="103"/>
      <c r="R80" s="83"/>
      <c r="S80" s="103"/>
      <c r="T80" s="103"/>
      <c r="U80" s="103"/>
    </row>
    <row r="81" customFormat="false" ht="22.5" hidden="false" customHeight="true" outlineLevel="0" collapsed="false">
      <c r="A81" s="99"/>
      <c r="B81" s="99"/>
      <c r="C81" s="99"/>
      <c r="D81" s="121"/>
      <c r="E81" s="99"/>
      <c r="F81" s="124" t="str">
        <f aca="false">IF(E81="CONTADO", 4%, IF(E81="TARJETA / CHEQUE", 3%, IF(OR(E81="FINANCIADO", E81="MCP"), 2.5%, "")))</f>
        <v/>
      </c>
      <c r="G81" s="121" t="str">
        <f aca="false">IF(F81="", "", F81*D81)</f>
        <v/>
      </c>
      <c r="H81" s="132" t="b">
        <f aca="false">FALSE()</f>
        <v>0</v>
      </c>
      <c r="I81" s="132" t="b">
        <f aca="false">FALSE()</f>
        <v>0</v>
      </c>
      <c r="J81" s="126"/>
      <c r="K81" s="99"/>
      <c r="L81" s="83"/>
      <c r="M81" s="103"/>
      <c r="N81" s="103"/>
      <c r="O81" s="103"/>
      <c r="P81" s="103"/>
      <c r="Q81" s="103"/>
      <c r="R81" s="83"/>
      <c r="S81" s="103"/>
      <c r="T81" s="103"/>
      <c r="U81" s="103"/>
    </row>
    <row r="82" customFormat="false" ht="22.5" hidden="false" customHeight="true" outlineLevel="0" collapsed="false">
      <c r="A82" s="110"/>
      <c r="B82" s="110"/>
      <c r="C82" s="110"/>
      <c r="D82" s="122"/>
      <c r="E82" s="110"/>
      <c r="F82" s="128" t="str">
        <f aca="false">IF(E82="CONTADO", 4%, IF(E82="TARJETA / CHEQUE", 3%, IF(OR(E82="FINANCIADO", E82="MCP"), 2.5%, "")))</f>
        <v/>
      </c>
      <c r="G82" s="122" t="str">
        <f aca="false">IF(F82="", "", F82*D82)</f>
        <v/>
      </c>
      <c r="H82" s="131" t="b">
        <f aca="false">FALSE()</f>
        <v>0</v>
      </c>
      <c r="I82" s="131" t="b">
        <f aca="false">FALSE()</f>
        <v>0</v>
      </c>
      <c r="J82" s="130"/>
      <c r="K82" s="110"/>
      <c r="L82" s="83"/>
      <c r="M82" s="103"/>
      <c r="N82" s="103"/>
      <c r="O82" s="103"/>
      <c r="P82" s="103"/>
      <c r="Q82" s="103"/>
      <c r="R82" s="83"/>
      <c r="S82" s="103"/>
      <c r="T82" s="103"/>
      <c r="U82" s="103"/>
    </row>
    <row r="83" customFormat="false" ht="22.5" hidden="false" customHeight="true" outlineLevel="0" collapsed="false">
      <c r="A83" s="99"/>
      <c r="B83" s="99"/>
      <c r="C83" s="99"/>
      <c r="D83" s="121"/>
      <c r="E83" s="99"/>
      <c r="F83" s="124" t="str">
        <f aca="false">IF(E83="CONTADO", 4%, IF(E83="TARJETA / CHEQUE", 3%, IF(OR(E83="FINANCIADO", E83="MCP"), 2.5%, "")))</f>
        <v/>
      </c>
      <c r="G83" s="121" t="str">
        <f aca="false">IF(F83="", "", F83*D83)</f>
        <v/>
      </c>
      <c r="H83" s="132" t="b">
        <f aca="false">FALSE()</f>
        <v>0</v>
      </c>
      <c r="I83" s="132" t="b">
        <f aca="false">FALSE()</f>
        <v>0</v>
      </c>
      <c r="J83" s="126"/>
      <c r="K83" s="99"/>
      <c r="L83" s="83"/>
      <c r="M83" s="103"/>
      <c r="N83" s="103"/>
      <c r="O83" s="103"/>
      <c r="P83" s="103"/>
      <c r="Q83" s="103"/>
      <c r="R83" s="83"/>
      <c r="S83" s="103"/>
      <c r="T83" s="103"/>
      <c r="U83" s="103"/>
    </row>
    <row r="84" customFormat="false" ht="22.5" hidden="false" customHeight="true" outlineLevel="0" collapsed="false">
      <c r="A84" s="110"/>
      <c r="B84" s="110"/>
      <c r="C84" s="110"/>
      <c r="D84" s="122"/>
      <c r="E84" s="110"/>
      <c r="F84" s="128" t="str">
        <f aca="false">IF(E84="CONTADO", 4%, IF(E84="TARJETA / CHEQUE", 3%, IF(OR(E84="FINANCIADO", E84="MCP"), 2.5%, "")))</f>
        <v/>
      </c>
      <c r="G84" s="122" t="str">
        <f aca="false">IF(F84="", "", F84*D84)</f>
        <v/>
      </c>
      <c r="H84" s="131" t="b">
        <f aca="false">FALSE()</f>
        <v>0</v>
      </c>
      <c r="I84" s="131" t="b">
        <f aca="false">FALSE()</f>
        <v>0</v>
      </c>
      <c r="J84" s="130"/>
      <c r="K84" s="110"/>
      <c r="L84" s="83"/>
      <c r="M84" s="103"/>
      <c r="N84" s="103"/>
      <c r="O84" s="103"/>
      <c r="P84" s="103"/>
      <c r="Q84" s="103"/>
      <c r="R84" s="83"/>
      <c r="S84" s="103"/>
      <c r="T84" s="103"/>
      <c r="U84" s="103"/>
    </row>
    <row r="85" customFormat="false" ht="22.5" hidden="false" customHeight="true" outlineLevel="0" collapsed="false">
      <c r="A85" s="99"/>
      <c r="B85" s="99"/>
      <c r="C85" s="99"/>
      <c r="D85" s="121"/>
      <c r="E85" s="99"/>
      <c r="F85" s="124" t="str">
        <f aca="false">IF(E85="CONTADO", 4%, IF(E85="TARJETA / CHEQUE", 3%, IF(OR(E85="FINANCIADO", E85="MCP"), 2.5%, "")))</f>
        <v/>
      </c>
      <c r="G85" s="121" t="str">
        <f aca="false">IF(F85="", "", F85*D85)</f>
        <v/>
      </c>
      <c r="H85" s="132" t="b">
        <f aca="false">FALSE()</f>
        <v>0</v>
      </c>
      <c r="I85" s="132" t="b">
        <f aca="false">FALSE()</f>
        <v>0</v>
      </c>
      <c r="J85" s="126"/>
      <c r="K85" s="99"/>
      <c r="L85" s="83"/>
      <c r="M85" s="103"/>
      <c r="N85" s="103"/>
      <c r="O85" s="103"/>
      <c r="P85" s="103"/>
      <c r="Q85" s="103"/>
      <c r="R85" s="83"/>
      <c r="S85" s="103"/>
      <c r="T85" s="103"/>
      <c r="U85" s="103"/>
    </row>
    <row r="86" customFormat="false" ht="22.5" hidden="false" customHeight="true" outlineLevel="0" collapsed="false">
      <c r="A86" s="110"/>
      <c r="B86" s="110"/>
      <c r="C86" s="110"/>
      <c r="D86" s="122"/>
      <c r="E86" s="110"/>
      <c r="F86" s="128" t="str">
        <f aca="false">IF(E86="CONTADO", 4%, IF(E86="TARJETA / CHEQUE", 3%, IF(OR(E86="FINANCIADO", E86="MCP"), 2.5%, "")))</f>
        <v/>
      </c>
      <c r="G86" s="122" t="str">
        <f aca="false">IF(F86="", "", F86*D86)</f>
        <v/>
      </c>
      <c r="H86" s="131" t="b">
        <f aca="false">FALSE()</f>
        <v>0</v>
      </c>
      <c r="I86" s="131" t="b">
        <f aca="false">FALSE()</f>
        <v>0</v>
      </c>
      <c r="J86" s="130"/>
      <c r="K86" s="110"/>
      <c r="L86" s="83"/>
      <c r="M86" s="103"/>
      <c r="N86" s="103"/>
      <c r="O86" s="103"/>
      <c r="P86" s="103"/>
      <c r="Q86" s="103"/>
      <c r="R86" s="83"/>
      <c r="S86" s="103"/>
      <c r="T86" s="103"/>
      <c r="U86" s="103"/>
    </row>
    <row r="87" customFormat="false" ht="22.5" hidden="false" customHeight="true" outlineLevel="0" collapsed="false">
      <c r="A87" s="99"/>
      <c r="B87" s="99"/>
      <c r="C87" s="99"/>
      <c r="D87" s="121"/>
      <c r="E87" s="99"/>
      <c r="F87" s="124" t="str">
        <f aca="false">IF(E87="CONTADO", 4%, IF(E87="TARJETA / CHEQUE", 3%, IF(OR(E87="FINANCIADO", E87="MCP"), 2.5%, "")))</f>
        <v/>
      </c>
      <c r="G87" s="121" t="str">
        <f aca="false">IF(F87="", "", F87*D87)</f>
        <v/>
      </c>
      <c r="H87" s="132" t="b">
        <f aca="false">FALSE()</f>
        <v>0</v>
      </c>
      <c r="I87" s="132" t="b">
        <f aca="false">FALSE()</f>
        <v>0</v>
      </c>
      <c r="J87" s="126"/>
      <c r="K87" s="99"/>
      <c r="L87" s="83"/>
      <c r="M87" s="103"/>
      <c r="N87" s="103"/>
      <c r="O87" s="103"/>
      <c r="P87" s="103"/>
      <c r="Q87" s="103"/>
      <c r="R87" s="83"/>
      <c r="S87" s="103"/>
      <c r="T87" s="103"/>
      <c r="U87" s="103"/>
    </row>
    <row r="88" customFormat="false" ht="22.5" hidden="false" customHeight="true" outlineLevel="0" collapsed="false">
      <c r="A88" s="110"/>
      <c r="B88" s="110"/>
      <c r="C88" s="110"/>
      <c r="D88" s="122"/>
      <c r="E88" s="110"/>
      <c r="F88" s="128" t="str">
        <f aca="false">IF(E88="CONTADO", 4%, IF(E88="TARJETA / CHEQUE", 3%, IF(OR(E88="FINANCIADO", E88="MCP"), 2.5%, "")))</f>
        <v/>
      </c>
      <c r="G88" s="122" t="str">
        <f aca="false">IF(F88="", "", F88*D88)</f>
        <v/>
      </c>
      <c r="H88" s="131" t="b">
        <f aca="false">FALSE()</f>
        <v>0</v>
      </c>
      <c r="I88" s="131" t="b">
        <f aca="false">FALSE()</f>
        <v>0</v>
      </c>
      <c r="J88" s="130"/>
      <c r="K88" s="110"/>
      <c r="L88" s="83"/>
      <c r="M88" s="103"/>
      <c r="N88" s="103"/>
      <c r="O88" s="103"/>
      <c r="P88" s="103"/>
      <c r="Q88" s="103"/>
      <c r="R88" s="83"/>
      <c r="S88" s="103"/>
      <c r="T88" s="103"/>
      <c r="U88" s="103"/>
    </row>
    <row r="89" customFormat="false" ht="22.5" hidden="false" customHeight="true" outlineLevel="0" collapsed="false">
      <c r="A89" s="99"/>
      <c r="B89" s="99"/>
      <c r="C89" s="99"/>
      <c r="D89" s="121"/>
      <c r="E89" s="99"/>
      <c r="F89" s="124" t="str">
        <f aca="false">IF(E89="CONTADO", 4%, IF(E89="TARJETA / CHEQUE", 3%, IF(OR(E89="FINANCIADO", E89="MCP"), 2.5%, "")))</f>
        <v/>
      </c>
      <c r="G89" s="121" t="str">
        <f aca="false">IF(F89="", "", F89*D89)</f>
        <v/>
      </c>
      <c r="H89" s="132" t="b">
        <f aca="false">FALSE()</f>
        <v>0</v>
      </c>
      <c r="I89" s="132" t="b">
        <f aca="false">FALSE()</f>
        <v>0</v>
      </c>
      <c r="J89" s="126"/>
      <c r="K89" s="99"/>
      <c r="L89" s="83"/>
      <c r="M89" s="103"/>
      <c r="N89" s="103"/>
      <c r="O89" s="103"/>
      <c r="P89" s="103"/>
      <c r="Q89" s="103"/>
      <c r="R89" s="83"/>
      <c r="S89" s="103"/>
      <c r="T89" s="103"/>
      <c r="U89" s="103"/>
    </row>
    <row r="90" customFormat="false" ht="22.5" hidden="false" customHeight="true" outlineLevel="0" collapsed="false">
      <c r="A90" s="110"/>
      <c r="B90" s="110"/>
      <c r="C90" s="110"/>
      <c r="D90" s="122"/>
      <c r="E90" s="110"/>
      <c r="F90" s="128" t="str">
        <f aca="false">IF(E90="CONTADO", 4%, IF(E90="TARJETA / CHEQUE", 3%, IF(OR(E90="FINANCIADO", E90="MCP"), 2.5%, "")))</f>
        <v/>
      </c>
      <c r="G90" s="122" t="str">
        <f aca="false">IF(F90="", "", F90*D90)</f>
        <v/>
      </c>
      <c r="H90" s="131" t="b">
        <f aca="false">FALSE()</f>
        <v>0</v>
      </c>
      <c r="I90" s="131" t="b">
        <f aca="false">FALSE()</f>
        <v>0</v>
      </c>
      <c r="J90" s="130"/>
      <c r="K90" s="110"/>
      <c r="L90" s="83"/>
      <c r="M90" s="103"/>
      <c r="N90" s="103"/>
      <c r="O90" s="103"/>
      <c r="P90" s="103"/>
      <c r="Q90" s="103"/>
      <c r="R90" s="83"/>
      <c r="S90" s="103"/>
      <c r="T90" s="103"/>
      <c r="U90" s="103"/>
    </row>
    <row r="91" customFormat="false" ht="22.5" hidden="false" customHeight="true" outlineLevel="0" collapsed="false">
      <c r="A91" s="99"/>
      <c r="B91" s="99"/>
      <c r="C91" s="99"/>
      <c r="D91" s="121"/>
      <c r="E91" s="99"/>
      <c r="F91" s="124" t="str">
        <f aca="false">IF(E91="CONTADO", 4%, IF(E91="TARJETA / CHEQUE", 3%, IF(OR(E91="FINANCIADO", E91="MCP"), 2.5%, "")))</f>
        <v/>
      </c>
      <c r="G91" s="121" t="str">
        <f aca="false">IF(F91="", "", F91*D91)</f>
        <v/>
      </c>
      <c r="H91" s="132" t="b">
        <f aca="false">FALSE()</f>
        <v>0</v>
      </c>
      <c r="I91" s="132" t="b">
        <f aca="false">FALSE()</f>
        <v>0</v>
      </c>
      <c r="J91" s="126"/>
      <c r="K91" s="99"/>
      <c r="L91" s="83"/>
      <c r="M91" s="103"/>
      <c r="N91" s="103"/>
      <c r="O91" s="103"/>
      <c r="P91" s="103"/>
      <c r="Q91" s="103"/>
      <c r="R91" s="83"/>
      <c r="S91" s="103"/>
      <c r="T91" s="103"/>
      <c r="U91" s="103"/>
    </row>
    <row r="92" customFormat="false" ht="22.5" hidden="false" customHeight="true" outlineLevel="0" collapsed="false">
      <c r="A92" s="110"/>
      <c r="B92" s="110"/>
      <c r="C92" s="110"/>
      <c r="D92" s="122"/>
      <c r="E92" s="110"/>
      <c r="F92" s="128" t="str">
        <f aca="false">IF(E92="CONTADO", 4%, IF(E92="TARJETA / CHEQUE", 3%, IF(OR(E92="FINANCIADO", E92="MCP"), 2.5%, "")))</f>
        <v/>
      </c>
      <c r="G92" s="122" t="str">
        <f aca="false">IF(F92="", "", F92*D92)</f>
        <v/>
      </c>
      <c r="H92" s="131" t="b">
        <f aca="false">FALSE()</f>
        <v>0</v>
      </c>
      <c r="I92" s="131" t="b">
        <f aca="false">FALSE()</f>
        <v>0</v>
      </c>
      <c r="J92" s="130"/>
      <c r="K92" s="110"/>
      <c r="L92" s="83"/>
      <c r="M92" s="103"/>
      <c r="N92" s="103"/>
      <c r="O92" s="103"/>
      <c r="P92" s="103"/>
      <c r="Q92" s="103"/>
      <c r="R92" s="83"/>
      <c r="S92" s="103"/>
      <c r="T92" s="103"/>
      <c r="U92" s="103"/>
    </row>
    <row r="93" customFormat="false" ht="22.5" hidden="false" customHeight="true" outlineLevel="0" collapsed="false">
      <c r="A93" s="99"/>
      <c r="B93" s="99"/>
      <c r="C93" s="99"/>
      <c r="D93" s="121"/>
      <c r="E93" s="99"/>
      <c r="F93" s="124" t="str">
        <f aca="false">IF(E93="CONTADO", 4%, IF(E93="TARJETA / CHEQUE", 3%, IF(OR(E93="FINANCIADO", E93="MCP"), 2.5%, "")))</f>
        <v/>
      </c>
      <c r="G93" s="121" t="str">
        <f aca="false">IF(F93="", "", F93*D93)</f>
        <v/>
      </c>
      <c r="H93" s="132" t="b">
        <f aca="false">FALSE()</f>
        <v>0</v>
      </c>
      <c r="I93" s="132" t="b">
        <f aca="false">FALSE()</f>
        <v>0</v>
      </c>
      <c r="J93" s="126"/>
      <c r="K93" s="99"/>
      <c r="L93" s="83"/>
      <c r="M93" s="103"/>
      <c r="N93" s="103"/>
      <c r="O93" s="103"/>
      <c r="P93" s="103"/>
      <c r="Q93" s="103"/>
      <c r="R93" s="83"/>
      <c r="S93" s="103"/>
      <c r="T93" s="103"/>
      <c r="U93" s="103"/>
    </row>
    <row r="94" customFormat="false" ht="22.5" hidden="false" customHeight="true" outlineLevel="0" collapsed="false">
      <c r="A94" s="110"/>
      <c r="B94" s="110"/>
      <c r="C94" s="110"/>
      <c r="D94" s="122"/>
      <c r="E94" s="110"/>
      <c r="F94" s="128" t="str">
        <f aca="false">IF(E94="CONTADO", 4%, IF(E94="TARJETA / CHEQUE", 3%, IF(OR(E94="FINANCIADO", E94="MCP"), 2.5%, "")))</f>
        <v/>
      </c>
      <c r="G94" s="122" t="str">
        <f aca="false">IF(F94="", "", F94*D94)</f>
        <v/>
      </c>
      <c r="H94" s="131" t="b">
        <f aca="false">FALSE()</f>
        <v>0</v>
      </c>
      <c r="I94" s="131" t="b">
        <f aca="false">FALSE()</f>
        <v>0</v>
      </c>
      <c r="J94" s="130"/>
      <c r="K94" s="110"/>
      <c r="L94" s="83"/>
      <c r="M94" s="103"/>
      <c r="N94" s="103"/>
      <c r="O94" s="103"/>
      <c r="P94" s="103"/>
      <c r="Q94" s="103"/>
      <c r="R94" s="83"/>
      <c r="S94" s="103"/>
      <c r="T94" s="103"/>
      <c r="U94" s="103"/>
    </row>
    <row r="95" customFormat="false" ht="22.5" hidden="false" customHeight="true" outlineLevel="0" collapsed="false">
      <c r="A95" s="99"/>
      <c r="B95" s="99"/>
      <c r="C95" s="99"/>
      <c r="D95" s="121"/>
      <c r="E95" s="99"/>
      <c r="F95" s="124" t="str">
        <f aca="false">IF(E95="CONTADO", 4%, IF(E95="TARJETA / CHEQUE", 3%, IF(OR(E95="FINANCIADO", E95="MCP"), 2.5%, "")))</f>
        <v/>
      </c>
      <c r="G95" s="121" t="str">
        <f aca="false">IF(F95="", "", F95*D95)</f>
        <v/>
      </c>
      <c r="H95" s="132" t="b">
        <f aca="false">FALSE()</f>
        <v>0</v>
      </c>
      <c r="I95" s="132" t="b">
        <f aca="false">FALSE()</f>
        <v>0</v>
      </c>
      <c r="J95" s="126"/>
      <c r="K95" s="99"/>
      <c r="L95" s="83"/>
      <c r="M95" s="103"/>
      <c r="N95" s="103"/>
      <c r="O95" s="103"/>
      <c r="P95" s="103"/>
      <c r="Q95" s="103"/>
      <c r="R95" s="83"/>
      <c r="S95" s="103"/>
      <c r="T95" s="103"/>
      <c r="U95" s="103"/>
    </row>
    <row r="96" customFormat="false" ht="22.5" hidden="false" customHeight="true" outlineLevel="0" collapsed="false">
      <c r="A96" s="110"/>
      <c r="B96" s="110"/>
      <c r="C96" s="110"/>
      <c r="D96" s="122"/>
      <c r="E96" s="110"/>
      <c r="F96" s="128" t="str">
        <f aca="false">IF(E96="CONTADO", 4%, IF(E96="TARJETA / CHEQUE", 3%, IF(OR(E96="FINANCIADO", E96="MCP"), 2.5%, "")))</f>
        <v/>
      </c>
      <c r="G96" s="122" t="str">
        <f aca="false">IF(F96="", "", F96*D96)</f>
        <v/>
      </c>
      <c r="H96" s="131" t="b">
        <f aca="false">FALSE()</f>
        <v>0</v>
      </c>
      <c r="I96" s="131" t="b">
        <f aca="false">FALSE()</f>
        <v>0</v>
      </c>
      <c r="J96" s="130"/>
      <c r="K96" s="110"/>
      <c r="L96" s="83"/>
      <c r="M96" s="103"/>
      <c r="N96" s="103"/>
      <c r="O96" s="103"/>
      <c r="P96" s="103"/>
      <c r="Q96" s="103"/>
      <c r="R96" s="83"/>
      <c r="S96" s="103"/>
      <c r="T96" s="103"/>
      <c r="U96" s="103"/>
    </row>
    <row r="97" customFormat="false" ht="22.5" hidden="false" customHeight="true" outlineLevel="0" collapsed="false">
      <c r="A97" s="99"/>
      <c r="B97" s="99"/>
      <c r="C97" s="99"/>
      <c r="D97" s="121"/>
      <c r="E97" s="99"/>
      <c r="F97" s="124" t="str">
        <f aca="false">IF(E97="CONTADO", 4%, IF(E97="TARJETA / CHEQUE", 3%, IF(OR(E97="FINANCIADO", E97="MCP"), 2.5%, "")))</f>
        <v/>
      </c>
      <c r="G97" s="121" t="str">
        <f aca="false">IF(F97="", "", F97*D97)</f>
        <v/>
      </c>
      <c r="H97" s="132" t="b">
        <f aca="false">FALSE()</f>
        <v>0</v>
      </c>
      <c r="I97" s="132" t="b">
        <f aca="false">FALSE()</f>
        <v>0</v>
      </c>
      <c r="J97" s="126"/>
      <c r="K97" s="99"/>
      <c r="L97" s="83"/>
      <c r="M97" s="103"/>
      <c r="N97" s="103"/>
      <c r="O97" s="103"/>
      <c r="P97" s="103"/>
      <c r="Q97" s="103"/>
      <c r="R97" s="83"/>
      <c r="S97" s="103"/>
      <c r="T97" s="103"/>
      <c r="U97" s="103"/>
    </row>
    <row r="98" customFormat="false" ht="22.5" hidden="false" customHeight="true" outlineLevel="0" collapsed="false">
      <c r="A98" s="110"/>
      <c r="B98" s="110"/>
      <c r="C98" s="110"/>
      <c r="D98" s="122"/>
      <c r="E98" s="110"/>
      <c r="F98" s="128" t="str">
        <f aca="false">IF(E98="CONTADO", 4%, IF(E98="TARJETA / CHEQUE", 3%, IF(OR(E98="FINANCIADO", E98="MCP"), 2.5%, "")))</f>
        <v/>
      </c>
      <c r="G98" s="122" t="str">
        <f aca="false">IF(F98="", "", F98*D98)</f>
        <v/>
      </c>
      <c r="H98" s="131" t="b">
        <f aca="false">FALSE()</f>
        <v>0</v>
      </c>
      <c r="I98" s="131" t="b">
        <f aca="false">FALSE()</f>
        <v>0</v>
      </c>
      <c r="J98" s="130"/>
      <c r="K98" s="110"/>
      <c r="L98" s="83"/>
      <c r="M98" s="103"/>
      <c r="N98" s="103"/>
      <c r="O98" s="103"/>
      <c r="P98" s="103"/>
      <c r="Q98" s="103"/>
      <c r="R98" s="83"/>
      <c r="S98" s="103"/>
      <c r="T98" s="103"/>
      <c r="U98" s="103"/>
    </row>
    <row r="99" customFormat="false" ht="22.5" hidden="false" customHeight="true" outlineLevel="0" collapsed="false">
      <c r="A99" s="99"/>
      <c r="B99" s="99"/>
      <c r="C99" s="99"/>
      <c r="D99" s="121"/>
      <c r="E99" s="99"/>
      <c r="F99" s="124" t="str">
        <f aca="false">IF(E99="CONTADO", 4%, IF(E99="TARJETA / CHEQUE", 3%, IF(OR(E99="FINANCIADO", E99="MCP"), 2.5%, "")))</f>
        <v/>
      </c>
      <c r="G99" s="121" t="str">
        <f aca="false">IF(F99="", "", F99*D99)</f>
        <v/>
      </c>
      <c r="H99" s="132" t="b">
        <f aca="false">FALSE()</f>
        <v>0</v>
      </c>
      <c r="I99" s="132" t="b">
        <f aca="false">FALSE()</f>
        <v>0</v>
      </c>
      <c r="J99" s="126"/>
      <c r="K99" s="99"/>
      <c r="L99" s="83"/>
      <c r="M99" s="103"/>
      <c r="N99" s="103"/>
      <c r="O99" s="103"/>
      <c r="P99" s="103"/>
      <c r="Q99" s="103"/>
      <c r="R99" s="83"/>
      <c r="S99" s="103"/>
      <c r="T99" s="103"/>
      <c r="U99" s="103"/>
    </row>
    <row r="100" customFormat="false" ht="22.5" hidden="false" customHeight="true" outlineLevel="0" collapsed="false">
      <c r="A100" s="110"/>
      <c r="B100" s="110"/>
      <c r="C100" s="110"/>
      <c r="D100" s="122"/>
      <c r="E100" s="110"/>
      <c r="F100" s="128" t="str">
        <f aca="false">IF(E100="CONTADO", 4%, IF(E100="TARJETA / CHEQUE", 3%, IF(OR(E100="FINANCIADO", E100="MCP"), 2.5%, "")))</f>
        <v/>
      </c>
      <c r="G100" s="122" t="str">
        <f aca="false">IF(F100="", "", F100*D100)</f>
        <v/>
      </c>
      <c r="H100" s="131" t="b">
        <f aca="false">FALSE()</f>
        <v>0</v>
      </c>
      <c r="I100" s="131" t="b">
        <f aca="false">FALSE()</f>
        <v>0</v>
      </c>
      <c r="J100" s="130"/>
      <c r="K100" s="110"/>
      <c r="L100" s="83"/>
      <c r="M100" s="103"/>
      <c r="N100" s="103"/>
      <c r="O100" s="103"/>
      <c r="P100" s="103"/>
      <c r="Q100" s="103"/>
      <c r="R100" s="83"/>
      <c r="S100" s="103"/>
      <c r="T100" s="103"/>
      <c r="U100" s="103"/>
    </row>
    <row r="101" customFormat="false" ht="22.5" hidden="false" customHeight="true" outlineLevel="0" collapsed="false">
      <c r="A101" s="99"/>
      <c r="B101" s="99"/>
      <c r="C101" s="99"/>
      <c r="D101" s="121"/>
      <c r="E101" s="99"/>
      <c r="F101" s="124" t="str">
        <f aca="false">IF(E101="CONTADO", 4%, IF(E101="TARJETA / CHEQUE", 3%, IF(OR(E101="FINANCIADO", E101="MCP"), 2.5%, "")))</f>
        <v/>
      </c>
      <c r="G101" s="121" t="str">
        <f aca="false">IF(F101="", "", F101*D101)</f>
        <v/>
      </c>
      <c r="H101" s="132" t="b">
        <f aca="false">FALSE()</f>
        <v>0</v>
      </c>
      <c r="I101" s="132" t="b">
        <f aca="false">FALSE()</f>
        <v>0</v>
      </c>
      <c r="J101" s="126"/>
      <c r="K101" s="99"/>
      <c r="L101" s="83"/>
      <c r="M101" s="103"/>
      <c r="N101" s="103"/>
      <c r="O101" s="103"/>
      <c r="P101" s="103"/>
      <c r="Q101" s="103"/>
      <c r="R101" s="83"/>
      <c r="S101" s="103"/>
      <c r="T101" s="103"/>
      <c r="U101" s="103"/>
    </row>
    <row r="102" customFormat="false" ht="22.5" hidden="false" customHeight="true" outlineLevel="0" collapsed="false">
      <c r="A102" s="110"/>
      <c r="B102" s="110"/>
      <c r="C102" s="110"/>
      <c r="D102" s="122"/>
      <c r="E102" s="110"/>
      <c r="F102" s="128" t="str">
        <f aca="false">IF(E102="CONTADO", 4%, IF(E102="TARJETA / CHEQUE", 3%, IF(OR(E102="FINANCIADO", E102="MCP"), 2.5%, "")))</f>
        <v/>
      </c>
      <c r="G102" s="122" t="str">
        <f aca="false">IF(F102="", "", F102*D102)</f>
        <v/>
      </c>
      <c r="H102" s="131" t="b">
        <f aca="false">FALSE()</f>
        <v>0</v>
      </c>
      <c r="I102" s="131" t="b">
        <f aca="false">FALSE()</f>
        <v>0</v>
      </c>
      <c r="J102" s="130"/>
      <c r="K102" s="110"/>
      <c r="L102" s="83"/>
      <c r="M102" s="103"/>
      <c r="N102" s="103"/>
      <c r="O102" s="103"/>
      <c r="P102" s="103"/>
      <c r="Q102" s="103"/>
      <c r="R102" s="83"/>
      <c r="S102" s="103"/>
      <c r="T102" s="103"/>
      <c r="U102" s="103"/>
    </row>
    <row r="103" customFormat="false" ht="22.5" hidden="false" customHeight="true" outlineLevel="0" collapsed="false">
      <c r="A103" s="99"/>
      <c r="B103" s="99"/>
      <c r="C103" s="99"/>
      <c r="D103" s="121"/>
      <c r="E103" s="99"/>
      <c r="F103" s="124" t="str">
        <f aca="false">IF(E103="CONTADO", 4%, IF(E103="TARJETA / CHEQUE", 3%, IF(OR(E103="FINANCIADO", E103="MCP"), 2.5%, "")))</f>
        <v/>
      </c>
      <c r="G103" s="121" t="str">
        <f aca="false">IF(F103="", "", F103*D103)</f>
        <v/>
      </c>
      <c r="H103" s="132" t="b">
        <f aca="false">FALSE()</f>
        <v>0</v>
      </c>
      <c r="I103" s="132" t="b">
        <f aca="false">FALSE()</f>
        <v>0</v>
      </c>
      <c r="J103" s="126"/>
      <c r="K103" s="99"/>
      <c r="L103" s="83"/>
      <c r="M103" s="103"/>
      <c r="N103" s="103"/>
      <c r="O103" s="103"/>
      <c r="P103" s="103"/>
      <c r="Q103" s="103"/>
      <c r="R103" s="83"/>
      <c r="S103" s="103"/>
      <c r="T103" s="103"/>
      <c r="U103" s="103"/>
    </row>
    <row r="104" customFormat="false" ht="22.5" hidden="false" customHeight="true" outlineLevel="0" collapsed="false">
      <c r="A104" s="110"/>
      <c r="B104" s="110"/>
      <c r="C104" s="110"/>
      <c r="D104" s="122"/>
      <c r="E104" s="110"/>
      <c r="F104" s="128" t="str">
        <f aca="false">IF(E104="CONTADO", 4%, IF(E104="TARJETA / CHEQUE", 3%, IF(OR(E104="FINANCIADO", E104="MCP"), 2.5%, "")))</f>
        <v/>
      </c>
      <c r="G104" s="122" t="str">
        <f aca="false">IF(F104="", "", F104*D104)</f>
        <v/>
      </c>
      <c r="H104" s="131" t="b">
        <f aca="false">FALSE()</f>
        <v>0</v>
      </c>
      <c r="I104" s="131" t="b">
        <f aca="false">FALSE()</f>
        <v>0</v>
      </c>
      <c r="J104" s="130"/>
      <c r="K104" s="110"/>
      <c r="L104" s="83"/>
      <c r="M104" s="103"/>
      <c r="N104" s="103"/>
      <c r="O104" s="103"/>
      <c r="P104" s="103"/>
      <c r="Q104" s="103"/>
      <c r="R104" s="83"/>
      <c r="S104" s="103"/>
      <c r="T104" s="103"/>
      <c r="U104" s="103"/>
    </row>
    <row r="105" customFormat="false" ht="22.5" hidden="false" customHeight="true" outlineLevel="0" collapsed="false">
      <c r="A105" s="99"/>
      <c r="B105" s="99"/>
      <c r="C105" s="99"/>
      <c r="D105" s="121"/>
      <c r="E105" s="99"/>
      <c r="F105" s="124" t="str">
        <f aca="false">IF(E105="CONTADO", 4%, IF(E105="TARJETA / CHEQUE", 3%, IF(OR(E105="FINANCIADO", E105="MCP"), 2.5%, "")))</f>
        <v/>
      </c>
      <c r="G105" s="121" t="str">
        <f aca="false">IF(F105="", "", F105*D105)</f>
        <v/>
      </c>
      <c r="H105" s="132" t="b">
        <f aca="false">FALSE()</f>
        <v>0</v>
      </c>
      <c r="I105" s="132" t="b">
        <f aca="false">FALSE()</f>
        <v>0</v>
      </c>
      <c r="J105" s="126"/>
      <c r="K105" s="99"/>
      <c r="L105" s="83"/>
      <c r="M105" s="103"/>
      <c r="N105" s="103"/>
      <c r="O105" s="103"/>
      <c r="P105" s="103"/>
      <c r="Q105" s="103"/>
      <c r="R105" s="83"/>
      <c r="S105" s="103"/>
      <c r="T105" s="103"/>
      <c r="U105" s="103"/>
    </row>
    <row r="106" customFormat="false" ht="22.5" hidden="false" customHeight="true" outlineLevel="0" collapsed="false">
      <c r="A106" s="110"/>
      <c r="B106" s="110"/>
      <c r="C106" s="110"/>
      <c r="D106" s="122"/>
      <c r="E106" s="110"/>
      <c r="F106" s="128" t="str">
        <f aca="false">IF(E106="CONTADO", 4%, IF(E106="TARJETA / CHEQUE", 3%, IF(OR(E106="FINANCIADO", E106="MCP"), 2.5%, "")))</f>
        <v/>
      </c>
      <c r="G106" s="122" t="str">
        <f aca="false">IF(F106="", "", F106*D106)</f>
        <v/>
      </c>
      <c r="H106" s="131" t="b">
        <f aca="false">FALSE()</f>
        <v>0</v>
      </c>
      <c r="I106" s="131" t="b">
        <f aca="false">FALSE()</f>
        <v>0</v>
      </c>
      <c r="J106" s="130"/>
      <c r="K106" s="110"/>
      <c r="L106" s="83"/>
      <c r="M106" s="103"/>
      <c r="N106" s="103"/>
      <c r="O106" s="103"/>
      <c r="P106" s="103"/>
      <c r="Q106" s="103"/>
      <c r="R106" s="83"/>
      <c r="S106" s="103"/>
      <c r="T106" s="103"/>
      <c r="U106" s="103"/>
    </row>
    <row r="107" customFormat="false" ht="22.5" hidden="false" customHeight="true" outlineLevel="0" collapsed="false">
      <c r="A107" s="99"/>
      <c r="B107" s="99"/>
      <c r="C107" s="99"/>
      <c r="D107" s="121"/>
      <c r="E107" s="99"/>
      <c r="F107" s="124" t="str">
        <f aca="false">IF(E107="CONTADO", 4%, IF(E107="TARJETA / CHEQUE", 3%, IF(OR(E107="FINANCIADO", E107="MCP"), 2.5%, "")))</f>
        <v/>
      </c>
      <c r="G107" s="121" t="str">
        <f aca="false">IF(F107="", "", F107*D107)</f>
        <v/>
      </c>
      <c r="H107" s="132" t="b">
        <f aca="false">FALSE()</f>
        <v>0</v>
      </c>
      <c r="I107" s="132" t="b">
        <f aca="false">FALSE()</f>
        <v>0</v>
      </c>
      <c r="J107" s="126"/>
      <c r="K107" s="99"/>
      <c r="L107" s="83"/>
      <c r="M107" s="103"/>
      <c r="N107" s="103"/>
      <c r="O107" s="103"/>
      <c r="P107" s="103"/>
      <c r="Q107" s="103"/>
      <c r="R107" s="83"/>
      <c r="S107" s="103"/>
      <c r="T107" s="103"/>
      <c r="U107" s="103"/>
    </row>
    <row r="108" customFormat="false" ht="22.5" hidden="false" customHeight="true" outlineLevel="0" collapsed="false">
      <c r="A108" s="110"/>
      <c r="B108" s="110"/>
      <c r="C108" s="110"/>
      <c r="D108" s="122"/>
      <c r="E108" s="110"/>
      <c r="F108" s="128" t="str">
        <f aca="false">IF(E108="CONTADO", 4%, IF(E108="TARJETA / CHEQUE", 3%, IF(OR(E108="FINANCIADO", E108="MCP"), 2.5%, "")))</f>
        <v/>
      </c>
      <c r="G108" s="122" t="str">
        <f aca="false">IF(F108="", "", F108*D108)</f>
        <v/>
      </c>
      <c r="H108" s="131" t="b">
        <f aca="false">FALSE()</f>
        <v>0</v>
      </c>
      <c r="I108" s="131" t="b">
        <f aca="false">FALSE()</f>
        <v>0</v>
      </c>
      <c r="J108" s="130"/>
      <c r="K108" s="110"/>
      <c r="L108" s="83"/>
      <c r="M108" s="103"/>
      <c r="N108" s="103"/>
      <c r="O108" s="103"/>
      <c r="P108" s="103"/>
      <c r="Q108" s="103"/>
      <c r="R108" s="83"/>
      <c r="S108" s="103"/>
      <c r="T108" s="103"/>
      <c r="U108" s="103"/>
    </row>
    <row r="109" customFormat="false" ht="22.5" hidden="false" customHeight="true" outlineLevel="0" collapsed="false">
      <c r="A109" s="99"/>
      <c r="B109" s="99"/>
      <c r="C109" s="99"/>
      <c r="D109" s="121"/>
      <c r="E109" s="99"/>
      <c r="F109" s="124" t="str">
        <f aca="false">IF(E109="CONTADO", 4%, IF(E109="TARJETA / CHEQUE", 3%, IF(OR(E109="FINANCIADO", E109="MCP"), 2.5%, "")))</f>
        <v/>
      </c>
      <c r="G109" s="121" t="str">
        <f aca="false">IF(F109="", "", F109*D109)</f>
        <v/>
      </c>
      <c r="H109" s="132" t="b">
        <f aca="false">FALSE()</f>
        <v>0</v>
      </c>
      <c r="I109" s="132" t="b">
        <f aca="false">FALSE()</f>
        <v>0</v>
      </c>
      <c r="J109" s="126"/>
      <c r="K109" s="99"/>
      <c r="L109" s="83"/>
      <c r="M109" s="103"/>
      <c r="N109" s="103"/>
      <c r="O109" s="103"/>
      <c r="P109" s="103"/>
      <c r="Q109" s="103"/>
      <c r="R109" s="83"/>
      <c r="S109" s="103"/>
      <c r="T109" s="103"/>
      <c r="U109" s="103"/>
    </row>
    <row r="110" customFormat="false" ht="22.5" hidden="false" customHeight="true" outlineLevel="0" collapsed="false">
      <c r="A110" s="110"/>
      <c r="B110" s="110"/>
      <c r="C110" s="110"/>
      <c r="D110" s="122"/>
      <c r="E110" s="110"/>
      <c r="F110" s="128" t="str">
        <f aca="false">IF(E110="CONTADO", 4%, IF(E110="TARJETA / CHEQUE", 3%, IF(OR(E110="FINANCIADO", E110="MCP"), 2.5%, "")))</f>
        <v/>
      </c>
      <c r="G110" s="122" t="str">
        <f aca="false">IF(F110="", "", F110*D110)</f>
        <v/>
      </c>
      <c r="H110" s="131" t="b">
        <f aca="false">FALSE()</f>
        <v>0</v>
      </c>
      <c r="I110" s="131" t="b">
        <f aca="false">FALSE()</f>
        <v>0</v>
      </c>
      <c r="J110" s="130"/>
      <c r="K110" s="110"/>
      <c r="L110" s="83"/>
      <c r="M110" s="103"/>
      <c r="N110" s="103"/>
      <c r="O110" s="103"/>
      <c r="P110" s="103"/>
      <c r="Q110" s="103"/>
      <c r="R110" s="83"/>
      <c r="S110" s="103"/>
      <c r="T110" s="103"/>
      <c r="U110" s="103"/>
    </row>
    <row r="111" customFormat="false" ht="22.5" hidden="false" customHeight="true" outlineLevel="0" collapsed="false">
      <c r="A111" s="99"/>
      <c r="B111" s="99"/>
      <c r="C111" s="99"/>
      <c r="D111" s="121"/>
      <c r="E111" s="99"/>
      <c r="F111" s="124" t="str">
        <f aca="false">IF(E111="CONTADO", 4%, IF(E111="TARJETA / CHEQUE", 3%, IF(OR(E111="FINANCIADO", E111="MCP"), 2.5%, "")))</f>
        <v/>
      </c>
      <c r="G111" s="121" t="str">
        <f aca="false">IF(F111="", "", F111*D111)</f>
        <v/>
      </c>
      <c r="H111" s="132" t="b">
        <f aca="false">FALSE()</f>
        <v>0</v>
      </c>
      <c r="I111" s="132" t="b">
        <f aca="false">FALSE()</f>
        <v>0</v>
      </c>
      <c r="J111" s="126"/>
      <c r="K111" s="99"/>
      <c r="L111" s="83"/>
      <c r="M111" s="103"/>
      <c r="N111" s="103"/>
      <c r="O111" s="103"/>
      <c r="P111" s="103"/>
      <c r="Q111" s="103"/>
      <c r="R111" s="83"/>
      <c r="S111" s="103"/>
      <c r="T111" s="103"/>
      <c r="U111" s="103"/>
    </row>
    <row r="112" customFormat="false" ht="22.5" hidden="false" customHeight="true" outlineLevel="0" collapsed="false">
      <c r="A112" s="110"/>
      <c r="B112" s="110"/>
      <c r="C112" s="110"/>
      <c r="D112" s="122"/>
      <c r="E112" s="110"/>
      <c r="F112" s="128" t="str">
        <f aca="false">IF(E112="CONTADO", 4%, IF(E112="TARJETA / CHEQUE", 3%, IF(OR(E112="FINANCIADO", E112="MCP"), 2.5%, "")))</f>
        <v/>
      </c>
      <c r="G112" s="122" t="str">
        <f aca="false">IF(F112="", "", F112*D112)</f>
        <v/>
      </c>
      <c r="H112" s="131" t="b">
        <f aca="false">FALSE()</f>
        <v>0</v>
      </c>
      <c r="I112" s="131" t="b">
        <f aca="false">FALSE()</f>
        <v>0</v>
      </c>
      <c r="J112" s="130"/>
      <c r="K112" s="110"/>
      <c r="L112" s="83"/>
      <c r="M112" s="103"/>
      <c r="N112" s="103"/>
      <c r="O112" s="103"/>
      <c r="P112" s="103"/>
      <c r="Q112" s="103"/>
      <c r="R112" s="83"/>
      <c r="S112" s="103"/>
      <c r="T112" s="103"/>
      <c r="U112" s="103"/>
    </row>
    <row r="113" customFormat="false" ht="22.5" hidden="false" customHeight="true" outlineLevel="0" collapsed="false">
      <c r="A113" s="99"/>
      <c r="B113" s="99"/>
      <c r="C113" s="99"/>
      <c r="D113" s="121"/>
      <c r="E113" s="99"/>
      <c r="F113" s="124" t="str">
        <f aca="false">IF(E113="CONTADO", 4%, IF(E113="TARJETA / CHEQUE", 3%, IF(OR(E113="FINANCIADO", E113="MCP"), 2.5%, "")))</f>
        <v/>
      </c>
      <c r="G113" s="121" t="str">
        <f aca="false">IF(F113="", "", F113*D113)</f>
        <v/>
      </c>
      <c r="H113" s="132" t="b">
        <f aca="false">FALSE()</f>
        <v>0</v>
      </c>
      <c r="I113" s="132" t="b">
        <f aca="false">FALSE()</f>
        <v>0</v>
      </c>
      <c r="J113" s="126"/>
      <c r="K113" s="99"/>
      <c r="L113" s="83"/>
      <c r="M113" s="103"/>
      <c r="N113" s="103"/>
      <c r="O113" s="103"/>
      <c r="P113" s="103"/>
      <c r="Q113" s="103"/>
      <c r="R113" s="83"/>
      <c r="S113" s="103"/>
      <c r="T113" s="103"/>
      <c r="U113" s="103"/>
    </row>
    <row r="114" customFormat="false" ht="22.5" hidden="false" customHeight="true" outlineLevel="0" collapsed="false">
      <c r="A114" s="110"/>
      <c r="B114" s="110"/>
      <c r="C114" s="110"/>
      <c r="D114" s="122"/>
      <c r="E114" s="110"/>
      <c r="F114" s="128" t="str">
        <f aca="false">IF(E114="CONTADO", 4%, IF(E114="TARJETA / CHEQUE", 3%, IF(OR(E114="FINANCIADO", E114="MCP"), 2.5%, "")))</f>
        <v/>
      </c>
      <c r="G114" s="122" t="str">
        <f aca="false">IF(F114="", "", F114*D114)</f>
        <v/>
      </c>
      <c r="H114" s="131" t="b">
        <f aca="false">FALSE()</f>
        <v>0</v>
      </c>
      <c r="I114" s="131" t="b">
        <f aca="false">FALSE()</f>
        <v>0</v>
      </c>
      <c r="J114" s="130"/>
      <c r="K114" s="110"/>
      <c r="L114" s="83"/>
      <c r="M114" s="103"/>
      <c r="N114" s="103"/>
      <c r="O114" s="103"/>
      <c r="P114" s="103"/>
      <c r="Q114" s="103"/>
      <c r="R114" s="83"/>
      <c r="S114" s="103"/>
      <c r="T114" s="103"/>
      <c r="U114" s="103"/>
    </row>
    <row r="115" customFormat="false" ht="22.5" hidden="false" customHeight="true" outlineLevel="0" collapsed="false">
      <c r="A115" s="99"/>
      <c r="B115" s="99"/>
      <c r="C115" s="99"/>
      <c r="D115" s="121"/>
      <c r="E115" s="99"/>
      <c r="F115" s="124" t="str">
        <f aca="false">IF(E115="CONTADO", 4%, IF(E115="TARJETA / CHEQUE", 3%, IF(OR(E115="FINANCIADO", E115="MCP"), 2.5%, "")))</f>
        <v/>
      </c>
      <c r="G115" s="121" t="str">
        <f aca="false">IF(F115="", "", F115*D115)</f>
        <v/>
      </c>
      <c r="H115" s="132" t="b">
        <f aca="false">FALSE()</f>
        <v>0</v>
      </c>
      <c r="I115" s="132" t="b">
        <f aca="false">FALSE()</f>
        <v>0</v>
      </c>
      <c r="J115" s="126"/>
      <c r="K115" s="99"/>
      <c r="L115" s="83"/>
      <c r="M115" s="103"/>
      <c r="N115" s="103"/>
      <c r="O115" s="103"/>
      <c r="P115" s="103"/>
      <c r="Q115" s="103"/>
      <c r="R115" s="83"/>
      <c r="S115" s="103"/>
      <c r="T115" s="103"/>
      <c r="U115" s="103"/>
    </row>
    <row r="116" customFormat="false" ht="22.5" hidden="false" customHeight="true" outlineLevel="0" collapsed="false">
      <c r="A116" s="110"/>
      <c r="B116" s="110"/>
      <c r="C116" s="110"/>
      <c r="D116" s="122"/>
      <c r="E116" s="110"/>
      <c r="F116" s="128" t="str">
        <f aca="false">IF(E116="CONTADO", 4%, IF(E116="TARJETA / CHEQUE", 3%, IF(OR(E116="FINANCIADO", E116="MCP"), 2.5%, "")))</f>
        <v/>
      </c>
      <c r="G116" s="122" t="str">
        <f aca="false">IF(F116="", "", F116*D116)</f>
        <v/>
      </c>
      <c r="H116" s="131" t="b">
        <f aca="false">FALSE()</f>
        <v>0</v>
      </c>
      <c r="I116" s="131" t="b">
        <f aca="false">FALSE()</f>
        <v>0</v>
      </c>
      <c r="J116" s="130"/>
      <c r="K116" s="110"/>
      <c r="L116" s="83"/>
      <c r="M116" s="103"/>
      <c r="N116" s="103"/>
      <c r="O116" s="103"/>
      <c r="P116" s="103"/>
      <c r="Q116" s="103"/>
      <c r="R116" s="83"/>
      <c r="S116" s="103"/>
      <c r="T116" s="103"/>
      <c r="U116" s="103"/>
    </row>
    <row r="117" customFormat="false" ht="22.5" hidden="false" customHeight="true" outlineLevel="0" collapsed="false">
      <c r="A117" s="99"/>
      <c r="B117" s="99"/>
      <c r="C117" s="99"/>
      <c r="D117" s="121"/>
      <c r="E117" s="99"/>
      <c r="F117" s="124" t="str">
        <f aca="false">IF(E117="CONTADO", 4%, IF(E117="TARJETA / CHEQUE", 3%, IF(OR(E117="FINANCIADO", E117="MCP"), 2.5%, "")))</f>
        <v/>
      </c>
      <c r="G117" s="121" t="str">
        <f aca="false">IF(F117="", "", F117*D117)</f>
        <v/>
      </c>
      <c r="H117" s="132" t="b">
        <f aca="false">FALSE()</f>
        <v>0</v>
      </c>
      <c r="I117" s="132" t="b">
        <f aca="false">FALSE()</f>
        <v>0</v>
      </c>
      <c r="J117" s="126"/>
      <c r="K117" s="99"/>
      <c r="L117" s="83"/>
      <c r="M117" s="103"/>
      <c r="N117" s="103"/>
      <c r="O117" s="103"/>
      <c r="P117" s="103"/>
      <c r="Q117" s="103"/>
      <c r="R117" s="83"/>
      <c r="S117" s="103"/>
      <c r="T117" s="103"/>
      <c r="U117" s="103"/>
    </row>
    <row r="118" customFormat="false" ht="22.5" hidden="false" customHeight="true" outlineLevel="0" collapsed="false">
      <c r="A118" s="110"/>
      <c r="B118" s="110"/>
      <c r="C118" s="110"/>
      <c r="D118" s="122"/>
      <c r="E118" s="110"/>
      <c r="F118" s="128" t="str">
        <f aca="false">IF(E118="CONTADO", 4%, IF(E118="TARJETA / CHEQUE", 3%, IF(OR(E118="FINANCIADO", E118="MCP"), 2.5%, "")))</f>
        <v/>
      </c>
      <c r="G118" s="122" t="str">
        <f aca="false">IF(F118="", "", F118*D118)</f>
        <v/>
      </c>
      <c r="H118" s="131" t="b">
        <f aca="false">FALSE()</f>
        <v>0</v>
      </c>
      <c r="I118" s="131" t="b">
        <f aca="false">FALSE()</f>
        <v>0</v>
      </c>
      <c r="J118" s="130"/>
      <c r="K118" s="110"/>
      <c r="L118" s="83"/>
      <c r="M118" s="103"/>
      <c r="N118" s="103"/>
      <c r="O118" s="103"/>
      <c r="P118" s="103"/>
      <c r="Q118" s="103"/>
      <c r="R118" s="83"/>
      <c r="S118" s="103"/>
      <c r="T118" s="103"/>
      <c r="U118" s="103"/>
    </row>
    <row r="119" customFormat="false" ht="22.5" hidden="false" customHeight="true" outlineLevel="0" collapsed="false">
      <c r="A119" s="99"/>
      <c r="B119" s="99"/>
      <c r="C119" s="99"/>
      <c r="D119" s="121"/>
      <c r="E119" s="99"/>
      <c r="F119" s="124" t="str">
        <f aca="false">IF(E119="CONTADO", 4%, IF(E119="TARJETA / CHEQUE", 3%, IF(OR(E119="FINANCIADO", E119="MCP"), 2.5%, "")))</f>
        <v/>
      </c>
      <c r="G119" s="121" t="str">
        <f aca="false">IF(F119="", "", F119*D119)</f>
        <v/>
      </c>
      <c r="H119" s="132" t="b">
        <f aca="false">FALSE()</f>
        <v>0</v>
      </c>
      <c r="I119" s="132" t="b">
        <f aca="false">FALSE()</f>
        <v>0</v>
      </c>
      <c r="J119" s="126"/>
      <c r="K119" s="99"/>
      <c r="L119" s="83"/>
      <c r="M119" s="103"/>
      <c r="N119" s="103"/>
      <c r="O119" s="103"/>
      <c r="P119" s="103"/>
      <c r="Q119" s="103"/>
      <c r="R119" s="83"/>
      <c r="S119" s="103"/>
      <c r="T119" s="103"/>
      <c r="U119" s="103"/>
    </row>
    <row r="120" customFormat="false" ht="22.5" hidden="false" customHeight="true" outlineLevel="0" collapsed="false">
      <c r="A120" s="110"/>
      <c r="B120" s="110"/>
      <c r="C120" s="110"/>
      <c r="D120" s="122"/>
      <c r="E120" s="110"/>
      <c r="F120" s="128" t="str">
        <f aca="false">IF(E120="CONTADO", 4%, IF(E120="TARJETA / CHEQUE", 3%, IF(OR(E120="FINANCIADO", E120="MCP"), 2.5%, "")))</f>
        <v/>
      </c>
      <c r="G120" s="122" t="str">
        <f aca="false">IF(F120="", "", F120*D120)</f>
        <v/>
      </c>
      <c r="H120" s="131" t="b">
        <f aca="false">FALSE()</f>
        <v>0</v>
      </c>
      <c r="I120" s="131" t="b">
        <f aca="false">FALSE()</f>
        <v>0</v>
      </c>
      <c r="J120" s="130"/>
      <c r="K120" s="110"/>
      <c r="L120" s="83"/>
      <c r="M120" s="103"/>
      <c r="N120" s="103"/>
      <c r="O120" s="103"/>
      <c r="P120" s="103"/>
      <c r="Q120" s="103"/>
      <c r="R120" s="83"/>
      <c r="S120" s="103"/>
      <c r="T120" s="103"/>
      <c r="U120" s="103"/>
    </row>
    <row r="121" customFormat="false" ht="22.5" hidden="false" customHeight="true" outlineLevel="0" collapsed="false">
      <c r="A121" s="99"/>
      <c r="B121" s="99"/>
      <c r="C121" s="99"/>
      <c r="D121" s="121"/>
      <c r="E121" s="99"/>
      <c r="F121" s="124" t="str">
        <f aca="false">IF(E121="CONTADO", 4%, IF(E121="TARJETA / CHEQUE", 3%, IF(OR(E121="FINANCIADO", E121="MCP"), 2.5%, "")))</f>
        <v/>
      </c>
      <c r="G121" s="121" t="str">
        <f aca="false">IF(F121="", "", F121*D121)</f>
        <v/>
      </c>
      <c r="H121" s="132" t="b">
        <f aca="false">FALSE()</f>
        <v>0</v>
      </c>
      <c r="I121" s="132" t="b">
        <f aca="false">FALSE()</f>
        <v>0</v>
      </c>
      <c r="J121" s="126"/>
      <c r="K121" s="99"/>
      <c r="L121" s="83"/>
      <c r="M121" s="103"/>
      <c r="N121" s="103"/>
      <c r="O121" s="103"/>
      <c r="P121" s="103"/>
      <c r="Q121" s="103"/>
      <c r="R121" s="83"/>
      <c r="S121" s="103"/>
      <c r="T121" s="103"/>
      <c r="U121" s="103"/>
    </row>
    <row r="122" customFormat="false" ht="22.5" hidden="false" customHeight="true" outlineLevel="0" collapsed="false">
      <c r="A122" s="110"/>
      <c r="B122" s="110"/>
      <c r="C122" s="110"/>
      <c r="D122" s="122"/>
      <c r="E122" s="110"/>
      <c r="F122" s="128" t="str">
        <f aca="false">IF(E122="CONTADO", 4%, IF(E122="TARJETA / CHEQUE", 3%, IF(OR(E122="FINANCIADO", E122="MCP"), 2.5%, "")))</f>
        <v/>
      </c>
      <c r="G122" s="122" t="str">
        <f aca="false">IF(F122="", "", F122*D122)</f>
        <v/>
      </c>
      <c r="H122" s="131" t="b">
        <f aca="false">FALSE()</f>
        <v>0</v>
      </c>
      <c r="I122" s="131" t="b">
        <f aca="false">FALSE()</f>
        <v>0</v>
      </c>
      <c r="J122" s="130"/>
      <c r="K122" s="110"/>
      <c r="L122" s="83"/>
      <c r="M122" s="103"/>
      <c r="N122" s="103"/>
      <c r="O122" s="103"/>
      <c r="P122" s="103"/>
      <c r="Q122" s="103"/>
      <c r="R122" s="83"/>
      <c r="S122" s="103"/>
      <c r="T122" s="103"/>
      <c r="U122" s="103"/>
    </row>
    <row r="123" customFormat="false" ht="22.5" hidden="false" customHeight="true" outlineLevel="0" collapsed="false">
      <c r="A123" s="99"/>
      <c r="B123" s="99"/>
      <c r="C123" s="99"/>
      <c r="D123" s="121"/>
      <c r="E123" s="99"/>
      <c r="F123" s="124" t="str">
        <f aca="false">IF(E123="CONTADO", 4%, IF(E123="TARJETA / CHEQUE", 3%, IF(OR(E123="FINANCIADO", E123="MCP"), 2.5%, "")))</f>
        <v/>
      </c>
      <c r="G123" s="121" t="str">
        <f aca="false">IF(F123="", "", F123*D123)</f>
        <v/>
      </c>
      <c r="H123" s="132" t="b">
        <f aca="false">FALSE()</f>
        <v>0</v>
      </c>
      <c r="I123" s="132" t="b">
        <f aca="false">FALSE()</f>
        <v>0</v>
      </c>
      <c r="J123" s="126"/>
      <c r="K123" s="99"/>
      <c r="L123" s="83"/>
      <c r="M123" s="103"/>
      <c r="N123" s="103"/>
      <c r="O123" s="103"/>
      <c r="P123" s="103"/>
      <c r="Q123" s="103"/>
      <c r="R123" s="83"/>
      <c r="S123" s="103"/>
      <c r="T123" s="103"/>
      <c r="U123" s="103"/>
    </row>
    <row r="124" customFormat="false" ht="22.5" hidden="false" customHeight="true" outlineLevel="0" collapsed="false">
      <c r="A124" s="110"/>
      <c r="B124" s="110"/>
      <c r="C124" s="110"/>
      <c r="D124" s="122"/>
      <c r="E124" s="110"/>
      <c r="F124" s="128" t="str">
        <f aca="false">IF(E124="CONTADO", 4%, IF(E124="TARJETA / CHEQUE", 3%, IF(OR(E124="FINANCIADO", E124="MCP"), 2.5%, "")))</f>
        <v/>
      </c>
      <c r="G124" s="122" t="str">
        <f aca="false">IF(F124="", "", F124*D124)</f>
        <v/>
      </c>
      <c r="H124" s="131" t="b">
        <f aca="false">FALSE()</f>
        <v>0</v>
      </c>
      <c r="I124" s="131" t="b">
        <f aca="false">FALSE()</f>
        <v>0</v>
      </c>
      <c r="J124" s="130"/>
      <c r="K124" s="110"/>
      <c r="L124" s="83"/>
      <c r="M124" s="103"/>
      <c r="N124" s="103"/>
      <c r="O124" s="103"/>
      <c r="P124" s="103"/>
      <c r="Q124" s="103"/>
      <c r="R124" s="83"/>
      <c r="S124" s="103"/>
      <c r="T124" s="103"/>
      <c r="U124" s="103"/>
    </row>
    <row r="125" customFormat="false" ht="22.5" hidden="false" customHeight="true" outlineLevel="0" collapsed="false">
      <c r="A125" s="99"/>
      <c r="B125" s="99"/>
      <c r="C125" s="99"/>
      <c r="D125" s="121"/>
      <c r="E125" s="99"/>
      <c r="F125" s="124" t="str">
        <f aca="false">IF(E125="CONTADO", 4%, IF(E125="TARJETA / CHEQUE", 3%, IF(OR(E125="FINANCIADO", E125="MCP"), 2.5%, "")))</f>
        <v/>
      </c>
      <c r="G125" s="121" t="str">
        <f aca="false">IF(F125="", "", F125*D125)</f>
        <v/>
      </c>
      <c r="H125" s="132" t="b">
        <f aca="false">FALSE()</f>
        <v>0</v>
      </c>
      <c r="I125" s="132" t="b">
        <f aca="false">FALSE()</f>
        <v>0</v>
      </c>
      <c r="J125" s="126"/>
      <c r="K125" s="99"/>
      <c r="L125" s="83"/>
      <c r="M125" s="103"/>
      <c r="N125" s="103"/>
      <c r="O125" s="103"/>
      <c r="P125" s="103"/>
      <c r="Q125" s="103"/>
      <c r="R125" s="83"/>
      <c r="S125" s="103"/>
      <c r="T125" s="103"/>
      <c r="U125" s="103"/>
    </row>
    <row r="126" customFormat="false" ht="22.5" hidden="false" customHeight="true" outlineLevel="0" collapsed="false">
      <c r="A126" s="110"/>
      <c r="B126" s="110"/>
      <c r="C126" s="110"/>
      <c r="D126" s="122"/>
      <c r="E126" s="110"/>
      <c r="F126" s="128" t="str">
        <f aca="false">IF(E126="CONTADO", 4%, IF(E126="TARJETA / CHEQUE", 3%, IF(OR(E126="FINANCIADO", E126="MCP"), 2.5%, "")))</f>
        <v/>
      </c>
      <c r="G126" s="122" t="str">
        <f aca="false">IF(F126="", "", F126*D126)</f>
        <v/>
      </c>
      <c r="H126" s="131" t="b">
        <f aca="false">FALSE()</f>
        <v>0</v>
      </c>
      <c r="I126" s="131" t="b">
        <f aca="false">FALSE()</f>
        <v>0</v>
      </c>
      <c r="J126" s="130"/>
      <c r="K126" s="110"/>
      <c r="L126" s="83"/>
      <c r="M126" s="103"/>
      <c r="N126" s="103"/>
      <c r="O126" s="103"/>
      <c r="P126" s="103"/>
      <c r="Q126" s="103"/>
      <c r="R126" s="83"/>
      <c r="S126" s="103"/>
      <c r="T126" s="103"/>
      <c r="U126" s="103"/>
    </row>
    <row r="127" customFormat="false" ht="22.5" hidden="false" customHeight="true" outlineLevel="0" collapsed="false">
      <c r="A127" s="99"/>
      <c r="B127" s="99"/>
      <c r="C127" s="99"/>
      <c r="D127" s="121"/>
      <c r="E127" s="99"/>
      <c r="F127" s="124" t="str">
        <f aca="false">IF(E127="CONTADO", 4%, IF(E127="TARJETA / CHEQUE", 3%, IF(OR(E127="FINANCIADO", E127="MCP"), 2.5%, "")))</f>
        <v/>
      </c>
      <c r="G127" s="121" t="str">
        <f aca="false">IF(F127="", "", F127*D127)</f>
        <v/>
      </c>
      <c r="H127" s="132" t="b">
        <f aca="false">FALSE()</f>
        <v>0</v>
      </c>
      <c r="I127" s="132" t="b">
        <f aca="false">FALSE()</f>
        <v>0</v>
      </c>
      <c r="J127" s="126"/>
      <c r="K127" s="99"/>
      <c r="L127" s="83"/>
      <c r="M127" s="103"/>
      <c r="N127" s="103"/>
      <c r="O127" s="103"/>
      <c r="P127" s="103"/>
      <c r="Q127" s="103"/>
      <c r="R127" s="83"/>
      <c r="S127" s="103"/>
      <c r="T127" s="103"/>
      <c r="U127" s="103"/>
    </row>
    <row r="128" customFormat="false" ht="22.5" hidden="false" customHeight="true" outlineLevel="0" collapsed="false">
      <c r="A128" s="110"/>
      <c r="B128" s="110"/>
      <c r="C128" s="110"/>
      <c r="D128" s="122"/>
      <c r="E128" s="110"/>
      <c r="F128" s="128" t="str">
        <f aca="false">IF(E128="CONTADO", 4%, IF(E128="TARJETA / CHEQUE", 3%, IF(OR(E128="FINANCIADO", E128="MCP"), 2.5%, "")))</f>
        <v/>
      </c>
      <c r="G128" s="122" t="str">
        <f aca="false">IF(F128="", "", F128*D128)</f>
        <v/>
      </c>
      <c r="H128" s="131" t="b">
        <f aca="false">FALSE()</f>
        <v>0</v>
      </c>
      <c r="I128" s="131" t="b">
        <f aca="false">FALSE()</f>
        <v>0</v>
      </c>
      <c r="J128" s="130"/>
      <c r="K128" s="110"/>
      <c r="L128" s="83"/>
      <c r="M128" s="103"/>
      <c r="N128" s="103"/>
      <c r="O128" s="103"/>
      <c r="P128" s="103"/>
      <c r="Q128" s="103"/>
      <c r="R128" s="83"/>
      <c r="S128" s="103"/>
      <c r="T128" s="103"/>
      <c r="U128" s="103"/>
    </row>
    <row r="129" customFormat="false" ht="22.5" hidden="false" customHeight="true" outlineLevel="0" collapsed="false">
      <c r="A129" s="99"/>
      <c r="B129" s="99"/>
      <c r="C129" s="99"/>
      <c r="D129" s="121"/>
      <c r="E129" s="99"/>
      <c r="F129" s="124" t="str">
        <f aca="false">IF(E129="CONTADO", 4%, IF(E129="TARJETA / CHEQUE", 3%, IF(OR(E129="FINANCIADO", E129="MCP"), 2.5%, "")))</f>
        <v/>
      </c>
      <c r="G129" s="121" t="str">
        <f aca="false">IF(F129="", "", F129*D129)</f>
        <v/>
      </c>
      <c r="H129" s="132" t="b">
        <f aca="false">FALSE()</f>
        <v>0</v>
      </c>
      <c r="I129" s="132" t="b">
        <f aca="false">FALSE()</f>
        <v>0</v>
      </c>
      <c r="J129" s="126"/>
      <c r="K129" s="99"/>
      <c r="L129" s="83"/>
      <c r="M129" s="103"/>
      <c r="N129" s="103"/>
      <c r="O129" s="103"/>
      <c r="P129" s="103"/>
      <c r="Q129" s="103"/>
      <c r="R129" s="83"/>
      <c r="S129" s="103"/>
      <c r="T129" s="103"/>
      <c r="U129" s="103"/>
    </row>
    <row r="130" customFormat="false" ht="22.5" hidden="false" customHeight="true" outlineLevel="0" collapsed="false">
      <c r="A130" s="110"/>
      <c r="B130" s="110"/>
      <c r="C130" s="110"/>
      <c r="D130" s="122"/>
      <c r="E130" s="110"/>
      <c r="F130" s="128" t="str">
        <f aca="false">IF(E130="CONTADO", 4%, IF(E130="TARJETA / CHEQUE", 3%, IF(OR(E130="FINANCIADO", E130="MCP"), 2.5%, "")))</f>
        <v/>
      </c>
      <c r="G130" s="122" t="str">
        <f aca="false">IF(F130="", "", F130*D130)</f>
        <v/>
      </c>
      <c r="H130" s="131" t="b">
        <f aca="false">FALSE()</f>
        <v>0</v>
      </c>
      <c r="I130" s="131" t="b">
        <f aca="false">FALSE()</f>
        <v>0</v>
      </c>
      <c r="J130" s="130"/>
      <c r="K130" s="110"/>
      <c r="L130" s="83"/>
      <c r="M130" s="103"/>
      <c r="N130" s="103"/>
      <c r="O130" s="103"/>
      <c r="P130" s="103"/>
      <c r="Q130" s="103"/>
      <c r="R130" s="83"/>
      <c r="S130" s="103"/>
      <c r="T130" s="103"/>
      <c r="U130" s="103"/>
    </row>
    <row r="131" customFormat="false" ht="22.5" hidden="false" customHeight="true" outlineLevel="0" collapsed="false">
      <c r="A131" s="99"/>
      <c r="B131" s="99"/>
      <c r="C131" s="99"/>
      <c r="D131" s="121"/>
      <c r="E131" s="99"/>
      <c r="F131" s="124" t="str">
        <f aca="false">IF(E131="CONTADO", 4%, IF(E131="TARJETA / CHEQUE", 3%, IF(OR(E131="FINANCIADO", E131="MCP"), 2.5%, "")))</f>
        <v/>
      </c>
      <c r="G131" s="121" t="str">
        <f aca="false">IF(F131="", "", F131*D131)</f>
        <v/>
      </c>
      <c r="H131" s="132" t="b">
        <f aca="false">FALSE()</f>
        <v>0</v>
      </c>
      <c r="I131" s="132" t="b">
        <f aca="false">FALSE()</f>
        <v>0</v>
      </c>
      <c r="J131" s="126"/>
      <c r="K131" s="99"/>
      <c r="L131" s="83"/>
      <c r="M131" s="103"/>
      <c r="N131" s="103"/>
      <c r="O131" s="103"/>
      <c r="P131" s="103"/>
      <c r="Q131" s="103"/>
      <c r="R131" s="83"/>
      <c r="S131" s="103"/>
      <c r="T131" s="103"/>
      <c r="U131" s="103"/>
    </row>
    <row r="132" customFormat="false" ht="22.5" hidden="false" customHeight="true" outlineLevel="0" collapsed="false">
      <c r="A132" s="110"/>
      <c r="B132" s="110"/>
      <c r="C132" s="110"/>
      <c r="D132" s="122"/>
      <c r="E132" s="110"/>
      <c r="F132" s="128" t="str">
        <f aca="false">IF(E132="CONTADO", 4%, IF(E132="TARJETA / CHEQUE", 3%, IF(OR(E132="FINANCIADO", E132="MCP"), 2.5%, "")))</f>
        <v/>
      </c>
      <c r="G132" s="122" t="str">
        <f aca="false">IF(F132="", "", F132*D132)</f>
        <v/>
      </c>
      <c r="H132" s="131" t="b">
        <f aca="false">FALSE()</f>
        <v>0</v>
      </c>
      <c r="I132" s="131" t="b">
        <f aca="false">FALSE()</f>
        <v>0</v>
      </c>
      <c r="J132" s="130"/>
      <c r="K132" s="110"/>
      <c r="L132" s="83"/>
      <c r="M132" s="103"/>
      <c r="N132" s="103"/>
      <c r="O132" s="103"/>
      <c r="P132" s="103"/>
      <c r="Q132" s="103"/>
      <c r="R132" s="83"/>
      <c r="S132" s="103"/>
      <c r="T132" s="103"/>
      <c r="U132" s="103"/>
    </row>
    <row r="133" customFormat="false" ht="22.5" hidden="false" customHeight="true" outlineLevel="0" collapsed="false">
      <c r="A133" s="99"/>
      <c r="B133" s="99"/>
      <c r="C133" s="99"/>
      <c r="D133" s="121"/>
      <c r="E133" s="99"/>
      <c r="F133" s="124" t="str">
        <f aca="false">IF(E133="CONTADO", 4%, IF(E133="TARJETA / CHEQUE", 3%, IF(OR(E133="FINANCIADO", E133="MCP"), 2.5%, "")))</f>
        <v/>
      </c>
      <c r="G133" s="121" t="str">
        <f aca="false">IF(F133="", "", F133*D133)</f>
        <v/>
      </c>
      <c r="H133" s="132" t="b">
        <f aca="false">FALSE()</f>
        <v>0</v>
      </c>
      <c r="I133" s="132" t="b">
        <f aca="false">FALSE()</f>
        <v>0</v>
      </c>
      <c r="J133" s="126"/>
      <c r="K133" s="99"/>
      <c r="L133" s="83"/>
      <c r="M133" s="103"/>
      <c r="N133" s="103"/>
      <c r="O133" s="103"/>
      <c r="P133" s="103"/>
      <c r="Q133" s="103"/>
      <c r="R133" s="83"/>
      <c r="S133" s="103"/>
      <c r="T133" s="103"/>
      <c r="U133" s="103"/>
    </row>
    <row r="134" customFormat="false" ht="22.5" hidden="false" customHeight="true" outlineLevel="0" collapsed="false">
      <c r="A134" s="110"/>
      <c r="B134" s="110"/>
      <c r="C134" s="110"/>
      <c r="D134" s="122"/>
      <c r="E134" s="110"/>
      <c r="F134" s="128" t="str">
        <f aca="false">IF(E134="CONTADO", 4%, IF(E134="TARJETA / CHEQUE", 3%, IF(OR(E134="FINANCIADO", E134="MCP"), 2.5%, "")))</f>
        <v/>
      </c>
      <c r="G134" s="122" t="str">
        <f aca="false">IF(F134="", "", F134*D134)</f>
        <v/>
      </c>
      <c r="H134" s="131" t="b">
        <f aca="false">FALSE()</f>
        <v>0</v>
      </c>
      <c r="I134" s="131" t="b">
        <f aca="false">FALSE()</f>
        <v>0</v>
      </c>
      <c r="J134" s="130"/>
      <c r="K134" s="110"/>
      <c r="L134" s="83"/>
      <c r="M134" s="103"/>
      <c r="N134" s="103"/>
      <c r="O134" s="103"/>
      <c r="P134" s="103"/>
      <c r="Q134" s="103"/>
      <c r="R134" s="83"/>
      <c r="S134" s="103"/>
      <c r="T134" s="103"/>
      <c r="U134" s="103"/>
    </row>
    <row r="135" customFormat="false" ht="22.5" hidden="false" customHeight="true" outlineLevel="0" collapsed="false">
      <c r="A135" s="99"/>
      <c r="B135" s="99"/>
      <c r="C135" s="99"/>
      <c r="D135" s="121"/>
      <c r="E135" s="99"/>
      <c r="F135" s="124" t="str">
        <f aca="false">IF(E135="CONTADO", 4%, IF(E135="TARJETA / CHEQUE", 3%, IF(OR(E135="FINANCIADO", E135="MCP"), 2.5%, "")))</f>
        <v/>
      </c>
      <c r="G135" s="121" t="str">
        <f aca="false">IF(F135="", "", F135*D135)</f>
        <v/>
      </c>
      <c r="H135" s="132" t="b">
        <f aca="false">FALSE()</f>
        <v>0</v>
      </c>
      <c r="I135" s="132" t="b">
        <f aca="false">FALSE()</f>
        <v>0</v>
      </c>
      <c r="J135" s="126"/>
      <c r="K135" s="99"/>
      <c r="L135" s="83"/>
      <c r="M135" s="103"/>
      <c r="N135" s="103"/>
      <c r="O135" s="103"/>
      <c r="P135" s="103"/>
      <c r="Q135" s="103"/>
      <c r="R135" s="83"/>
      <c r="S135" s="103"/>
      <c r="T135" s="103"/>
      <c r="U135" s="103"/>
    </row>
    <row r="136" customFormat="false" ht="22.5" hidden="false" customHeight="true" outlineLevel="0" collapsed="false">
      <c r="A136" s="110"/>
      <c r="B136" s="110"/>
      <c r="C136" s="110"/>
      <c r="D136" s="122"/>
      <c r="E136" s="110"/>
      <c r="F136" s="128" t="str">
        <f aca="false">IF(E136="CONTADO", 4%, IF(E136="TARJETA / CHEQUE", 3%, IF(OR(E136="FINANCIADO", E136="MCP"), 2.5%, "")))</f>
        <v/>
      </c>
      <c r="G136" s="122" t="str">
        <f aca="false">IF(F136="", "", F136*D136)</f>
        <v/>
      </c>
      <c r="H136" s="131" t="b">
        <f aca="false">FALSE()</f>
        <v>0</v>
      </c>
      <c r="I136" s="131" t="b">
        <f aca="false">FALSE()</f>
        <v>0</v>
      </c>
      <c r="J136" s="130"/>
      <c r="K136" s="110"/>
      <c r="L136" s="83"/>
      <c r="M136" s="103"/>
      <c r="N136" s="103"/>
      <c r="O136" s="103"/>
      <c r="P136" s="103"/>
      <c r="Q136" s="103"/>
      <c r="R136" s="83"/>
      <c r="S136" s="103"/>
      <c r="T136" s="103"/>
      <c r="U136" s="103"/>
    </row>
    <row r="137" customFormat="false" ht="22.5" hidden="false" customHeight="true" outlineLevel="0" collapsed="false">
      <c r="A137" s="99"/>
      <c r="B137" s="99"/>
      <c r="C137" s="99"/>
      <c r="D137" s="121"/>
      <c r="E137" s="99"/>
      <c r="F137" s="124" t="str">
        <f aca="false">IF(E137="CONTADO", 4%, IF(E137="TARJETA / CHEQUE", 3%, IF(OR(E137="FINANCIADO", E137="MCP"), 2.5%, "")))</f>
        <v/>
      </c>
      <c r="G137" s="121" t="str">
        <f aca="false">IF(F137="", "", F137*D137)</f>
        <v/>
      </c>
      <c r="H137" s="132" t="b">
        <f aca="false">FALSE()</f>
        <v>0</v>
      </c>
      <c r="I137" s="132" t="b">
        <f aca="false">FALSE()</f>
        <v>0</v>
      </c>
      <c r="J137" s="126"/>
      <c r="K137" s="99"/>
      <c r="L137" s="83"/>
      <c r="M137" s="103"/>
      <c r="N137" s="103"/>
      <c r="O137" s="103"/>
      <c r="P137" s="103"/>
      <c r="Q137" s="103"/>
      <c r="R137" s="83"/>
      <c r="S137" s="103"/>
      <c r="T137" s="103"/>
      <c r="U137" s="103"/>
    </row>
    <row r="138" customFormat="false" ht="22.5" hidden="false" customHeight="true" outlineLevel="0" collapsed="false">
      <c r="A138" s="110"/>
      <c r="B138" s="110"/>
      <c r="C138" s="110"/>
      <c r="D138" s="122"/>
      <c r="E138" s="110"/>
      <c r="F138" s="128" t="str">
        <f aca="false">IF(E138="CONTADO", 4%, IF(E138="TARJETA / CHEQUE", 3%, IF(OR(E138="FINANCIADO", E138="MCP"), 2.5%, "")))</f>
        <v/>
      </c>
      <c r="G138" s="122" t="str">
        <f aca="false">IF(F138="", "", F138*D138)</f>
        <v/>
      </c>
      <c r="H138" s="131" t="b">
        <f aca="false">FALSE()</f>
        <v>0</v>
      </c>
      <c r="I138" s="131" t="b">
        <f aca="false">FALSE()</f>
        <v>0</v>
      </c>
      <c r="J138" s="130"/>
      <c r="K138" s="110"/>
      <c r="L138" s="83"/>
      <c r="M138" s="103"/>
      <c r="N138" s="103"/>
      <c r="O138" s="103"/>
      <c r="P138" s="103"/>
      <c r="Q138" s="103"/>
      <c r="R138" s="83"/>
      <c r="S138" s="103"/>
      <c r="T138" s="103"/>
      <c r="U138" s="103"/>
    </row>
    <row r="139" customFormat="false" ht="22.5" hidden="false" customHeight="true" outlineLevel="0" collapsed="false">
      <c r="A139" s="99"/>
      <c r="B139" s="99"/>
      <c r="C139" s="99"/>
      <c r="D139" s="121"/>
      <c r="E139" s="99"/>
      <c r="F139" s="124" t="str">
        <f aca="false">IF(E139="CONTADO", 4%, IF(E139="TARJETA / CHEQUE", 3%, IF(OR(E139="FINANCIADO", E139="MCP"), 2.5%, "")))</f>
        <v/>
      </c>
      <c r="G139" s="121" t="str">
        <f aca="false">IF(F139="", "", F139*D139)</f>
        <v/>
      </c>
      <c r="H139" s="132" t="b">
        <f aca="false">FALSE()</f>
        <v>0</v>
      </c>
      <c r="I139" s="132" t="b">
        <f aca="false">FALSE()</f>
        <v>0</v>
      </c>
      <c r="J139" s="126"/>
      <c r="K139" s="99"/>
      <c r="L139" s="83"/>
      <c r="M139" s="103"/>
      <c r="N139" s="103"/>
      <c r="O139" s="103"/>
      <c r="P139" s="103"/>
      <c r="Q139" s="103"/>
      <c r="R139" s="83"/>
      <c r="S139" s="103"/>
      <c r="T139" s="103"/>
      <c r="U139" s="103"/>
    </row>
    <row r="140" customFormat="false" ht="22.5" hidden="false" customHeight="true" outlineLevel="0" collapsed="false">
      <c r="A140" s="110"/>
      <c r="B140" s="110"/>
      <c r="C140" s="110"/>
      <c r="D140" s="122"/>
      <c r="E140" s="110"/>
      <c r="F140" s="128" t="str">
        <f aca="false">IF(E140="CONTADO", 4%, IF(E140="TARJETA / CHEQUE", 3%, IF(OR(E140="FINANCIADO", E140="MCP"), 2.5%, "")))</f>
        <v/>
      </c>
      <c r="G140" s="122" t="str">
        <f aca="false">IF(F140="", "", F140*D140)</f>
        <v/>
      </c>
      <c r="H140" s="131" t="b">
        <f aca="false">FALSE()</f>
        <v>0</v>
      </c>
      <c r="I140" s="131" t="b">
        <f aca="false">FALSE()</f>
        <v>0</v>
      </c>
      <c r="J140" s="130"/>
      <c r="K140" s="110"/>
      <c r="L140" s="83"/>
      <c r="M140" s="103"/>
      <c r="N140" s="103"/>
      <c r="O140" s="103"/>
      <c r="P140" s="103"/>
      <c r="Q140" s="103"/>
      <c r="R140" s="83"/>
      <c r="S140" s="103"/>
      <c r="T140" s="103"/>
      <c r="U140" s="103"/>
    </row>
    <row r="141" customFormat="false" ht="22.5" hidden="false" customHeight="true" outlineLevel="0" collapsed="false">
      <c r="A141" s="99"/>
      <c r="B141" s="99"/>
      <c r="C141" s="99"/>
      <c r="D141" s="121"/>
      <c r="E141" s="99"/>
      <c r="F141" s="124" t="str">
        <f aca="false">IF(E141="CONTADO", 4%, IF(E141="TARJETA / CHEQUE", 3%, IF(OR(E141="FINANCIADO", E141="MCP"), 2.5%, "")))</f>
        <v/>
      </c>
      <c r="G141" s="121" t="str">
        <f aca="false">IF(F141="", "", F141*D141)</f>
        <v/>
      </c>
      <c r="H141" s="132" t="b">
        <f aca="false">FALSE()</f>
        <v>0</v>
      </c>
      <c r="I141" s="132" t="b">
        <f aca="false">FALSE()</f>
        <v>0</v>
      </c>
      <c r="J141" s="126"/>
      <c r="K141" s="99"/>
      <c r="L141" s="83"/>
      <c r="M141" s="103"/>
      <c r="N141" s="103"/>
      <c r="O141" s="103"/>
      <c r="P141" s="103"/>
      <c r="Q141" s="103"/>
      <c r="R141" s="83"/>
      <c r="S141" s="103"/>
      <c r="T141" s="103"/>
      <c r="U141" s="103"/>
    </row>
    <row r="142" customFormat="false" ht="22.5" hidden="false" customHeight="true" outlineLevel="0" collapsed="false">
      <c r="A142" s="110"/>
      <c r="B142" s="110"/>
      <c r="C142" s="110"/>
      <c r="D142" s="122"/>
      <c r="E142" s="110"/>
      <c r="F142" s="128" t="str">
        <f aca="false">IF(E142="CONTADO", 4%, IF(E142="TARJETA / CHEQUE", 3%, IF(OR(E142="FINANCIADO", E142="MCP"), 2.5%, "")))</f>
        <v/>
      </c>
      <c r="G142" s="122" t="str">
        <f aca="false">IF(F142="", "", F142*D142)</f>
        <v/>
      </c>
      <c r="H142" s="131" t="b">
        <f aca="false">FALSE()</f>
        <v>0</v>
      </c>
      <c r="I142" s="131" t="b">
        <f aca="false">FALSE()</f>
        <v>0</v>
      </c>
      <c r="J142" s="130"/>
      <c r="K142" s="110"/>
      <c r="L142" s="83"/>
      <c r="M142" s="103"/>
      <c r="N142" s="103"/>
      <c r="O142" s="103"/>
      <c r="P142" s="103"/>
      <c r="Q142" s="103"/>
      <c r="R142" s="83"/>
      <c r="S142" s="103"/>
      <c r="T142" s="103"/>
      <c r="U142" s="103"/>
    </row>
    <row r="143" customFormat="false" ht="22.5" hidden="false" customHeight="true" outlineLevel="0" collapsed="false">
      <c r="A143" s="99"/>
      <c r="B143" s="99"/>
      <c r="C143" s="99"/>
      <c r="D143" s="121"/>
      <c r="E143" s="99"/>
      <c r="F143" s="124" t="str">
        <f aca="false">IF(E143="CONTADO", 4%, IF(E143="TARJETA / CHEQUE", 3%, IF(OR(E143="FINANCIADO", E143="MCP"), 2.5%, "")))</f>
        <v/>
      </c>
      <c r="G143" s="121" t="str">
        <f aca="false">IF(F143="", "", F143*D143)</f>
        <v/>
      </c>
      <c r="H143" s="132" t="b">
        <f aca="false">FALSE()</f>
        <v>0</v>
      </c>
      <c r="I143" s="132" t="b">
        <f aca="false">FALSE()</f>
        <v>0</v>
      </c>
      <c r="J143" s="126"/>
      <c r="K143" s="99"/>
      <c r="L143" s="83"/>
      <c r="M143" s="103"/>
      <c r="N143" s="103"/>
      <c r="O143" s="103"/>
      <c r="P143" s="103"/>
      <c r="Q143" s="103"/>
      <c r="R143" s="83"/>
      <c r="S143" s="103"/>
      <c r="T143" s="103"/>
      <c r="U143" s="103"/>
    </row>
    <row r="144" customFormat="false" ht="22.5" hidden="false" customHeight="true" outlineLevel="0" collapsed="false">
      <c r="A144" s="110"/>
      <c r="B144" s="110"/>
      <c r="C144" s="110"/>
      <c r="D144" s="122"/>
      <c r="E144" s="110"/>
      <c r="F144" s="128" t="str">
        <f aca="false">IF(E144="CONTADO", 4%, IF(E144="TARJETA / CHEQUE", 3%, IF(OR(E144="FINANCIADO", E144="MCP"), 2.5%, "")))</f>
        <v/>
      </c>
      <c r="G144" s="122" t="str">
        <f aca="false">IF(F144="", "", F144*D144)</f>
        <v/>
      </c>
      <c r="H144" s="131" t="b">
        <f aca="false">FALSE()</f>
        <v>0</v>
      </c>
      <c r="I144" s="131" t="b">
        <f aca="false">FALSE()</f>
        <v>0</v>
      </c>
      <c r="J144" s="130"/>
      <c r="K144" s="110"/>
      <c r="L144" s="83"/>
      <c r="M144" s="103"/>
      <c r="N144" s="103"/>
      <c r="O144" s="103"/>
      <c r="P144" s="103"/>
      <c r="Q144" s="103"/>
      <c r="R144" s="83"/>
      <c r="S144" s="103"/>
      <c r="T144" s="103"/>
      <c r="U144" s="103"/>
    </row>
    <row r="145" customFormat="false" ht="22.5" hidden="false" customHeight="true" outlineLevel="0" collapsed="false">
      <c r="A145" s="99"/>
      <c r="B145" s="99"/>
      <c r="C145" s="99"/>
      <c r="D145" s="121"/>
      <c r="E145" s="99"/>
      <c r="F145" s="124" t="str">
        <f aca="false">IF(E145="CONTADO", 4%, IF(E145="TARJETA / CHEQUE", 3%, IF(OR(E145="FINANCIADO", E145="MCP"), 2.5%, "")))</f>
        <v/>
      </c>
      <c r="G145" s="121" t="str">
        <f aca="false">IF(F145="", "", F145*D145)</f>
        <v/>
      </c>
      <c r="H145" s="132" t="b">
        <f aca="false">FALSE()</f>
        <v>0</v>
      </c>
      <c r="I145" s="132" t="b">
        <f aca="false">FALSE()</f>
        <v>0</v>
      </c>
      <c r="J145" s="126"/>
      <c r="K145" s="99"/>
      <c r="L145" s="83"/>
      <c r="M145" s="103"/>
      <c r="N145" s="103"/>
      <c r="O145" s="103"/>
      <c r="P145" s="103"/>
      <c r="Q145" s="103"/>
      <c r="R145" s="83"/>
      <c r="S145" s="103"/>
      <c r="T145" s="103"/>
      <c r="U145" s="103"/>
    </row>
    <row r="146" customFormat="false" ht="22.5" hidden="false" customHeight="true" outlineLevel="0" collapsed="false">
      <c r="A146" s="110"/>
      <c r="B146" s="110"/>
      <c r="C146" s="110"/>
      <c r="D146" s="122"/>
      <c r="E146" s="110"/>
      <c r="F146" s="128" t="str">
        <f aca="false">IF(E146="CONTADO", 4%, IF(E146="TARJETA / CHEQUE", 3%, IF(OR(E146="FINANCIADO", E146="MCP"), 2.5%, "")))</f>
        <v/>
      </c>
      <c r="G146" s="122" t="str">
        <f aca="false">IF(F146="", "", F146*D146)</f>
        <v/>
      </c>
      <c r="H146" s="131" t="b">
        <f aca="false">FALSE()</f>
        <v>0</v>
      </c>
      <c r="I146" s="131" t="b">
        <f aca="false">FALSE()</f>
        <v>0</v>
      </c>
      <c r="J146" s="130"/>
      <c r="K146" s="110"/>
      <c r="L146" s="83"/>
      <c r="M146" s="103"/>
      <c r="N146" s="103"/>
      <c r="O146" s="103"/>
      <c r="P146" s="103"/>
      <c r="Q146" s="103"/>
      <c r="R146" s="83"/>
      <c r="S146" s="103"/>
      <c r="T146" s="103"/>
      <c r="U146" s="103"/>
    </row>
    <row r="147" customFormat="false" ht="22.5" hidden="false" customHeight="true" outlineLevel="0" collapsed="false">
      <c r="A147" s="99"/>
      <c r="B147" s="99"/>
      <c r="C147" s="99"/>
      <c r="D147" s="121"/>
      <c r="E147" s="99"/>
      <c r="F147" s="124" t="str">
        <f aca="false">IF(E147="CONTADO", 4%, IF(E147="TARJETA / CHEQUE", 3%, IF(OR(E147="FINANCIADO", E147="MCP"), 2.5%, "")))</f>
        <v/>
      </c>
      <c r="G147" s="121" t="str">
        <f aca="false">IF(F147="", "", F147*D147)</f>
        <v/>
      </c>
      <c r="H147" s="132" t="b">
        <f aca="false">FALSE()</f>
        <v>0</v>
      </c>
      <c r="I147" s="132" t="b">
        <f aca="false">FALSE()</f>
        <v>0</v>
      </c>
      <c r="J147" s="126"/>
      <c r="K147" s="99"/>
      <c r="L147" s="83"/>
      <c r="M147" s="103"/>
      <c r="N147" s="103"/>
      <c r="O147" s="103"/>
      <c r="P147" s="103"/>
      <c r="Q147" s="103"/>
      <c r="R147" s="83"/>
      <c r="S147" s="103"/>
      <c r="T147" s="103"/>
      <c r="U147" s="103"/>
    </row>
    <row r="148" customFormat="false" ht="22.5" hidden="false" customHeight="true" outlineLevel="0" collapsed="false">
      <c r="A148" s="110"/>
      <c r="B148" s="110"/>
      <c r="C148" s="110"/>
      <c r="D148" s="122"/>
      <c r="E148" s="110"/>
      <c r="F148" s="128" t="str">
        <f aca="false">IF(E148="CONTADO", 4%, IF(E148="TARJETA / CHEQUE", 3%, IF(OR(E148="FINANCIADO", E148="MCP"), 2.5%, "")))</f>
        <v/>
      </c>
      <c r="G148" s="122" t="str">
        <f aca="false">IF(F148="", "", F148*D148)</f>
        <v/>
      </c>
      <c r="H148" s="131" t="b">
        <f aca="false">FALSE()</f>
        <v>0</v>
      </c>
      <c r="I148" s="131" t="b">
        <f aca="false">FALSE()</f>
        <v>0</v>
      </c>
      <c r="J148" s="130"/>
      <c r="K148" s="110"/>
      <c r="L148" s="83"/>
      <c r="M148" s="103"/>
      <c r="N148" s="103"/>
      <c r="O148" s="103"/>
      <c r="P148" s="103"/>
      <c r="Q148" s="103"/>
      <c r="R148" s="83"/>
      <c r="S148" s="103"/>
      <c r="T148" s="103"/>
      <c r="U148" s="103"/>
    </row>
    <row r="149" customFormat="false" ht="22.5" hidden="false" customHeight="true" outlineLevel="0" collapsed="false">
      <c r="A149" s="99"/>
      <c r="B149" s="99"/>
      <c r="C149" s="99"/>
      <c r="D149" s="121"/>
      <c r="E149" s="99"/>
      <c r="F149" s="124" t="str">
        <f aca="false">IF(E149="CONTADO", 4%, IF(E149="TARJETA / CHEQUE", 3%, IF(OR(E149="FINANCIADO", E149="MCP"), 2.5%, "")))</f>
        <v/>
      </c>
      <c r="G149" s="121" t="str">
        <f aca="false">IF(F149="", "", F149*D149)</f>
        <v/>
      </c>
      <c r="H149" s="132" t="b">
        <f aca="false">FALSE()</f>
        <v>0</v>
      </c>
      <c r="I149" s="132" t="b">
        <f aca="false">FALSE()</f>
        <v>0</v>
      </c>
      <c r="J149" s="126"/>
      <c r="K149" s="99"/>
      <c r="L149" s="83"/>
      <c r="M149" s="103"/>
      <c r="N149" s="103"/>
      <c r="O149" s="103"/>
      <c r="P149" s="103"/>
      <c r="Q149" s="103"/>
      <c r="R149" s="83"/>
      <c r="S149" s="103"/>
      <c r="T149" s="103"/>
      <c r="U149" s="103"/>
    </row>
    <row r="150" customFormat="false" ht="22.5" hidden="false" customHeight="true" outlineLevel="0" collapsed="false">
      <c r="A150" s="110"/>
      <c r="B150" s="110"/>
      <c r="C150" s="110"/>
      <c r="D150" s="122"/>
      <c r="E150" s="110"/>
      <c r="F150" s="128" t="str">
        <f aca="false">IF(E150="CONTADO", 4%, IF(E150="TARJETA / CHEQUE", 3%, IF(OR(E150="FINANCIADO", E150="MCP"), 2.5%, "")))</f>
        <v/>
      </c>
      <c r="G150" s="122" t="str">
        <f aca="false">IF(F150="", "", F150*D150)</f>
        <v/>
      </c>
      <c r="H150" s="131" t="b">
        <f aca="false">FALSE()</f>
        <v>0</v>
      </c>
      <c r="I150" s="131" t="b">
        <f aca="false">FALSE()</f>
        <v>0</v>
      </c>
      <c r="J150" s="130"/>
      <c r="K150" s="110"/>
      <c r="L150" s="83"/>
      <c r="M150" s="103"/>
      <c r="N150" s="103"/>
      <c r="O150" s="103"/>
      <c r="P150" s="103"/>
      <c r="Q150" s="103"/>
      <c r="R150" s="83"/>
      <c r="S150" s="103"/>
      <c r="T150" s="103"/>
      <c r="U150" s="103"/>
    </row>
    <row r="151" customFormat="false" ht="22.5" hidden="false" customHeight="true" outlineLevel="0" collapsed="false">
      <c r="A151" s="99"/>
      <c r="B151" s="99"/>
      <c r="C151" s="99"/>
      <c r="D151" s="121"/>
      <c r="E151" s="99"/>
      <c r="F151" s="124" t="str">
        <f aca="false">IF(E151="CONTADO", 4%, IF(E151="TARJETA / CHEQUE", 3%, IF(OR(E151="FINANCIADO", E151="MCP"), 2.5%, "")))</f>
        <v/>
      </c>
      <c r="G151" s="121" t="str">
        <f aca="false">IF(F151="", "", F151*D151)</f>
        <v/>
      </c>
      <c r="H151" s="132" t="b">
        <f aca="false">FALSE()</f>
        <v>0</v>
      </c>
      <c r="I151" s="132" t="b">
        <f aca="false">FALSE()</f>
        <v>0</v>
      </c>
      <c r="J151" s="126"/>
      <c r="K151" s="99"/>
      <c r="L151" s="83"/>
      <c r="M151" s="103"/>
      <c r="N151" s="103"/>
      <c r="O151" s="103"/>
      <c r="P151" s="103"/>
      <c r="Q151" s="103"/>
      <c r="R151" s="83"/>
      <c r="S151" s="103"/>
      <c r="T151" s="103"/>
      <c r="U151" s="103"/>
    </row>
    <row r="152" customFormat="false" ht="22.5" hidden="false" customHeight="true" outlineLevel="0" collapsed="false">
      <c r="A152" s="110"/>
      <c r="B152" s="110"/>
      <c r="C152" s="110"/>
      <c r="D152" s="122"/>
      <c r="E152" s="110"/>
      <c r="F152" s="128" t="str">
        <f aca="false">IF(E152="CONTADO", 4%, IF(E152="TARJETA / CHEQUE", 3%, IF(OR(E152="FINANCIADO", E152="MCP"), 2.5%, "")))</f>
        <v/>
      </c>
      <c r="G152" s="122" t="str">
        <f aca="false">IF(F152="", "", F152*D152)</f>
        <v/>
      </c>
      <c r="H152" s="131" t="b">
        <f aca="false">FALSE()</f>
        <v>0</v>
      </c>
      <c r="I152" s="131" t="b">
        <f aca="false">FALSE()</f>
        <v>0</v>
      </c>
      <c r="J152" s="130"/>
      <c r="K152" s="110"/>
      <c r="L152" s="83"/>
      <c r="M152" s="103"/>
      <c r="N152" s="103"/>
      <c r="O152" s="103"/>
      <c r="P152" s="103"/>
      <c r="Q152" s="103"/>
      <c r="R152" s="83"/>
      <c r="S152" s="103"/>
      <c r="T152" s="103"/>
      <c r="U152" s="103"/>
    </row>
    <row r="153" customFormat="false" ht="22.5" hidden="false" customHeight="true" outlineLevel="0" collapsed="false">
      <c r="A153" s="99"/>
      <c r="B153" s="99"/>
      <c r="C153" s="99"/>
      <c r="D153" s="121"/>
      <c r="E153" s="99"/>
      <c r="F153" s="124" t="str">
        <f aca="false">IF(E153="CONTADO", 4%, IF(E153="TARJETA / CHEQUE", 3%, IF(OR(E153="FINANCIADO", E153="MCP"), 2.5%, "")))</f>
        <v/>
      </c>
      <c r="G153" s="121" t="str">
        <f aca="false">IF(F153="", "", F153*D153)</f>
        <v/>
      </c>
      <c r="H153" s="132" t="b">
        <f aca="false">FALSE()</f>
        <v>0</v>
      </c>
      <c r="I153" s="132" t="b">
        <f aca="false">FALSE()</f>
        <v>0</v>
      </c>
      <c r="J153" s="126"/>
      <c r="K153" s="99"/>
      <c r="L153" s="83"/>
      <c r="M153" s="103"/>
      <c r="N153" s="103"/>
      <c r="O153" s="103"/>
      <c r="P153" s="103"/>
      <c r="Q153" s="103"/>
      <c r="R153" s="83"/>
      <c r="S153" s="103"/>
      <c r="T153" s="103"/>
      <c r="U153" s="103"/>
    </row>
    <row r="154" customFormat="false" ht="22.5" hidden="false" customHeight="true" outlineLevel="0" collapsed="false">
      <c r="A154" s="110"/>
      <c r="B154" s="110"/>
      <c r="C154" s="110"/>
      <c r="D154" s="122"/>
      <c r="E154" s="110"/>
      <c r="F154" s="128" t="str">
        <f aca="false">IF(E154="CONTADO", 4%, IF(E154="TARJETA / CHEQUE", 3%, IF(OR(E154="FINANCIADO", E154="MCP"), 2.5%, "")))</f>
        <v/>
      </c>
      <c r="G154" s="122" t="str">
        <f aca="false">IF(F154="", "", F154*D154)</f>
        <v/>
      </c>
      <c r="H154" s="131" t="b">
        <f aca="false">FALSE()</f>
        <v>0</v>
      </c>
      <c r="I154" s="131" t="b">
        <f aca="false">FALSE()</f>
        <v>0</v>
      </c>
      <c r="J154" s="130"/>
      <c r="K154" s="110"/>
      <c r="L154" s="83"/>
      <c r="M154" s="103"/>
      <c r="N154" s="103"/>
      <c r="O154" s="103"/>
      <c r="P154" s="103"/>
      <c r="Q154" s="103"/>
      <c r="R154" s="83"/>
      <c r="S154" s="103"/>
      <c r="T154" s="103"/>
      <c r="U154" s="103"/>
    </row>
    <row r="155" customFormat="false" ht="22.5" hidden="false" customHeight="true" outlineLevel="0" collapsed="false">
      <c r="A155" s="99"/>
      <c r="B155" s="99"/>
      <c r="C155" s="99"/>
      <c r="D155" s="121"/>
      <c r="E155" s="99"/>
      <c r="F155" s="124" t="str">
        <f aca="false">IF(E155="CONTADO", 4%, IF(E155="TARJETA / CHEQUE", 3%, IF(OR(E155="FINANCIADO", E155="MCP"), 2.5%, "")))</f>
        <v/>
      </c>
      <c r="G155" s="121" t="str">
        <f aca="false">IF(F155="", "", F155*D155)</f>
        <v/>
      </c>
      <c r="H155" s="132" t="b">
        <f aca="false">FALSE()</f>
        <v>0</v>
      </c>
      <c r="I155" s="132" t="b">
        <f aca="false">FALSE()</f>
        <v>0</v>
      </c>
      <c r="J155" s="126"/>
      <c r="K155" s="99"/>
      <c r="L155" s="83"/>
      <c r="M155" s="103"/>
      <c r="N155" s="103"/>
      <c r="O155" s="103"/>
      <c r="P155" s="103"/>
      <c r="Q155" s="103"/>
      <c r="R155" s="83"/>
      <c r="S155" s="103"/>
      <c r="T155" s="103"/>
      <c r="U155" s="103"/>
    </row>
    <row r="156" customFormat="false" ht="22.5" hidden="false" customHeight="true" outlineLevel="0" collapsed="false">
      <c r="A156" s="110"/>
      <c r="B156" s="110"/>
      <c r="C156" s="110"/>
      <c r="D156" s="122"/>
      <c r="E156" s="110"/>
      <c r="F156" s="128" t="str">
        <f aca="false">IF(E156="CONTADO", 4%, IF(E156="TARJETA / CHEQUE", 3%, IF(OR(E156="FINANCIADO", E156="MCP"), 2.5%, "")))</f>
        <v/>
      </c>
      <c r="G156" s="122" t="str">
        <f aca="false">IF(F156="", "", F156*D156)</f>
        <v/>
      </c>
      <c r="H156" s="131" t="b">
        <f aca="false">FALSE()</f>
        <v>0</v>
      </c>
      <c r="I156" s="131" t="b">
        <f aca="false">FALSE()</f>
        <v>0</v>
      </c>
      <c r="J156" s="130"/>
      <c r="K156" s="110"/>
      <c r="L156" s="83"/>
      <c r="M156" s="103"/>
      <c r="N156" s="103"/>
      <c r="O156" s="103"/>
      <c r="P156" s="103"/>
      <c r="Q156" s="103"/>
      <c r="R156" s="83"/>
      <c r="S156" s="103"/>
      <c r="T156" s="103"/>
      <c r="U156" s="103"/>
    </row>
    <row r="157" customFormat="false" ht="22.5" hidden="false" customHeight="true" outlineLevel="0" collapsed="false">
      <c r="A157" s="99"/>
      <c r="B157" s="99"/>
      <c r="C157" s="99"/>
      <c r="D157" s="121"/>
      <c r="E157" s="99"/>
      <c r="F157" s="124" t="str">
        <f aca="false">IF(E157="CONTADO", 4%, IF(E157="TARJETA / CHEQUE", 3%, IF(OR(E157="FINANCIADO", E157="MCP"), 2.5%, "")))</f>
        <v/>
      </c>
      <c r="G157" s="121" t="str">
        <f aca="false">IF(F157="", "", F157*D157)</f>
        <v/>
      </c>
      <c r="H157" s="132" t="b">
        <f aca="false">FALSE()</f>
        <v>0</v>
      </c>
      <c r="I157" s="132" t="b">
        <f aca="false">FALSE()</f>
        <v>0</v>
      </c>
      <c r="J157" s="126"/>
      <c r="K157" s="99"/>
      <c r="L157" s="83"/>
      <c r="M157" s="103"/>
      <c r="N157" s="103"/>
      <c r="O157" s="103"/>
      <c r="P157" s="103"/>
      <c r="Q157" s="103"/>
      <c r="R157" s="83"/>
      <c r="S157" s="103"/>
      <c r="T157" s="103"/>
      <c r="U157" s="103"/>
    </row>
    <row r="158" customFormat="false" ht="22.5" hidden="false" customHeight="true" outlineLevel="0" collapsed="false">
      <c r="A158" s="110"/>
      <c r="B158" s="110"/>
      <c r="C158" s="110"/>
      <c r="D158" s="122"/>
      <c r="E158" s="110"/>
      <c r="F158" s="128" t="str">
        <f aca="false">IF(E158="CONTADO", 4%, IF(E158="TARJETA / CHEQUE", 3%, IF(OR(E158="FINANCIADO", E158="MCP"), 2.5%, "")))</f>
        <v/>
      </c>
      <c r="G158" s="122" t="str">
        <f aca="false">IF(F158="", "", F158*D158)</f>
        <v/>
      </c>
      <c r="H158" s="131" t="b">
        <f aca="false">FALSE()</f>
        <v>0</v>
      </c>
      <c r="I158" s="131" t="b">
        <f aca="false">FALSE()</f>
        <v>0</v>
      </c>
      <c r="J158" s="130"/>
      <c r="K158" s="110"/>
      <c r="L158" s="83"/>
      <c r="M158" s="103"/>
      <c r="N158" s="103"/>
      <c r="O158" s="103"/>
      <c r="P158" s="103"/>
      <c r="Q158" s="103"/>
      <c r="R158" s="83"/>
      <c r="S158" s="103"/>
      <c r="T158" s="103"/>
      <c r="U158" s="103"/>
    </row>
    <row r="159" customFormat="false" ht="22.5" hidden="false" customHeight="true" outlineLevel="0" collapsed="false">
      <c r="A159" s="99"/>
      <c r="B159" s="99"/>
      <c r="C159" s="99"/>
      <c r="D159" s="121"/>
      <c r="E159" s="99"/>
      <c r="F159" s="124" t="str">
        <f aca="false">IF(E159="CONTADO", 4%, IF(E159="TARJETA / CHEQUE", 3%, IF(OR(E159="FINANCIADO", E159="MCP"), 2.5%, "")))</f>
        <v/>
      </c>
      <c r="G159" s="121" t="str">
        <f aca="false">IF(F159="", "", F159*D159)</f>
        <v/>
      </c>
      <c r="H159" s="132" t="b">
        <f aca="false">FALSE()</f>
        <v>0</v>
      </c>
      <c r="I159" s="132" t="b">
        <f aca="false">FALSE()</f>
        <v>0</v>
      </c>
      <c r="J159" s="126"/>
      <c r="K159" s="99"/>
      <c r="L159" s="83"/>
      <c r="M159" s="103"/>
      <c r="N159" s="103"/>
      <c r="O159" s="103"/>
      <c r="P159" s="103"/>
      <c r="Q159" s="103"/>
      <c r="R159" s="83"/>
      <c r="S159" s="103"/>
      <c r="T159" s="103"/>
      <c r="U159" s="103"/>
    </row>
    <row r="160" customFormat="false" ht="22.5" hidden="false" customHeight="true" outlineLevel="0" collapsed="false">
      <c r="A160" s="110"/>
      <c r="B160" s="110"/>
      <c r="C160" s="110"/>
      <c r="D160" s="122"/>
      <c r="E160" s="110"/>
      <c r="F160" s="128" t="str">
        <f aca="false">IF(E160="CONTADO", 4%, IF(E160="TARJETA / CHEQUE", 3%, IF(OR(E160="FINANCIADO", E160="MCP"), 2.5%, "")))</f>
        <v/>
      </c>
      <c r="G160" s="122" t="str">
        <f aca="false">IF(F160="", "", F160*D160)</f>
        <v/>
      </c>
      <c r="H160" s="131" t="b">
        <f aca="false">FALSE()</f>
        <v>0</v>
      </c>
      <c r="I160" s="131" t="b">
        <f aca="false">FALSE()</f>
        <v>0</v>
      </c>
      <c r="J160" s="130"/>
      <c r="K160" s="110"/>
      <c r="L160" s="83"/>
      <c r="M160" s="103"/>
      <c r="N160" s="103"/>
      <c r="O160" s="103"/>
      <c r="P160" s="103"/>
      <c r="Q160" s="103"/>
      <c r="R160" s="83"/>
      <c r="S160" s="103"/>
      <c r="T160" s="103"/>
      <c r="U160" s="103"/>
    </row>
    <row r="161" customFormat="false" ht="22.5" hidden="false" customHeight="true" outlineLevel="0" collapsed="false">
      <c r="A161" s="99"/>
      <c r="B161" s="99"/>
      <c r="C161" s="99"/>
      <c r="D161" s="121"/>
      <c r="E161" s="99"/>
      <c r="F161" s="124" t="str">
        <f aca="false">IF(E161="CONTADO", 4%, IF(E161="TARJETA / CHEQUE", 3%, IF(OR(E161="FINANCIADO", E161="MCP"), 2.5%, "")))</f>
        <v/>
      </c>
      <c r="G161" s="121" t="str">
        <f aca="false">IF(F161="", "", F161*D161)</f>
        <v/>
      </c>
      <c r="H161" s="132" t="b">
        <f aca="false">FALSE()</f>
        <v>0</v>
      </c>
      <c r="I161" s="132" t="b">
        <f aca="false">FALSE()</f>
        <v>0</v>
      </c>
      <c r="J161" s="126"/>
      <c r="K161" s="99"/>
      <c r="L161" s="83"/>
      <c r="M161" s="103"/>
      <c r="N161" s="103"/>
      <c r="O161" s="103"/>
      <c r="P161" s="103"/>
      <c r="Q161" s="103"/>
      <c r="R161" s="83"/>
      <c r="S161" s="103"/>
      <c r="T161" s="103"/>
      <c r="U161" s="103"/>
    </row>
    <row r="162" customFormat="false" ht="22.5" hidden="false" customHeight="true" outlineLevel="0" collapsed="false">
      <c r="A162" s="110"/>
      <c r="B162" s="110"/>
      <c r="C162" s="110"/>
      <c r="D162" s="122"/>
      <c r="E162" s="110"/>
      <c r="F162" s="128" t="str">
        <f aca="false">IF(E162="CONTADO", 4%, IF(E162="TARJETA / CHEQUE", 3%, IF(OR(E162="FINANCIADO", E162="MCP"), 2.5%, "")))</f>
        <v/>
      </c>
      <c r="G162" s="122" t="str">
        <f aca="false">IF(F162="", "", F162*D162)</f>
        <v/>
      </c>
      <c r="H162" s="131" t="b">
        <f aca="false">FALSE()</f>
        <v>0</v>
      </c>
      <c r="I162" s="131" t="b">
        <f aca="false">FALSE()</f>
        <v>0</v>
      </c>
      <c r="J162" s="130"/>
      <c r="K162" s="110"/>
      <c r="L162" s="83"/>
      <c r="M162" s="103"/>
      <c r="N162" s="103"/>
      <c r="O162" s="103"/>
      <c r="P162" s="103"/>
      <c r="Q162" s="103"/>
      <c r="R162" s="83"/>
      <c r="S162" s="103"/>
      <c r="T162" s="103"/>
      <c r="U162" s="103"/>
    </row>
    <row r="163" customFormat="false" ht="22.5" hidden="false" customHeight="true" outlineLevel="0" collapsed="false">
      <c r="A163" s="99"/>
      <c r="B163" s="99"/>
      <c r="C163" s="99"/>
      <c r="D163" s="121"/>
      <c r="E163" s="99"/>
      <c r="F163" s="124" t="str">
        <f aca="false">IF(E163="CONTADO", 4%, IF(E163="TARJETA / CHEQUE", 3%, IF(OR(E163="FINANCIADO", E163="MCP"), 2.5%, "")))</f>
        <v/>
      </c>
      <c r="G163" s="121" t="str">
        <f aca="false">IF(F163="", "", F163*D163)</f>
        <v/>
      </c>
      <c r="H163" s="132" t="b">
        <f aca="false">FALSE()</f>
        <v>0</v>
      </c>
      <c r="I163" s="132" t="b">
        <f aca="false">FALSE()</f>
        <v>0</v>
      </c>
      <c r="J163" s="126"/>
      <c r="K163" s="99"/>
      <c r="L163" s="83"/>
      <c r="M163" s="103"/>
      <c r="N163" s="103"/>
      <c r="O163" s="103"/>
      <c r="P163" s="103"/>
      <c r="Q163" s="103"/>
      <c r="R163" s="83"/>
      <c r="S163" s="103"/>
      <c r="T163" s="103"/>
      <c r="U163" s="103"/>
    </row>
    <row r="164" customFormat="false" ht="22.5" hidden="false" customHeight="true" outlineLevel="0" collapsed="false">
      <c r="A164" s="110"/>
      <c r="B164" s="110"/>
      <c r="C164" s="110"/>
      <c r="D164" s="122"/>
      <c r="E164" s="110"/>
      <c r="F164" s="128" t="str">
        <f aca="false">IF(E164="CONTADO", 4%, IF(E164="TARJETA / CHEQUE", 3%, IF(OR(E164="FINANCIADO", E164="MCP"), 2.5%, "")))</f>
        <v/>
      </c>
      <c r="G164" s="122" t="str">
        <f aca="false">IF(F164="", "", F164*D164)</f>
        <v/>
      </c>
      <c r="H164" s="131" t="b">
        <f aca="false">FALSE()</f>
        <v>0</v>
      </c>
      <c r="I164" s="131" t="b">
        <f aca="false">FALSE()</f>
        <v>0</v>
      </c>
      <c r="J164" s="130"/>
      <c r="K164" s="110"/>
      <c r="L164" s="83"/>
      <c r="M164" s="103"/>
      <c r="N164" s="103"/>
      <c r="O164" s="103"/>
      <c r="P164" s="103"/>
      <c r="Q164" s="103"/>
      <c r="R164" s="83"/>
      <c r="S164" s="103"/>
      <c r="T164" s="103"/>
      <c r="U164" s="103"/>
    </row>
    <row r="165" customFormat="false" ht="22.5" hidden="false" customHeight="true" outlineLevel="0" collapsed="false">
      <c r="A165" s="99"/>
      <c r="B165" s="99"/>
      <c r="C165" s="99"/>
      <c r="D165" s="121"/>
      <c r="E165" s="99"/>
      <c r="F165" s="124" t="str">
        <f aca="false">IF(E165="CONTADO", 4%, IF(E165="TARJETA / CHEQUE", 3%, IF(OR(E165="FINANCIADO", E165="MCP"), 2.5%, "")))</f>
        <v/>
      </c>
      <c r="G165" s="121" t="str">
        <f aca="false">IF(F165="", "", F165*D165)</f>
        <v/>
      </c>
      <c r="H165" s="132" t="b">
        <f aca="false">FALSE()</f>
        <v>0</v>
      </c>
      <c r="I165" s="132" t="b">
        <f aca="false">FALSE()</f>
        <v>0</v>
      </c>
      <c r="J165" s="126"/>
      <c r="K165" s="99"/>
      <c r="L165" s="83"/>
      <c r="M165" s="103"/>
      <c r="N165" s="103"/>
      <c r="O165" s="103"/>
      <c r="P165" s="103"/>
      <c r="Q165" s="103"/>
      <c r="R165" s="83"/>
      <c r="S165" s="103"/>
      <c r="T165" s="103"/>
      <c r="U165" s="103"/>
    </row>
    <row r="166" customFormat="false" ht="22.5" hidden="false" customHeight="true" outlineLevel="0" collapsed="false">
      <c r="A166" s="110"/>
      <c r="B166" s="110"/>
      <c r="C166" s="110"/>
      <c r="D166" s="122"/>
      <c r="E166" s="110"/>
      <c r="F166" s="128" t="str">
        <f aca="false">IF(E166="CONTADO", 4%, IF(E166="TARJETA / CHEQUE", 3%, IF(OR(E166="FINANCIADO", E166="MCP"), 2.5%, "")))</f>
        <v/>
      </c>
      <c r="G166" s="122" t="str">
        <f aca="false">IF(F166="", "", F166*D166)</f>
        <v/>
      </c>
      <c r="H166" s="131" t="b">
        <f aca="false">FALSE()</f>
        <v>0</v>
      </c>
      <c r="I166" s="131" t="b">
        <f aca="false">FALSE()</f>
        <v>0</v>
      </c>
      <c r="J166" s="130"/>
      <c r="K166" s="110"/>
      <c r="L166" s="83"/>
      <c r="M166" s="103"/>
      <c r="N166" s="103"/>
      <c r="O166" s="103"/>
      <c r="P166" s="103"/>
      <c r="Q166" s="103"/>
      <c r="R166" s="83"/>
      <c r="S166" s="103"/>
      <c r="T166" s="103"/>
      <c r="U166" s="103"/>
    </row>
    <row r="167" customFormat="false" ht="22.5" hidden="false" customHeight="true" outlineLevel="0" collapsed="false">
      <c r="A167" s="99"/>
      <c r="B167" s="99"/>
      <c r="C167" s="99"/>
      <c r="D167" s="121"/>
      <c r="E167" s="99"/>
      <c r="F167" s="124" t="str">
        <f aca="false">IF(E167="CONTADO", 4%, IF(E167="TARJETA / CHEQUE", 3%, IF(OR(E167="FINANCIADO", E167="MCP"), 2.5%, "")))</f>
        <v/>
      </c>
      <c r="G167" s="121" t="str">
        <f aca="false">IF(F167="", "", F167*D167)</f>
        <v/>
      </c>
      <c r="H167" s="132" t="b">
        <f aca="false">FALSE()</f>
        <v>0</v>
      </c>
      <c r="I167" s="132" t="b">
        <f aca="false">FALSE()</f>
        <v>0</v>
      </c>
      <c r="J167" s="126"/>
      <c r="K167" s="99"/>
      <c r="L167" s="83"/>
      <c r="M167" s="103"/>
      <c r="N167" s="103"/>
      <c r="O167" s="103"/>
      <c r="P167" s="103"/>
      <c r="Q167" s="103"/>
      <c r="R167" s="83"/>
      <c r="S167" s="103"/>
      <c r="T167" s="103"/>
      <c r="U167" s="103"/>
    </row>
    <row r="168" customFormat="false" ht="22.5" hidden="false" customHeight="true" outlineLevel="0" collapsed="false">
      <c r="A168" s="110"/>
      <c r="B168" s="110"/>
      <c r="C168" s="110"/>
      <c r="D168" s="122"/>
      <c r="E168" s="110"/>
      <c r="F168" s="128" t="str">
        <f aca="false">IF(E168="CONTADO", 4%, IF(E168="TARJETA / CHEQUE", 3%, IF(OR(E168="FINANCIADO", E168="MCP"), 2.5%, "")))</f>
        <v/>
      </c>
      <c r="G168" s="122" t="str">
        <f aca="false">IF(F168="", "", F168*D168)</f>
        <v/>
      </c>
      <c r="H168" s="131" t="b">
        <f aca="false">FALSE()</f>
        <v>0</v>
      </c>
      <c r="I168" s="131" t="b">
        <f aca="false">FALSE()</f>
        <v>0</v>
      </c>
      <c r="J168" s="130"/>
      <c r="K168" s="110"/>
      <c r="L168" s="83"/>
      <c r="M168" s="103"/>
      <c r="N168" s="103"/>
      <c r="O168" s="103"/>
      <c r="P168" s="103"/>
      <c r="Q168" s="103"/>
      <c r="R168" s="83"/>
      <c r="S168" s="103"/>
      <c r="T168" s="103"/>
      <c r="U168" s="103"/>
    </row>
    <row r="169" customFormat="false" ht="22.5" hidden="false" customHeight="true" outlineLevel="0" collapsed="false">
      <c r="A169" s="99"/>
      <c r="B169" s="99"/>
      <c r="C169" s="99"/>
      <c r="D169" s="121"/>
      <c r="E169" s="99"/>
      <c r="F169" s="124" t="str">
        <f aca="false">IF(E169="CONTADO", 4%, IF(E169="TARJETA / CHEQUE", 3%, IF(OR(E169="FINANCIADO", E169="MCP"), 2.5%, "")))</f>
        <v/>
      </c>
      <c r="G169" s="121" t="str">
        <f aca="false">IF(F169="", "", F169*D169)</f>
        <v/>
      </c>
      <c r="H169" s="132" t="b">
        <f aca="false">FALSE()</f>
        <v>0</v>
      </c>
      <c r="I169" s="132" t="b">
        <f aca="false">FALSE()</f>
        <v>0</v>
      </c>
      <c r="J169" s="126"/>
      <c r="K169" s="99"/>
      <c r="L169" s="83"/>
      <c r="M169" s="103"/>
      <c r="N169" s="103"/>
      <c r="O169" s="103"/>
      <c r="P169" s="103"/>
      <c r="Q169" s="103"/>
      <c r="R169" s="83"/>
      <c r="S169" s="103"/>
      <c r="T169" s="103"/>
      <c r="U169" s="103"/>
    </row>
    <row r="170" customFormat="false" ht="22.5" hidden="false" customHeight="true" outlineLevel="0" collapsed="false">
      <c r="A170" s="110"/>
      <c r="B170" s="110"/>
      <c r="C170" s="110"/>
      <c r="D170" s="122"/>
      <c r="E170" s="110"/>
      <c r="F170" s="128" t="str">
        <f aca="false">IF(E170="CONTADO", 4%, IF(E170="TARJETA / CHEQUE", 3%, IF(OR(E170="FINANCIADO", E170="MCP"), 2.5%, "")))</f>
        <v/>
      </c>
      <c r="G170" s="122" t="str">
        <f aca="false">IF(F170="", "", F170*D170)</f>
        <v/>
      </c>
      <c r="H170" s="131" t="b">
        <f aca="false">FALSE()</f>
        <v>0</v>
      </c>
      <c r="I170" s="131" t="b">
        <f aca="false">FALSE()</f>
        <v>0</v>
      </c>
      <c r="J170" s="130"/>
      <c r="K170" s="110"/>
      <c r="L170" s="83"/>
      <c r="M170" s="103"/>
      <c r="N170" s="103"/>
      <c r="O170" s="103"/>
      <c r="P170" s="103"/>
      <c r="Q170" s="103"/>
      <c r="R170" s="83"/>
      <c r="S170" s="103"/>
      <c r="T170" s="103"/>
      <c r="U170" s="103"/>
    </row>
    <row r="171" customFormat="false" ht="22.5" hidden="false" customHeight="true" outlineLevel="0" collapsed="false">
      <c r="A171" s="99"/>
      <c r="B171" s="99"/>
      <c r="C171" s="99"/>
      <c r="D171" s="121"/>
      <c r="E171" s="99"/>
      <c r="F171" s="124" t="str">
        <f aca="false">IF(E171="CONTADO", 4%, IF(E171="TARJETA / CHEQUE", 3%, IF(OR(E171="FINANCIADO", E171="MCP"), 2.5%, "")))</f>
        <v/>
      </c>
      <c r="G171" s="121" t="str">
        <f aca="false">IF(F171="", "", F171*D171)</f>
        <v/>
      </c>
      <c r="H171" s="132" t="b">
        <f aca="false">FALSE()</f>
        <v>0</v>
      </c>
      <c r="I171" s="132" t="b">
        <f aca="false">FALSE()</f>
        <v>0</v>
      </c>
      <c r="J171" s="126"/>
      <c r="K171" s="99"/>
      <c r="L171" s="83"/>
      <c r="M171" s="103"/>
      <c r="N171" s="103"/>
      <c r="O171" s="103"/>
      <c r="P171" s="103"/>
      <c r="Q171" s="103"/>
      <c r="R171" s="83"/>
      <c r="S171" s="103"/>
      <c r="T171" s="103"/>
      <c r="U171" s="103"/>
    </row>
    <row r="172" customFormat="false" ht="22.5" hidden="false" customHeight="true" outlineLevel="0" collapsed="false">
      <c r="A172" s="110"/>
      <c r="B172" s="110"/>
      <c r="C172" s="110"/>
      <c r="D172" s="122"/>
      <c r="E172" s="110"/>
      <c r="F172" s="128" t="str">
        <f aca="false">IF(E172="CONTADO", 4%, IF(E172="TARJETA / CHEQUE", 3%, IF(OR(E172="FINANCIADO", E172="MCP"), 2.5%, "")))</f>
        <v/>
      </c>
      <c r="G172" s="122" t="str">
        <f aca="false">IF(F172="", "", F172*D172)</f>
        <v/>
      </c>
      <c r="H172" s="131" t="b">
        <f aca="false">FALSE()</f>
        <v>0</v>
      </c>
      <c r="I172" s="131" t="b">
        <f aca="false">FALSE()</f>
        <v>0</v>
      </c>
      <c r="J172" s="130"/>
      <c r="K172" s="110"/>
      <c r="L172" s="83"/>
      <c r="M172" s="103"/>
      <c r="N172" s="103"/>
      <c r="O172" s="103"/>
      <c r="P172" s="103"/>
      <c r="Q172" s="103"/>
      <c r="R172" s="83"/>
      <c r="S172" s="103"/>
      <c r="T172" s="103"/>
      <c r="U172" s="103"/>
    </row>
    <row r="173" customFormat="false" ht="22.5" hidden="false" customHeight="true" outlineLevel="0" collapsed="false">
      <c r="A173" s="99"/>
      <c r="B173" s="99"/>
      <c r="C173" s="99"/>
      <c r="D173" s="121"/>
      <c r="E173" s="99"/>
      <c r="F173" s="124" t="str">
        <f aca="false">IF(E173="CONTADO", 4%, IF(E173="TARJETA / CHEQUE", 3%, IF(OR(E173="FINANCIADO", E173="MCP"), 2.5%, "")))</f>
        <v/>
      </c>
      <c r="G173" s="121" t="str">
        <f aca="false">IF(F173="", "", F173*D173)</f>
        <v/>
      </c>
      <c r="H173" s="132" t="b">
        <f aca="false">FALSE()</f>
        <v>0</v>
      </c>
      <c r="I173" s="132" t="b">
        <f aca="false">FALSE()</f>
        <v>0</v>
      </c>
      <c r="J173" s="126"/>
      <c r="K173" s="99"/>
      <c r="L173" s="83"/>
      <c r="M173" s="103"/>
      <c r="N173" s="103"/>
      <c r="O173" s="103"/>
      <c r="P173" s="103"/>
      <c r="Q173" s="103"/>
      <c r="R173" s="83"/>
      <c r="S173" s="103"/>
      <c r="T173" s="103"/>
      <c r="U173" s="103"/>
    </row>
    <row r="174" customFormat="false" ht="22.5" hidden="false" customHeight="true" outlineLevel="0" collapsed="false">
      <c r="A174" s="110"/>
      <c r="B174" s="110"/>
      <c r="C174" s="110"/>
      <c r="D174" s="122"/>
      <c r="E174" s="110"/>
      <c r="F174" s="128" t="str">
        <f aca="false">IF(E174="CONTADO", 4%, IF(E174="TARJETA / CHEQUE", 3%, IF(OR(E174="FINANCIADO", E174="MCP"), 2.5%, "")))</f>
        <v/>
      </c>
      <c r="G174" s="122" t="str">
        <f aca="false">IF(F174="", "", F174*D174)</f>
        <v/>
      </c>
      <c r="H174" s="131" t="b">
        <f aca="false">FALSE()</f>
        <v>0</v>
      </c>
      <c r="I174" s="131" t="b">
        <f aca="false">FALSE()</f>
        <v>0</v>
      </c>
      <c r="J174" s="130"/>
      <c r="K174" s="110"/>
      <c r="L174" s="83"/>
      <c r="M174" s="103"/>
      <c r="N174" s="103"/>
      <c r="O174" s="103"/>
      <c r="P174" s="103"/>
      <c r="Q174" s="103"/>
      <c r="R174" s="83"/>
      <c r="S174" s="103"/>
      <c r="T174" s="103"/>
      <c r="U174" s="103"/>
    </row>
    <row r="175" customFormat="false" ht="22.5" hidden="false" customHeight="true" outlineLevel="0" collapsed="false">
      <c r="A175" s="99"/>
      <c r="B175" s="99"/>
      <c r="C175" s="99"/>
      <c r="D175" s="121"/>
      <c r="E175" s="99"/>
      <c r="F175" s="124" t="str">
        <f aca="false">IF(E175="CONTADO", 4%, IF(E175="TARJETA / CHEQUE", 3%, IF(OR(E175="FINANCIADO", E175="MCP"), 2.5%, "")))</f>
        <v/>
      </c>
      <c r="G175" s="121" t="str">
        <f aca="false">IF(F175="", "", F175*D175)</f>
        <v/>
      </c>
      <c r="H175" s="132" t="b">
        <f aca="false">FALSE()</f>
        <v>0</v>
      </c>
      <c r="I175" s="132" t="b">
        <f aca="false">FALSE()</f>
        <v>0</v>
      </c>
      <c r="J175" s="126"/>
      <c r="K175" s="99"/>
      <c r="L175" s="83"/>
      <c r="M175" s="103"/>
      <c r="N175" s="103"/>
      <c r="O175" s="103"/>
      <c r="P175" s="103"/>
      <c r="Q175" s="103"/>
      <c r="R175" s="83"/>
      <c r="S175" s="103"/>
      <c r="T175" s="103"/>
      <c r="U175" s="103"/>
    </row>
    <row r="176" customFormat="false" ht="22.5" hidden="false" customHeight="true" outlineLevel="0" collapsed="false">
      <c r="A176" s="110"/>
      <c r="B176" s="110"/>
      <c r="C176" s="110"/>
      <c r="D176" s="122"/>
      <c r="E176" s="110"/>
      <c r="F176" s="128" t="str">
        <f aca="false">IF(E176="CONTADO", 4%, IF(E176="TARJETA / CHEQUE", 3%, IF(OR(E176="FINANCIADO", E176="MCP"), 2.5%, "")))</f>
        <v/>
      </c>
      <c r="G176" s="122" t="str">
        <f aca="false">IF(F176="", "", F176*D176)</f>
        <v/>
      </c>
      <c r="H176" s="131" t="b">
        <f aca="false">FALSE()</f>
        <v>0</v>
      </c>
      <c r="I176" s="131" t="b">
        <f aca="false">FALSE()</f>
        <v>0</v>
      </c>
      <c r="J176" s="130"/>
      <c r="K176" s="110"/>
      <c r="L176" s="83"/>
      <c r="M176" s="103"/>
      <c r="N176" s="103"/>
      <c r="O176" s="103"/>
      <c r="P176" s="103"/>
      <c r="Q176" s="103"/>
      <c r="R176" s="83"/>
      <c r="S176" s="103"/>
      <c r="T176" s="103"/>
      <c r="U176" s="103"/>
    </row>
    <row r="177" customFormat="false" ht="22.5" hidden="false" customHeight="true" outlineLevel="0" collapsed="false">
      <c r="A177" s="99"/>
      <c r="B177" s="99"/>
      <c r="C177" s="99"/>
      <c r="D177" s="121"/>
      <c r="E177" s="99"/>
      <c r="F177" s="124" t="str">
        <f aca="false">IF(E177="CONTADO", 4%, IF(E177="TARJETA / CHEQUE", 3%, IF(OR(E177="FINANCIADO", E177="MCP"), 2.5%, "")))</f>
        <v/>
      </c>
      <c r="G177" s="121" t="str">
        <f aca="false">IF(F177="", "", F177*D177)</f>
        <v/>
      </c>
      <c r="H177" s="132" t="b">
        <f aca="false">FALSE()</f>
        <v>0</v>
      </c>
      <c r="I177" s="132" t="b">
        <f aca="false">FALSE()</f>
        <v>0</v>
      </c>
      <c r="J177" s="126"/>
      <c r="K177" s="99"/>
      <c r="L177" s="83"/>
      <c r="M177" s="103"/>
      <c r="N177" s="103"/>
      <c r="O177" s="103"/>
      <c r="P177" s="103"/>
      <c r="Q177" s="103"/>
      <c r="R177" s="83"/>
      <c r="S177" s="103"/>
      <c r="T177" s="103"/>
      <c r="U177" s="103"/>
    </row>
    <row r="178" customFormat="false" ht="22.5" hidden="false" customHeight="true" outlineLevel="0" collapsed="false">
      <c r="A178" s="110"/>
      <c r="B178" s="110"/>
      <c r="C178" s="110"/>
      <c r="D178" s="122"/>
      <c r="E178" s="110"/>
      <c r="F178" s="128" t="str">
        <f aca="false">IF(E178="CONTADO", 4%, IF(E178="TARJETA / CHEQUE", 3%, IF(OR(E178="FINANCIADO", E178="MCP"), 2.5%, "")))</f>
        <v/>
      </c>
      <c r="G178" s="122" t="str">
        <f aca="false">IF(F178="", "", F178*D178)</f>
        <v/>
      </c>
      <c r="H178" s="131" t="b">
        <f aca="false">FALSE()</f>
        <v>0</v>
      </c>
      <c r="I178" s="131" t="b">
        <f aca="false">FALSE()</f>
        <v>0</v>
      </c>
      <c r="J178" s="130"/>
      <c r="K178" s="110"/>
      <c r="L178" s="83"/>
      <c r="M178" s="103"/>
      <c r="N178" s="103"/>
      <c r="O178" s="103"/>
      <c r="P178" s="103"/>
      <c r="Q178" s="103"/>
      <c r="R178" s="83"/>
      <c r="S178" s="103"/>
      <c r="T178" s="103"/>
      <c r="U178" s="103"/>
    </row>
    <row r="179" customFormat="false" ht="22.5" hidden="false" customHeight="true" outlineLevel="0" collapsed="false">
      <c r="A179" s="99"/>
      <c r="B179" s="99"/>
      <c r="C179" s="99"/>
      <c r="D179" s="121"/>
      <c r="E179" s="99"/>
      <c r="F179" s="124" t="str">
        <f aca="false">IF(E179="CONTADO", 4%, IF(E179="TARJETA / CHEQUE", 3%, IF(OR(E179="FINANCIADO", E179="MCP"), 2.5%, "")))</f>
        <v/>
      </c>
      <c r="G179" s="121" t="str">
        <f aca="false">IF(F179="", "", F179*D179)</f>
        <v/>
      </c>
      <c r="H179" s="132" t="b">
        <f aca="false">FALSE()</f>
        <v>0</v>
      </c>
      <c r="I179" s="132" t="b">
        <f aca="false">FALSE()</f>
        <v>0</v>
      </c>
      <c r="J179" s="126"/>
      <c r="K179" s="99"/>
      <c r="L179" s="83"/>
      <c r="M179" s="103"/>
      <c r="N179" s="103"/>
      <c r="O179" s="103"/>
      <c r="P179" s="103"/>
      <c r="Q179" s="103"/>
      <c r="R179" s="83"/>
      <c r="S179" s="103"/>
      <c r="T179" s="103"/>
      <c r="U179" s="103"/>
    </row>
    <row r="180" customFormat="false" ht="22.5" hidden="false" customHeight="true" outlineLevel="0" collapsed="false">
      <c r="A180" s="110"/>
      <c r="B180" s="110"/>
      <c r="C180" s="110"/>
      <c r="D180" s="122"/>
      <c r="E180" s="110"/>
      <c r="F180" s="128" t="str">
        <f aca="false">IF(E180="CONTADO", 4%, IF(E180="TARJETA / CHEQUE", 3%, IF(OR(E180="FINANCIADO", E180="MCP"), 2.5%, "")))</f>
        <v/>
      </c>
      <c r="G180" s="122" t="str">
        <f aca="false">IF(F180="", "", F180*D180)</f>
        <v/>
      </c>
      <c r="H180" s="131" t="b">
        <f aca="false">FALSE()</f>
        <v>0</v>
      </c>
      <c r="I180" s="131" t="b">
        <f aca="false">FALSE()</f>
        <v>0</v>
      </c>
      <c r="J180" s="130"/>
      <c r="K180" s="110"/>
      <c r="L180" s="83"/>
      <c r="M180" s="103"/>
      <c r="N180" s="103"/>
      <c r="O180" s="103"/>
      <c r="P180" s="103"/>
      <c r="Q180" s="103"/>
      <c r="R180" s="83"/>
      <c r="S180" s="103"/>
      <c r="T180" s="103"/>
      <c r="U180" s="103"/>
    </row>
    <row r="181" customFormat="false" ht="22.5" hidden="false" customHeight="true" outlineLevel="0" collapsed="false">
      <c r="A181" s="99"/>
      <c r="B181" s="99"/>
      <c r="C181" s="99"/>
      <c r="D181" s="121"/>
      <c r="E181" s="99"/>
      <c r="F181" s="124" t="str">
        <f aca="false">IF(E181="CONTADO", 4%, IF(E181="TARJETA / CHEQUE", 3%, IF(OR(E181="FINANCIADO", E181="MCP"), 2.5%, "")))</f>
        <v/>
      </c>
      <c r="G181" s="121" t="str">
        <f aca="false">IF(F181="", "", F181*D181)</f>
        <v/>
      </c>
      <c r="H181" s="132" t="b">
        <f aca="false">FALSE()</f>
        <v>0</v>
      </c>
      <c r="I181" s="132" t="b">
        <f aca="false">FALSE()</f>
        <v>0</v>
      </c>
      <c r="J181" s="126"/>
      <c r="K181" s="99"/>
      <c r="L181" s="83"/>
      <c r="M181" s="103"/>
      <c r="N181" s="103"/>
      <c r="O181" s="103"/>
      <c r="P181" s="103"/>
      <c r="Q181" s="103"/>
      <c r="R181" s="83"/>
      <c r="S181" s="103"/>
      <c r="T181" s="103"/>
      <c r="U181" s="103"/>
    </row>
    <row r="182" customFormat="false" ht="22.5" hidden="false" customHeight="true" outlineLevel="0" collapsed="false">
      <c r="A182" s="110"/>
      <c r="B182" s="110"/>
      <c r="C182" s="110"/>
      <c r="D182" s="122"/>
      <c r="E182" s="110"/>
      <c r="F182" s="128" t="str">
        <f aca="false">IF(E182="CONTADO", 4%, IF(E182="TARJETA / CHEQUE", 3%, IF(OR(E182="FINANCIADO", E182="MCP"), 2.5%, "")))</f>
        <v/>
      </c>
      <c r="G182" s="122" t="str">
        <f aca="false">IF(F182="", "", F182*D182)</f>
        <v/>
      </c>
      <c r="H182" s="131" t="b">
        <f aca="false">FALSE()</f>
        <v>0</v>
      </c>
      <c r="I182" s="131" t="b">
        <f aca="false">FALSE()</f>
        <v>0</v>
      </c>
      <c r="J182" s="130"/>
      <c r="K182" s="110"/>
      <c r="L182" s="83"/>
      <c r="M182" s="103"/>
      <c r="N182" s="103"/>
      <c r="O182" s="103"/>
      <c r="P182" s="103"/>
      <c r="Q182" s="103"/>
      <c r="R182" s="83"/>
      <c r="S182" s="103"/>
      <c r="T182" s="103"/>
      <c r="U182" s="103"/>
    </row>
    <row r="183" customFormat="false" ht="22.5" hidden="false" customHeight="true" outlineLevel="0" collapsed="false">
      <c r="A183" s="99"/>
      <c r="B183" s="99"/>
      <c r="C183" s="99"/>
      <c r="D183" s="121"/>
      <c r="E183" s="99"/>
      <c r="F183" s="124" t="str">
        <f aca="false">IF(E183="CONTADO", 4%, IF(E183="TARJETA / CHEQUE", 3%, IF(OR(E183="FINANCIADO", E183="MCP"), 2.5%, "")))</f>
        <v/>
      </c>
      <c r="G183" s="121" t="str">
        <f aca="false">IF(F183="", "", F183*D183)</f>
        <v/>
      </c>
      <c r="H183" s="132" t="b">
        <f aca="false">FALSE()</f>
        <v>0</v>
      </c>
      <c r="I183" s="132" t="b">
        <f aca="false">FALSE()</f>
        <v>0</v>
      </c>
      <c r="J183" s="126"/>
      <c r="K183" s="99"/>
      <c r="L183" s="83"/>
      <c r="M183" s="103"/>
      <c r="N183" s="103"/>
      <c r="O183" s="103"/>
      <c r="P183" s="103"/>
      <c r="Q183" s="103"/>
      <c r="R183" s="83"/>
      <c r="S183" s="103"/>
      <c r="T183" s="103"/>
      <c r="U183" s="103"/>
    </row>
    <row r="184" customFormat="false" ht="22.5" hidden="false" customHeight="true" outlineLevel="0" collapsed="false">
      <c r="A184" s="110"/>
      <c r="B184" s="110"/>
      <c r="C184" s="110"/>
      <c r="D184" s="122"/>
      <c r="E184" s="110"/>
      <c r="F184" s="128" t="str">
        <f aca="false">IF(E184="CONTADO", 4%, IF(E184="TARJETA / CHEQUE", 3%, IF(OR(E184="FINANCIADO", E184="MCP"), 2.5%, "")))</f>
        <v/>
      </c>
      <c r="G184" s="122" t="str">
        <f aca="false">IF(F184="", "", F184*D184)</f>
        <v/>
      </c>
      <c r="H184" s="131" t="b">
        <f aca="false">FALSE()</f>
        <v>0</v>
      </c>
      <c r="I184" s="131" t="b">
        <f aca="false">FALSE()</f>
        <v>0</v>
      </c>
      <c r="J184" s="130"/>
      <c r="K184" s="110"/>
      <c r="L184" s="83"/>
      <c r="M184" s="103"/>
      <c r="N184" s="103"/>
      <c r="O184" s="103"/>
      <c r="P184" s="103"/>
      <c r="Q184" s="103"/>
      <c r="R184" s="83"/>
      <c r="S184" s="103"/>
      <c r="T184" s="103"/>
      <c r="U184" s="103"/>
    </row>
    <row r="185" customFormat="false" ht="22.5" hidden="false" customHeight="true" outlineLevel="0" collapsed="false">
      <c r="A185" s="99"/>
      <c r="B185" s="99"/>
      <c r="C185" s="99"/>
      <c r="D185" s="121"/>
      <c r="E185" s="99"/>
      <c r="F185" s="124" t="str">
        <f aca="false">IF(E185="CONTADO", 4%, IF(E185="TARJETA / CHEQUE", 3%, IF(OR(E185="FINANCIADO", E185="MCP"), 2.5%, "")))</f>
        <v/>
      </c>
      <c r="G185" s="121" t="str">
        <f aca="false">IF(F185="", "", F185*D185)</f>
        <v/>
      </c>
      <c r="H185" s="132" t="b">
        <f aca="false">FALSE()</f>
        <v>0</v>
      </c>
      <c r="I185" s="132" t="b">
        <f aca="false">FALSE()</f>
        <v>0</v>
      </c>
      <c r="J185" s="126"/>
      <c r="K185" s="99"/>
      <c r="L185" s="83"/>
      <c r="M185" s="103"/>
      <c r="N185" s="103"/>
      <c r="O185" s="103"/>
      <c r="P185" s="103"/>
      <c r="Q185" s="103"/>
      <c r="R185" s="83"/>
      <c r="S185" s="103"/>
      <c r="T185" s="103"/>
      <c r="U185" s="103"/>
    </row>
    <row r="186" customFormat="false" ht="22.5" hidden="false" customHeight="true" outlineLevel="0" collapsed="false">
      <c r="A186" s="110"/>
      <c r="B186" s="110"/>
      <c r="C186" s="110"/>
      <c r="D186" s="122"/>
      <c r="E186" s="110"/>
      <c r="F186" s="128" t="str">
        <f aca="false">IF(E186="CONTADO", 4%, IF(E186="TARJETA / CHEQUE", 3%, IF(OR(E186="FINANCIADO", E186="MCP"), 2.5%, "")))</f>
        <v/>
      </c>
      <c r="G186" s="122" t="str">
        <f aca="false">IF(F186="", "", F186*D186)</f>
        <v/>
      </c>
      <c r="H186" s="131" t="b">
        <f aca="false">FALSE()</f>
        <v>0</v>
      </c>
      <c r="I186" s="131" t="b">
        <f aca="false">FALSE()</f>
        <v>0</v>
      </c>
      <c r="J186" s="130"/>
      <c r="K186" s="110"/>
      <c r="L186" s="83"/>
      <c r="M186" s="103"/>
      <c r="N186" s="103"/>
      <c r="O186" s="103"/>
      <c r="P186" s="103"/>
      <c r="Q186" s="103"/>
      <c r="R186" s="83"/>
      <c r="S186" s="103"/>
      <c r="T186" s="103"/>
      <c r="U186" s="103"/>
    </row>
    <row r="187" customFormat="false" ht="22.5" hidden="false" customHeight="true" outlineLevel="0" collapsed="false">
      <c r="A187" s="99"/>
      <c r="B187" s="99"/>
      <c r="C187" s="99"/>
      <c r="D187" s="121"/>
      <c r="E187" s="99"/>
      <c r="F187" s="124" t="str">
        <f aca="false">IF(E187="CONTADO", 4%, IF(E187="TARJETA / CHEQUE", 3%, IF(OR(E187="FINANCIADO", E187="MCP"), 2.5%, "")))</f>
        <v/>
      </c>
      <c r="G187" s="121" t="str">
        <f aca="false">IF(F187="", "", F187*D187)</f>
        <v/>
      </c>
      <c r="H187" s="132" t="b">
        <f aca="false">FALSE()</f>
        <v>0</v>
      </c>
      <c r="I187" s="132" t="b">
        <f aca="false">FALSE()</f>
        <v>0</v>
      </c>
      <c r="J187" s="126"/>
      <c r="K187" s="99"/>
      <c r="L187" s="83"/>
      <c r="M187" s="103"/>
      <c r="N187" s="103"/>
      <c r="O187" s="103"/>
      <c r="P187" s="103"/>
      <c r="Q187" s="103"/>
      <c r="R187" s="83"/>
      <c r="S187" s="103"/>
      <c r="T187" s="103"/>
      <c r="U187" s="103"/>
    </row>
    <row r="188" customFormat="false" ht="22.5" hidden="false" customHeight="true" outlineLevel="0" collapsed="false">
      <c r="A188" s="110"/>
      <c r="B188" s="110"/>
      <c r="C188" s="110"/>
      <c r="D188" s="122"/>
      <c r="E188" s="110"/>
      <c r="F188" s="128" t="str">
        <f aca="false">IF(E188="CONTADO", 4%, IF(E188="TARJETA / CHEQUE", 3%, IF(OR(E188="FINANCIADO", E188="MCP"), 2.5%, "")))</f>
        <v/>
      </c>
      <c r="G188" s="122" t="str">
        <f aca="false">IF(F188="", "", F188*D188)</f>
        <v/>
      </c>
      <c r="H188" s="131" t="b">
        <f aca="false">FALSE()</f>
        <v>0</v>
      </c>
      <c r="I188" s="131" t="b">
        <f aca="false">FALSE()</f>
        <v>0</v>
      </c>
      <c r="J188" s="130"/>
      <c r="K188" s="110"/>
      <c r="L188" s="83"/>
      <c r="M188" s="103"/>
      <c r="N188" s="103"/>
      <c r="O188" s="103"/>
      <c r="P188" s="103"/>
      <c r="Q188" s="103"/>
      <c r="R188" s="83"/>
      <c r="S188" s="103"/>
      <c r="T188" s="103"/>
      <c r="U188" s="103"/>
    </row>
    <row r="189" customFormat="false" ht="22.5" hidden="false" customHeight="true" outlineLevel="0" collapsed="false">
      <c r="A189" s="99"/>
      <c r="B189" s="99"/>
      <c r="C189" s="99"/>
      <c r="D189" s="121"/>
      <c r="E189" s="99"/>
      <c r="F189" s="124" t="str">
        <f aca="false">IF(E189="CONTADO", 4%, IF(E189="TARJETA / CHEQUE", 3%, IF(OR(E189="FINANCIADO", E189="MCP"), 2.5%, "")))</f>
        <v/>
      </c>
      <c r="G189" s="121" t="str">
        <f aca="false">IF(F189="", "", F189*D189)</f>
        <v/>
      </c>
      <c r="H189" s="132" t="b">
        <f aca="false">FALSE()</f>
        <v>0</v>
      </c>
      <c r="I189" s="132" t="b">
        <f aca="false">FALSE()</f>
        <v>0</v>
      </c>
      <c r="J189" s="126"/>
      <c r="K189" s="99"/>
      <c r="L189" s="83"/>
      <c r="M189" s="103"/>
      <c r="N189" s="103"/>
      <c r="O189" s="103"/>
      <c r="P189" s="103"/>
      <c r="Q189" s="103"/>
      <c r="R189" s="83"/>
      <c r="S189" s="103"/>
      <c r="T189" s="103"/>
      <c r="U189" s="103"/>
    </row>
    <row r="190" customFormat="false" ht="22.5" hidden="false" customHeight="true" outlineLevel="0" collapsed="false">
      <c r="A190" s="110"/>
      <c r="B190" s="110"/>
      <c r="C190" s="110"/>
      <c r="D190" s="122"/>
      <c r="E190" s="110"/>
      <c r="F190" s="128" t="str">
        <f aca="false">IF(E190="CONTADO", 4%, IF(E190="TARJETA / CHEQUE", 3%, IF(OR(E190="FINANCIADO", E190="MCP"), 2.5%, "")))</f>
        <v/>
      </c>
      <c r="G190" s="122" t="str">
        <f aca="false">IF(F190="", "", F190*D190)</f>
        <v/>
      </c>
      <c r="H190" s="131" t="b">
        <f aca="false">FALSE()</f>
        <v>0</v>
      </c>
      <c r="I190" s="131" t="b">
        <f aca="false">FALSE()</f>
        <v>0</v>
      </c>
      <c r="J190" s="130"/>
      <c r="K190" s="110"/>
      <c r="L190" s="83"/>
      <c r="M190" s="103"/>
      <c r="N190" s="103"/>
      <c r="O190" s="103"/>
      <c r="P190" s="103"/>
      <c r="Q190" s="103"/>
      <c r="R190" s="83"/>
      <c r="S190" s="103"/>
      <c r="T190" s="103"/>
      <c r="U190" s="103"/>
    </row>
    <row r="191" customFormat="false" ht="22.5" hidden="false" customHeight="true" outlineLevel="0" collapsed="false">
      <c r="A191" s="99"/>
      <c r="B191" s="99"/>
      <c r="C191" s="99"/>
      <c r="D191" s="121"/>
      <c r="E191" s="99"/>
      <c r="F191" s="124" t="str">
        <f aca="false">IF(E191="CONTADO", 4%, IF(E191="TARJETA / CHEQUE", 3%, IF(OR(E191="FINANCIADO", E191="MCP"), 2.5%, "")))</f>
        <v/>
      </c>
      <c r="G191" s="121" t="str">
        <f aca="false">IF(F191="", "", F191*D191)</f>
        <v/>
      </c>
      <c r="H191" s="132" t="b">
        <f aca="false">FALSE()</f>
        <v>0</v>
      </c>
      <c r="I191" s="132" t="b">
        <f aca="false">FALSE()</f>
        <v>0</v>
      </c>
      <c r="J191" s="126"/>
      <c r="K191" s="99"/>
      <c r="L191" s="83"/>
      <c r="M191" s="103"/>
      <c r="N191" s="103"/>
      <c r="O191" s="103"/>
      <c r="P191" s="103"/>
      <c r="Q191" s="103"/>
      <c r="R191" s="83"/>
      <c r="S191" s="103"/>
      <c r="T191" s="103"/>
      <c r="U191" s="103"/>
    </row>
    <row r="192" customFormat="false" ht="22.5" hidden="false" customHeight="true" outlineLevel="0" collapsed="false">
      <c r="A192" s="110"/>
      <c r="B192" s="110"/>
      <c r="C192" s="110"/>
      <c r="D192" s="122"/>
      <c r="E192" s="110"/>
      <c r="F192" s="128" t="str">
        <f aca="false">IF(E192="CONTADO", 4%, IF(E192="TARJETA / CHEQUE", 3%, IF(OR(E192="FINANCIADO", E192="MCP"), 2.5%, "")))</f>
        <v/>
      </c>
      <c r="G192" s="122" t="str">
        <f aca="false">IF(F192="", "", F192*D192)</f>
        <v/>
      </c>
      <c r="H192" s="131" t="b">
        <f aca="false">FALSE()</f>
        <v>0</v>
      </c>
      <c r="I192" s="131" t="b">
        <f aca="false">FALSE()</f>
        <v>0</v>
      </c>
      <c r="J192" s="130"/>
      <c r="K192" s="110"/>
      <c r="L192" s="83"/>
      <c r="M192" s="103"/>
      <c r="N192" s="103"/>
      <c r="O192" s="103"/>
      <c r="P192" s="103"/>
      <c r="Q192" s="103"/>
      <c r="R192" s="83"/>
      <c r="S192" s="103"/>
      <c r="T192" s="103"/>
      <c r="U192" s="103"/>
    </row>
    <row r="193" customFormat="false" ht="22.5" hidden="false" customHeight="true" outlineLevel="0" collapsed="false">
      <c r="A193" s="99"/>
      <c r="B193" s="99"/>
      <c r="C193" s="99"/>
      <c r="D193" s="121"/>
      <c r="E193" s="99"/>
      <c r="F193" s="124" t="str">
        <f aca="false">IF(E193="CONTADO", 4%, IF(E193="TARJETA / CHEQUE", 3%, IF(OR(E193="FINANCIADO", E193="MCP"), 2.5%, "")))</f>
        <v/>
      </c>
      <c r="G193" s="121" t="str">
        <f aca="false">IF(F193="", "", F193*D193)</f>
        <v/>
      </c>
      <c r="H193" s="132" t="b">
        <f aca="false">FALSE()</f>
        <v>0</v>
      </c>
      <c r="I193" s="132" t="b">
        <f aca="false">FALSE()</f>
        <v>0</v>
      </c>
      <c r="J193" s="126"/>
      <c r="K193" s="99"/>
      <c r="L193" s="83"/>
      <c r="M193" s="103"/>
      <c r="N193" s="103"/>
      <c r="O193" s="103"/>
      <c r="P193" s="103"/>
      <c r="Q193" s="103"/>
      <c r="R193" s="83"/>
      <c r="S193" s="103"/>
      <c r="T193" s="103"/>
      <c r="U193" s="103"/>
    </row>
    <row r="194" customFormat="false" ht="22.5" hidden="false" customHeight="true" outlineLevel="0" collapsed="false">
      <c r="A194" s="110"/>
      <c r="B194" s="110"/>
      <c r="C194" s="110"/>
      <c r="D194" s="122"/>
      <c r="E194" s="110"/>
      <c r="F194" s="128" t="str">
        <f aca="false">IF(E194="CONTADO", 4%, IF(E194="TARJETA / CHEQUE", 3%, IF(OR(E194="FINANCIADO", E194="MCP"), 2.5%, "")))</f>
        <v/>
      </c>
      <c r="G194" s="122" t="str">
        <f aca="false">IF(F194="", "", F194*D194)</f>
        <v/>
      </c>
      <c r="H194" s="131" t="b">
        <f aca="false">FALSE()</f>
        <v>0</v>
      </c>
      <c r="I194" s="131" t="b">
        <f aca="false">FALSE()</f>
        <v>0</v>
      </c>
      <c r="J194" s="130"/>
      <c r="K194" s="110"/>
      <c r="L194" s="83"/>
      <c r="M194" s="103"/>
      <c r="N194" s="103"/>
      <c r="O194" s="103"/>
      <c r="P194" s="103"/>
      <c r="Q194" s="103"/>
      <c r="R194" s="83"/>
      <c r="S194" s="103"/>
      <c r="T194" s="103"/>
      <c r="U194" s="103"/>
    </row>
    <row r="195" customFormat="false" ht="22.5" hidden="false" customHeight="true" outlineLevel="0" collapsed="false">
      <c r="A195" s="99"/>
      <c r="B195" s="99"/>
      <c r="C195" s="99"/>
      <c r="D195" s="121"/>
      <c r="E195" s="99"/>
      <c r="F195" s="124" t="str">
        <f aca="false">IF(E195="CONTADO", 4%, IF(E195="TARJETA / CHEQUE", 3%, IF(OR(E195="FINANCIADO", E195="MCP"), 2.5%, "")))</f>
        <v/>
      </c>
      <c r="G195" s="121" t="str">
        <f aca="false">IF(F195="", "", F195*D195)</f>
        <v/>
      </c>
      <c r="H195" s="132" t="b">
        <f aca="false">FALSE()</f>
        <v>0</v>
      </c>
      <c r="I195" s="132" t="b">
        <f aca="false">FALSE()</f>
        <v>0</v>
      </c>
      <c r="J195" s="126"/>
      <c r="K195" s="99"/>
      <c r="L195" s="83"/>
      <c r="M195" s="103"/>
      <c r="N195" s="103"/>
      <c r="O195" s="103"/>
      <c r="P195" s="103"/>
      <c r="Q195" s="103"/>
      <c r="R195" s="83"/>
      <c r="S195" s="103"/>
      <c r="T195" s="103"/>
      <c r="U195" s="103"/>
    </row>
    <row r="196" customFormat="false" ht="22.5" hidden="false" customHeight="true" outlineLevel="0" collapsed="false">
      <c r="A196" s="110"/>
      <c r="B196" s="110"/>
      <c r="C196" s="110"/>
      <c r="D196" s="122"/>
      <c r="E196" s="110"/>
      <c r="F196" s="128" t="str">
        <f aca="false">IF(E196="CONTADO", 4%, IF(E196="TARJETA / CHEQUE", 3%, IF(OR(E196="FINANCIADO", E196="MCP"), 2.5%, "")))</f>
        <v/>
      </c>
      <c r="G196" s="122" t="str">
        <f aca="false">IF(F196="", "", F196*D196)</f>
        <v/>
      </c>
      <c r="H196" s="131" t="b">
        <f aca="false">FALSE()</f>
        <v>0</v>
      </c>
      <c r="I196" s="131" t="b">
        <f aca="false">FALSE()</f>
        <v>0</v>
      </c>
      <c r="J196" s="130"/>
      <c r="K196" s="110"/>
      <c r="L196" s="83"/>
      <c r="M196" s="103"/>
      <c r="N196" s="103"/>
      <c r="O196" s="103"/>
      <c r="P196" s="103"/>
      <c r="Q196" s="103"/>
      <c r="R196" s="83"/>
      <c r="S196" s="103"/>
      <c r="T196" s="103"/>
      <c r="U196" s="103"/>
    </row>
    <row r="197" customFormat="false" ht="22.5" hidden="false" customHeight="true" outlineLevel="0" collapsed="false">
      <c r="A197" s="99"/>
      <c r="B197" s="99"/>
      <c r="C197" s="99"/>
      <c r="D197" s="121"/>
      <c r="E197" s="99"/>
      <c r="F197" s="124" t="str">
        <f aca="false">IF(E197="CONTADO", 4%, IF(E197="TARJETA / CHEQUE", 3%, IF(OR(E197="FINANCIADO", E197="MCP"), 2.5%, "")))</f>
        <v/>
      </c>
      <c r="G197" s="121" t="str">
        <f aca="false">IF(F197="", "", F197*D197)</f>
        <v/>
      </c>
      <c r="H197" s="132" t="b">
        <f aca="false">FALSE()</f>
        <v>0</v>
      </c>
      <c r="I197" s="132" t="b">
        <f aca="false">FALSE()</f>
        <v>0</v>
      </c>
      <c r="J197" s="126"/>
      <c r="K197" s="99"/>
      <c r="L197" s="83"/>
      <c r="M197" s="103"/>
      <c r="N197" s="103"/>
      <c r="O197" s="103"/>
      <c r="P197" s="103"/>
      <c r="Q197" s="103"/>
      <c r="R197" s="83"/>
      <c r="S197" s="103"/>
      <c r="T197" s="103"/>
      <c r="U197" s="103"/>
    </row>
    <row r="198" customFormat="false" ht="22.5" hidden="false" customHeight="true" outlineLevel="0" collapsed="false">
      <c r="A198" s="110"/>
      <c r="B198" s="110"/>
      <c r="C198" s="110"/>
      <c r="D198" s="122"/>
      <c r="E198" s="110"/>
      <c r="F198" s="128" t="str">
        <f aca="false">IF(E198="CONTADO", 4%, IF(E198="TARJETA / CHEQUE", 3%, IF(OR(E198="FINANCIADO", E198="MCP"), 2.5%, "")))</f>
        <v/>
      </c>
      <c r="G198" s="122" t="str">
        <f aca="false">IF(F198="", "", F198*D198)</f>
        <v/>
      </c>
      <c r="H198" s="131" t="b">
        <f aca="false">FALSE()</f>
        <v>0</v>
      </c>
      <c r="I198" s="131" t="b">
        <f aca="false">FALSE()</f>
        <v>0</v>
      </c>
      <c r="J198" s="130"/>
      <c r="K198" s="110"/>
      <c r="L198" s="83"/>
      <c r="M198" s="103"/>
      <c r="N198" s="103"/>
      <c r="O198" s="103"/>
      <c r="P198" s="103"/>
      <c r="Q198" s="103"/>
      <c r="R198" s="83"/>
      <c r="S198" s="103"/>
      <c r="T198" s="103"/>
      <c r="U198" s="103"/>
    </row>
    <row r="199" customFormat="false" ht="22.5" hidden="false" customHeight="true" outlineLevel="0" collapsed="false">
      <c r="A199" s="99"/>
      <c r="B199" s="99"/>
      <c r="C199" s="99"/>
      <c r="D199" s="121"/>
      <c r="E199" s="99"/>
      <c r="F199" s="124" t="str">
        <f aca="false">IF(E199="CONTADO", 4%, IF(E199="TARJETA / CHEQUE", 3%, IF(OR(E199="FINANCIADO", E199="MCP"), 2.5%, "")))</f>
        <v/>
      </c>
      <c r="G199" s="121" t="str">
        <f aca="false">IF(F199="", "", F199*D199)</f>
        <v/>
      </c>
      <c r="H199" s="132" t="b">
        <f aca="false">FALSE()</f>
        <v>0</v>
      </c>
      <c r="I199" s="132" t="b">
        <f aca="false">FALSE()</f>
        <v>0</v>
      </c>
      <c r="J199" s="126"/>
      <c r="K199" s="99"/>
      <c r="L199" s="83"/>
      <c r="M199" s="103"/>
      <c r="N199" s="103"/>
      <c r="O199" s="103"/>
      <c r="P199" s="103"/>
      <c r="Q199" s="103"/>
      <c r="R199" s="83"/>
      <c r="S199" s="103"/>
      <c r="T199" s="103"/>
      <c r="U199" s="103"/>
    </row>
    <row r="200" customFormat="false" ht="22.5" hidden="false" customHeight="true" outlineLevel="0" collapsed="false">
      <c r="A200" s="110"/>
      <c r="B200" s="110"/>
      <c r="C200" s="110"/>
      <c r="D200" s="122"/>
      <c r="E200" s="110"/>
      <c r="F200" s="128" t="str">
        <f aca="false">IF(E200="CONTADO", 4%, IF(E200="TARJETA / CHEQUE", 3%, IF(OR(E200="FINANCIADO", E200="MCP"), 2.5%, "")))</f>
        <v/>
      </c>
      <c r="G200" s="122" t="str">
        <f aca="false">IF(F200="", "", F200*D200)</f>
        <v/>
      </c>
      <c r="H200" s="131" t="b">
        <f aca="false">FALSE()</f>
        <v>0</v>
      </c>
      <c r="I200" s="131" t="b">
        <f aca="false">FALSE()</f>
        <v>0</v>
      </c>
      <c r="J200" s="130"/>
      <c r="K200" s="110"/>
      <c r="L200" s="83"/>
      <c r="M200" s="103"/>
      <c r="N200" s="103"/>
      <c r="O200" s="103"/>
      <c r="P200" s="103"/>
      <c r="Q200" s="103"/>
      <c r="R200" s="83"/>
      <c r="S200" s="103"/>
      <c r="T200" s="103"/>
      <c r="U200" s="103"/>
    </row>
    <row r="201" customFormat="false" ht="22.5" hidden="false" customHeight="true" outlineLevel="0" collapsed="false">
      <c r="A201" s="99"/>
      <c r="B201" s="99"/>
      <c r="C201" s="99"/>
      <c r="D201" s="121"/>
      <c r="E201" s="99"/>
      <c r="F201" s="124" t="str">
        <f aca="false">IF(E201="CONTADO", 4%, IF(E201="TARJETA / CHEQUE", 3%, IF(OR(E201="FINANCIADO", E201="MCP"), 2.5%, "")))</f>
        <v/>
      </c>
      <c r="G201" s="121" t="str">
        <f aca="false">IF(F201="", "", F201*D201)</f>
        <v/>
      </c>
      <c r="H201" s="132" t="b">
        <f aca="false">FALSE()</f>
        <v>0</v>
      </c>
      <c r="I201" s="132" t="b">
        <f aca="false">FALSE()</f>
        <v>0</v>
      </c>
      <c r="J201" s="126"/>
      <c r="K201" s="99"/>
      <c r="L201" s="83"/>
      <c r="M201" s="103"/>
      <c r="N201" s="103"/>
      <c r="O201" s="103"/>
      <c r="P201" s="103"/>
      <c r="Q201" s="103"/>
      <c r="R201" s="83"/>
      <c r="S201" s="103"/>
      <c r="T201" s="103"/>
      <c r="U201" s="103"/>
    </row>
    <row r="202" customFormat="false" ht="22.5" hidden="false" customHeight="true" outlineLevel="0" collapsed="false">
      <c r="A202" s="110"/>
      <c r="B202" s="110"/>
      <c r="C202" s="110"/>
      <c r="D202" s="122"/>
      <c r="E202" s="110"/>
      <c r="F202" s="128" t="str">
        <f aca="false">IF(E202="CONTADO", 4%, IF(E202="TARJETA / CHEQUE", 3%, IF(OR(E202="FINANCIADO", E202="MCP"), 2.5%, "")))</f>
        <v/>
      </c>
      <c r="G202" s="122" t="str">
        <f aca="false">IF(F202="", "", F202*D202)</f>
        <v/>
      </c>
      <c r="H202" s="131" t="b">
        <f aca="false">FALSE()</f>
        <v>0</v>
      </c>
      <c r="I202" s="131" t="b">
        <f aca="false">FALSE()</f>
        <v>0</v>
      </c>
      <c r="J202" s="130"/>
      <c r="K202" s="110"/>
      <c r="L202" s="83"/>
      <c r="M202" s="103"/>
      <c r="N202" s="103"/>
      <c r="O202" s="103"/>
      <c r="P202" s="103"/>
      <c r="Q202" s="103"/>
      <c r="R202" s="83"/>
      <c r="S202" s="103"/>
      <c r="T202" s="103"/>
      <c r="U202" s="103"/>
    </row>
    <row r="203" customFormat="false" ht="22.5" hidden="false" customHeight="true" outlineLevel="0" collapsed="false">
      <c r="A203" s="99"/>
      <c r="B203" s="99"/>
      <c r="C203" s="99"/>
      <c r="D203" s="121"/>
      <c r="E203" s="99"/>
      <c r="F203" s="124" t="str">
        <f aca="false">IF(E203="CONTADO", 4%, IF(E203="TARJETA / CHEQUE", 3%, IF(OR(E203="FINANCIADO", E203="MCP"), 2.5%, "")))</f>
        <v/>
      </c>
      <c r="G203" s="121" t="str">
        <f aca="false">IF(F203="", "", F203*D203)</f>
        <v/>
      </c>
      <c r="H203" s="132" t="b">
        <f aca="false">FALSE()</f>
        <v>0</v>
      </c>
      <c r="I203" s="132" t="b">
        <f aca="false">FALSE()</f>
        <v>0</v>
      </c>
      <c r="J203" s="126"/>
      <c r="K203" s="99"/>
      <c r="L203" s="83"/>
      <c r="M203" s="103"/>
      <c r="N203" s="103"/>
      <c r="O203" s="103"/>
      <c r="P203" s="103"/>
      <c r="Q203" s="103"/>
      <c r="R203" s="83"/>
      <c r="S203" s="103"/>
      <c r="T203" s="103"/>
      <c r="U203" s="103"/>
    </row>
    <row r="204" customFormat="false" ht="22.5" hidden="false" customHeight="true" outlineLevel="0" collapsed="false">
      <c r="A204" s="110"/>
      <c r="B204" s="110"/>
      <c r="C204" s="110"/>
      <c r="D204" s="122"/>
      <c r="E204" s="110"/>
      <c r="F204" s="128" t="str">
        <f aca="false">IF(E204="CONTADO", 4%, IF(E204="TARJETA / CHEQUE", 3%, IF(OR(E204="FINANCIADO", E204="MCP"), 2.5%, "")))</f>
        <v/>
      </c>
      <c r="G204" s="122" t="str">
        <f aca="false">IF(F204="", "", F204*D204)</f>
        <v/>
      </c>
      <c r="H204" s="131" t="b">
        <f aca="false">FALSE()</f>
        <v>0</v>
      </c>
      <c r="I204" s="131" t="b">
        <f aca="false">FALSE()</f>
        <v>0</v>
      </c>
      <c r="J204" s="130"/>
      <c r="K204" s="110"/>
      <c r="L204" s="83"/>
      <c r="M204" s="103"/>
      <c r="N204" s="103"/>
      <c r="O204" s="103"/>
      <c r="P204" s="103"/>
      <c r="Q204" s="103"/>
      <c r="R204" s="83"/>
      <c r="S204" s="103"/>
      <c r="T204" s="103"/>
      <c r="U204" s="103"/>
    </row>
    <row r="205" customFormat="false" ht="22.5" hidden="false" customHeight="true" outlineLevel="0" collapsed="false">
      <c r="A205" s="99"/>
      <c r="B205" s="99"/>
      <c r="C205" s="99"/>
      <c r="D205" s="121"/>
      <c r="E205" s="99"/>
      <c r="F205" s="124" t="str">
        <f aca="false">IF(E205="CONTADO", 4%, IF(E205="TARJETA / CHEQUE", 3%, IF(OR(E205="FINANCIADO", E205="MCP"), 2.5%, "")))</f>
        <v/>
      </c>
      <c r="G205" s="121" t="str">
        <f aca="false">IF(F205="", "", F205*D205)</f>
        <v/>
      </c>
      <c r="H205" s="132" t="b">
        <f aca="false">FALSE()</f>
        <v>0</v>
      </c>
      <c r="I205" s="132" t="b">
        <f aca="false">FALSE()</f>
        <v>0</v>
      </c>
      <c r="J205" s="126"/>
      <c r="K205" s="99"/>
      <c r="L205" s="83"/>
      <c r="M205" s="103"/>
      <c r="N205" s="103"/>
      <c r="O205" s="103"/>
      <c r="P205" s="103"/>
      <c r="Q205" s="103"/>
      <c r="R205" s="83"/>
      <c r="S205" s="103"/>
      <c r="T205" s="103"/>
      <c r="U205" s="103"/>
    </row>
    <row r="206" customFormat="false" ht="22.5" hidden="false" customHeight="true" outlineLevel="0" collapsed="false">
      <c r="A206" s="110"/>
      <c r="B206" s="110"/>
      <c r="C206" s="110"/>
      <c r="D206" s="122"/>
      <c r="E206" s="110"/>
      <c r="F206" s="128" t="str">
        <f aca="false">IF(E206="CONTADO", 4%, IF(E206="TARJETA / CHEQUE", 3%, IF(OR(E206="FINANCIADO", E206="MCP"), 2.5%, "")))</f>
        <v/>
      </c>
      <c r="G206" s="122" t="str">
        <f aca="false">IF(F206="", "", F206*D206)</f>
        <v/>
      </c>
      <c r="H206" s="131" t="b">
        <f aca="false">FALSE()</f>
        <v>0</v>
      </c>
      <c r="I206" s="131" t="b">
        <f aca="false">FALSE()</f>
        <v>0</v>
      </c>
      <c r="J206" s="130"/>
      <c r="K206" s="110"/>
      <c r="L206" s="83"/>
      <c r="M206" s="103"/>
      <c r="N206" s="103"/>
      <c r="O206" s="103"/>
      <c r="P206" s="103"/>
      <c r="Q206" s="103"/>
      <c r="R206" s="83"/>
      <c r="S206" s="103"/>
      <c r="T206" s="103"/>
      <c r="U206" s="103"/>
    </row>
    <row r="207" customFormat="false" ht="22.5" hidden="false" customHeight="true" outlineLevel="0" collapsed="false">
      <c r="A207" s="99"/>
      <c r="B207" s="99"/>
      <c r="C207" s="99"/>
      <c r="D207" s="121"/>
      <c r="E207" s="99"/>
      <c r="F207" s="124" t="str">
        <f aca="false">IF(E207="CONTADO", 4%, IF(E207="TARJETA / CHEQUE", 3%, IF(OR(E207="FINANCIADO", E207="MCP"), 2.5%, "")))</f>
        <v/>
      </c>
      <c r="G207" s="121" t="str">
        <f aca="false">IF(F207="", "", F207*D207)</f>
        <v/>
      </c>
      <c r="H207" s="132" t="b">
        <f aca="false">FALSE()</f>
        <v>0</v>
      </c>
      <c r="I207" s="132" t="b">
        <f aca="false">FALSE()</f>
        <v>0</v>
      </c>
      <c r="J207" s="126"/>
      <c r="K207" s="99"/>
      <c r="L207" s="83"/>
      <c r="M207" s="103"/>
      <c r="N207" s="103"/>
      <c r="O207" s="103"/>
      <c r="P207" s="103"/>
      <c r="Q207" s="103"/>
      <c r="R207" s="83"/>
      <c r="S207" s="103"/>
      <c r="T207" s="103"/>
      <c r="U207" s="103"/>
    </row>
    <row r="208" customFormat="false" ht="22.5" hidden="false" customHeight="true" outlineLevel="0" collapsed="false">
      <c r="A208" s="110"/>
      <c r="B208" s="110"/>
      <c r="C208" s="110"/>
      <c r="D208" s="122"/>
      <c r="E208" s="110"/>
      <c r="F208" s="128" t="str">
        <f aca="false">IF(E208="CONTADO", 4%, IF(E208="TARJETA / CHEQUE", 3%, IF(OR(E208="FINANCIADO", E208="MCP"), 2.5%, "")))</f>
        <v/>
      </c>
      <c r="G208" s="122" t="str">
        <f aca="false">IF(F208="", "", F208*D208)</f>
        <v/>
      </c>
      <c r="H208" s="131" t="b">
        <f aca="false">FALSE()</f>
        <v>0</v>
      </c>
      <c r="I208" s="131" t="b">
        <f aca="false">FALSE()</f>
        <v>0</v>
      </c>
      <c r="J208" s="130"/>
      <c r="K208" s="110"/>
      <c r="L208" s="83"/>
      <c r="M208" s="103"/>
      <c r="N208" s="103"/>
      <c r="O208" s="103"/>
      <c r="P208" s="103"/>
      <c r="Q208" s="103"/>
      <c r="R208" s="83"/>
      <c r="S208" s="103"/>
      <c r="T208" s="103"/>
      <c r="U208" s="103"/>
    </row>
    <row r="209" customFormat="false" ht="22.5" hidden="false" customHeight="true" outlineLevel="0" collapsed="false">
      <c r="A209" s="99"/>
      <c r="B209" s="99"/>
      <c r="C209" s="99"/>
      <c r="D209" s="121"/>
      <c r="E209" s="99"/>
      <c r="F209" s="124" t="str">
        <f aca="false">IF(E209="CONTADO", 4%, IF(E209="TARJETA / CHEQUE", 3%, IF(OR(E209="FINANCIADO", E209="MCP"), 2.5%, "")))</f>
        <v/>
      </c>
      <c r="G209" s="121" t="str">
        <f aca="false">IF(F209="", "", F209*D209)</f>
        <v/>
      </c>
      <c r="H209" s="132" t="b">
        <f aca="false">FALSE()</f>
        <v>0</v>
      </c>
      <c r="I209" s="132" t="b">
        <f aca="false">FALSE()</f>
        <v>0</v>
      </c>
      <c r="J209" s="126"/>
      <c r="K209" s="99"/>
      <c r="L209" s="83"/>
      <c r="M209" s="103"/>
      <c r="N209" s="103"/>
      <c r="O209" s="103"/>
      <c r="P209" s="103"/>
      <c r="Q209" s="103"/>
      <c r="R209" s="83"/>
      <c r="S209" s="103"/>
      <c r="T209" s="103"/>
      <c r="U209" s="103"/>
    </row>
    <row r="210" customFormat="false" ht="22.5" hidden="false" customHeight="true" outlineLevel="0" collapsed="false">
      <c r="A210" s="110"/>
      <c r="B210" s="110"/>
      <c r="C210" s="110"/>
      <c r="D210" s="122"/>
      <c r="E210" s="110"/>
      <c r="F210" s="128" t="str">
        <f aca="false">IF(E210="CONTADO", 4%, IF(E210="TARJETA / CHEQUE", 3%, IF(OR(E210="FINANCIADO", E210="MCP"), 2.5%, "")))</f>
        <v/>
      </c>
      <c r="G210" s="122" t="str">
        <f aca="false">IF(F210="", "", F210*D210)</f>
        <v/>
      </c>
      <c r="H210" s="131" t="b">
        <f aca="false">FALSE()</f>
        <v>0</v>
      </c>
      <c r="I210" s="131" t="b">
        <f aca="false">FALSE()</f>
        <v>0</v>
      </c>
      <c r="J210" s="130"/>
      <c r="K210" s="110"/>
      <c r="L210" s="83"/>
      <c r="M210" s="103"/>
      <c r="N210" s="103"/>
      <c r="O210" s="103"/>
      <c r="P210" s="103"/>
      <c r="Q210" s="103"/>
      <c r="R210" s="83"/>
      <c r="S210" s="103"/>
      <c r="T210" s="103"/>
      <c r="U210" s="103"/>
    </row>
    <row r="211" customFormat="false" ht="22.5" hidden="false" customHeight="true" outlineLevel="0" collapsed="false">
      <c r="A211" s="99"/>
      <c r="B211" s="99"/>
      <c r="C211" s="99"/>
      <c r="D211" s="121"/>
      <c r="E211" s="99"/>
      <c r="F211" s="124" t="str">
        <f aca="false">IF(E211="CONTADO", 4%, IF(E211="TARJETA / CHEQUE", 3%, IF(OR(E211="FINANCIADO", E211="MCP"), 2.5%, "")))</f>
        <v/>
      </c>
      <c r="G211" s="121" t="str">
        <f aca="false">IF(F211="", "", F211*D211)</f>
        <v/>
      </c>
      <c r="H211" s="132" t="b">
        <f aca="false">FALSE()</f>
        <v>0</v>
      </c>
      <c r="I211" s="132" t="b">
        <f aca="false">FALSE()</f>
        <v>0</v>
      </c>
      <c r="J211" s="126"/>
      <c r="K211" s="99"/>
      <c r="L211" s="83"/>
      <c r="M211" s="103"/>
      <c r="N211" s="103"/>
      <c r="O211" s="103"/>
      <c r="P211" s="103"/>
      <c r="Q211" s="103"/>
      <c r="R211" s="83"/>
      <c r="S211" s="103"/>
      <c r="T211" s="103"/>
      <c r="U211" s="103"/>
    </row>
    <row r="212" customFormat="false" ht="22.5" hidden="false" customHeight="true" outlineLevel="0" collapsed="false">
      <c r="A212" s="110"/>
      <c r="B212" s="110"/>
      <c r="C212" s="110"/>
      <c r="D212" s="122"/>
      <c r="E212" s="110"/>
      <c r="F212" s="128" t="str">
        <f aca="false">IF(E212="CONTADO", 4%, IF(E212="TARJETA / CHEQUE", 3%, IF(OR(E212="FINANCIADO", E212="MCP"), 2.5%, "")))</f>
        <v/>
      </c>
      <c r="G212" s="122" t="str">
        <f aca="false">IF(F212="", "", F212*D212)</f>
        <v/>
      </c>
      <c r="H212" s="131" t="b">
        <f aca="false">FALSE()</f>
        <v>0</v>
      </c>
      <c r="I212" s="131" t="b">
        <f aca="false">FALSE()</f>
        <v>0</v>
      </c>
      <c r="J212" s="130"/>
      <c r="K212" s="110"/>
      <c r="L212" s="83"/>
      <c r="M212" s="103"/>
      <c r="N212" s="103"/>
      <c r="O212" s="103"/>
      <c r="P212" s="103"/>
      <c r="Q212" s="103"/>
      <c r="R212" s="83"/>
      <c r="S212" s="103"/>
      <c r="T212" s="103"/>
      <c r="U212" s="103"/>
    </row>
    <row r="213" customFormat="false" ht="22.5" hidden="false" customHeight="true" outlineLevel="0" collapsed="false">
      <c r="A213" s="99"/>
      <c r="B213" s="99"/>
      <c r="C213" s="99"/>
      <c r="D213" s="121"/>
      <c r="E213" s="99"/>
      <c r="F213" s="124" t="str">
        <f aca="false">IF(E213="CONTADO", 4%, IF(E213="TARJETA / CHEQUE", 3%, IF(OR(E213="FINANCIADO", E213="MCP"), 2.5%, "")))</f>
        <v/>
      </c>
      <c r="G213" s="121" t="str">
        <f aca="false">IF(F213="", "", F213*D213)</f>
        <v/>
      </c>
      <c r="H213" s="132" t="b">
        <f aca="false">FALSE()</f>
        <v>0</v>
      </c>
      <c r="I213" s="132" t="b">
        <f aca="false">FALSE()</f>
        <v>0</v>
      </c>
      <c r="J213" s="126"/>
      <c r="K213" s="99"/>
      <c r="L213" s="83"/>
      <c r="M213" s="103"/>
      <c r="N213" s="103"/>
      <c r="O213" s="103"/>
      <c r="P213" s="103"/>
      <c r="Q213" s="103"/>
      <c r="R213" s="83"/>
      <c r="S213" s="103"/>
      <c r="T213" s="103"/>
      <c r="U213" s="103"/>
    </row>
    <row r="214" customFormat="false" ht="22.5" hidden="false" customHeight="true" outlineLevel="0" collapsed="false">
      <c r="A214" s="110"/>
      <c r="B214" s="110"/>
      <c r="C214" s="110"/>
      <c r="D214" s="122"/>
      <c r="E214" s="110"/>
      <c r="F214" s="128" t="str">
        <f aca="false">IF(E214="CONTADO", 4%, IF(E214="TARJETA / CHEQUE", 3%, IF(OR(E214="FINANCIADO", E214="MCP"), 2.5%, "")))</f>
        <v/>
      </c>
      <c r="G214" s="122" t="str">
        <f aca="false">IF(F214="", "", F214*D214)</f>
        <v/>
      </c>
      <c r="H214" s="131" t="b">
        <f aca="false">FALSE()</f>
        <v>0</v>
      </c>
      <c r="I214" s="131" t="b">
        <f aca="false">FALSE()</f>
        <v>0</v>
      </c>
      <c r="J214" s="130"/>
      <c r="K214" s="110"/>
      <c r="L214" s="83"/>
      <c r="M214" s="103"/>
      <c r="N214" s="103"/>
      <c r="O214" s="103"/>
      <c r="P214" s="103"/>
      <c r="Q214" s="103"/>
      <c r="R214" s="83"/>
      <c r="S214" s="103"/>
      <c r="T214" s="103"/>
      <c r="U214" s="103"/>
    </row>
    <row r="215" customFormat="false" ht="22.5" hidden="false" customHeight="true" outlineLevel="0" collapsed="false">
      <c r="A215" s="99"/>
      <c r="B215" s="99"/>
      <c r="C215" s="99"/>
      <c r="D215" s="121"/>
      <c r="E215" s="99"/>
      <c r="F215" s="124" t="str">
        <f aca="false">IF(E215="CONTADO", 4%, IF(E215="TARJETA / CHEQUE", 3%, IF(OR(E215="FINANCIADO", E215="MCP"), 2.5%, "")))</f>
        <v/>
      </c>
      <c r="G215" s="121" t="str">
        <f aca="false">IF(F215="", "", F215*D215)</f>
        <v/>
      </c>
      <c r="H215" s="132" t="b">
        <f aca="false">FALSE()</f>
        <v>0</v>
      </c>
      <c r="I215" s="132" t="b">
        <f aca="false">FALSE()</f>
        <v>0</v>
      </c>
      <c r="J215" s="126"/>
      <c r="K215" s="99"/>
      <c r="L215" s="83"/>
      <c r="M215" s="103"/>
      <c r="N215" s="103"/>
      <c r="O215" s="103"/>
      <c r="P215" s="103"/>
      <c r="Q215" s="103"/>
      <c r="R215" s="83"/>
      <c r="S215" s="103"/>
      <c r="T215" s="103"/>
      <c r="U215" s="103"/>
    </row>
    <row r="216" customFormat="false" ht="22.5" hidden="false" customHeight="true" outlineLevel="0" collapsed="false">
      <c r="A216" s="110"/>
      <c r="B216" s="110"/>
      <c r="C216" s="110"/>
      <c r="D216" s="122"/>
      <c r="E216" s="110"/>
      <c r="F216" s="128" t="str">
        <f aca="false">IF(E216="CONTADO", 4%, IF(E216="TARJETA / CHEQUE", 3%, IF(OR(E216="FINANCIADO", E216="MCP"), 2.5%, "")))</f>
        <v/>
      </c>
      <c r="G216" s="122" t="str">
        <f aca="false">IF(F216="", "", F216*D216)</f>
        <v/>
      </c>
      <c r="H216" s="131" t="b">
        <f aca="false">FALSE()</f>
        <v>0</v>
      </c>
      <c r="I216" s="131" t="b">
        <f aca="false">FALSE()</f>
        <v>0</v>
      </c>
      <c r="J216" s="130"/>
      <c r="K216" s="110"/>
      <c r="L216" s="83"/>
      <c r="M216" s="103"/>
      <c r="N216" s="103"/>
      <c r="O216" s="103"/>
      <c r="P216" s="103"/>
      <c r="Q216" s="103"/>
      <c r="R216" s="83"/>
      <c r="S216" s="103"/>
      <c r="T216" s="103"/>
      <c r="U216" s="103"/>
    </row>
    <row r="217" customFormat="false" ht="22.5" hidden="false" customHeight="true" outlineLevel="0" collapsed="false">
      <c r="A217" s="99"/>
      <c r="B217" s="99"/>
      <c r="C217" s="99"/>
      <c r="D217" s="121"/>
      <c r="E217" s="99"/>
      <c r="F217" s="124" t="str">
        <f aca="false">IF(E217="CONTADO", 4%, IF(E217="TARJETA / CHEQUE", 3%, IF(OR(E217="FINANCIADO", E217="MCP"), 2.5%, "")))</f>
        <v/>
      </c>
      <c r="G217" s="121" t="str">
        <f aca="false">IF(F217="", "", F217*D217)</f>
        <v/>
      </c>
      <c r="H217" s="132" t="b">
        <f aca="false">FALSE()</f>
        <v>0</v>
      </c>
      <c r="I217" s="132" t="b">
        <f aca="false">FALSE()</f>
        <v>0</v>
      </c>
      <c r="J217" s="126"/>
      <c r="K217" s="99"/>
      <c r="L217" s="83"/>
      <c r="M217" s="103"/>
      <c r="N217" s="103"/>
      <c r="O217" s="103"/>
      <c r="P217" s="103"/>
      <c r="Q217" s="103"/>
      <c r="R217" s="83"/>
      <c r="S217" s="103"/>
      <c r="T217" s="103"/>
      <c r="U217" s="103"/>
    </row>
    <row r="218" customFormat="false" ht="22.5" hidden="false" customHeight="true" outlineLevel="0" collapsed="false">
      <c r="A218" s="110"/>
      <c r="B218" s="110"/>
      <c r="C218" s="110"/>
      <c r="D218" s="122"/>
      <c r="E218" s="110"/>
      <c r="F218" s="128" t="str">
        <f aca="false">IF(E218="CONTADO", 4%, IF(E218="TARJETA / CHEQUE", 3%, IF(OR(E218="FINANCIADO", E218="MCP"), 2.5%, "")))</f>
        <v/>
      </c>
      <c r="G218" s="122" t="str">
        <f aca="false">IF(F218="", "", F218*D218)</f>
        <v/>
      </c>
      <c r="H218" s="131" t="b">
        <f aca="false">FALSE()</f>
        <v>0</v>
      </c>
      <c r="I218" s="131" t="b">
        <f aca="false">FALSE()</f>
        <v>0</v>
      </c>
      <c r="J218" s="130"/>
      <c r="K218" s="110"/>
      <c r="L218" s="83"/>
      <c r="M218" s="103"/>
      <c r="N218" s="103"/>
      <c r="O218" s="103"/>
      <c r="P218" s="103"/>
      <c r="Q218" s="103"/>
      <c r="R218" s="83"/>
      <c r="S218" s="103"/>
      <c r="T218" s="103"/>
      <c r="U218" s="103"/>
    </row>
    <row r="219" customFormat="false" ht="22.5" hidden="false" customHeight="true" outlineLevel="0" collapsed="false">
      <c r="A219" s="99"/>
      <c r="B219" s="99"/>
      <c r="C219" s="99"/>
      <c r="D219" s="121"/>
      <c r="E219" s="99"/>
      <c r="F219" s="124" t="str">
        <f aca="false">IF(E219="CONTADO", 4%, IF(E219="TARJETA / CHEQUE", 3%, IF(OR(E219="FINANCIADO", E219="MCP"), 2.5%, "")))</f>
        <v/>
      </c>
      <c r="G219" s="121" t="str">
        <f aca="false">IF(F219="", "", F219*D219)</f>
        <v/>
      </c>
      <c r="H219" s="132" t="b">
        <f aca="false">FALSE()</f>
        <v>0</v>
      </c>
      <c r="I219" s="132" t="b">
        <f aca="false">FALSE()</f>
        <v>0</v>
      </c>
      <c r="J219" s="126"/>
      <c r="K219" s="99"/>
      <c r="L219" s="83"/>
      <c r="M219" s="103"/>
      <c r="N219" s="103"/>
      <c r="O219" s="103"/>
      <c r="P219" s="103"/>
      <c r="Q219" s="103"/>
      <c r="R219" s="83"/>
      <c r="S219" s="103"/>
      <c r="T219" s="103"/>
      <c r="U219" s="103"/>
    </row>
    <row r="220" customFormat="false" ht="22.5" hidden="false" customHeight="true" outlineLevel="0" collapsed="false">
      <c r="A220" s="110"/>
      <c r="B220" s="110"/>
      <c r="C220" s="110"/>
      <c r="D220" s="122"/>
      <c r="E220" s="110"/>
      <c r="F220" s="128" t="str">
        <f aca="false">IF(E220="CONTADO", 4%, IF(E220="TARJETA / CHEQUE", 3%, IF(OR(E220="FINANCIADO", E220="MCP"), 2.5%, "")))</f>
        <v/>
      </c>
      <c r="G220" s="122" t="str">
        <f aca="false">IF(F220="", "", F220*D220)</f>
        <v/>
      </c>
      <c r="H220" s="131" t="b">
        <f aca="false">FALSE()</f>
        <v>0</v>
      </c>
      <c r="I220" s="131" t="b">
        <f aca="false">FALSE()</f>
        <v>0</v>
      </c>
      <c r="J220" s="130"/>
      <c r="K220" s="110"/>
      <c r="L220" s="83"/>
      <c r="M220" s="103"/>
      <c r="N220" s="103"/>
      <c r="O220" s="103"/>
      <c r="P220" s="103"/>
      <c r="Q220" s="103"/>
      <c r="R220" s="83"/>
      <c r="S220" s="103"/>
      <c r="T220" s="103"/>
      <c r="U220" s="103"/>
    </row>
    <row r="221" customFormat="false" ht="22.5" hidden="false" customHeight="true" outlineLevel="0" collapsed="false">
      <c r="A221" s="99"/>
      <c r="B221" s="99"/>
      <c r="C221" s="99"/>
      <c r="D221" s="121"/>
      <c r="E221" s="99"/>
      <c r="F221" s="124" t="str">
        <f aca="false">IF(E221="CONTADO", 4%, IF(E221="TARJETA / CHEQUE", 3%, IF(OR(E221="FINANCIADO", E221="MCP"), 2.5%, "")))</f>
        <v/>
      </c>
      <c r="G221" s="121" t="str">
        <f aca="false">IF(F221="", "", F221*D221)</f>
        <v/>
      </c>
      <c r="H221" s="132" t="b">
        <f aca="false">FALSE()</f>
        <v>0</v>
      </c>
      <c r="I221" s="132" t="b">
        <f aca="false">FALSE()</f>
        <v>0</v>
      </c>
      <c r="J221" s="126"/>
      <c r="K221" s="99"/>
      <c r="L221" s="83"/>
      <c r="M221" s="103"/>
      <c r="N221" s="103"/>
      <c r="O221" s="103"/>
      <c r="P221" s="103"/>
      <c r="Q221" s="103"/>
      <c r="R221" s="83"/>
      <c r="S221" s="103"/>
      <c r="T221" s="103"/>
      <c r="U221" s="103"/>
    </row>
    <row r="222" customFormat="false" ht="22.5" hidden="false" customHeight="true" outlineLevel="0" collapsed="false">
      <c r="A222" s="110"/>
      <c r="B222" s="110"/>
      <c r="C222" s="110"/>
      <c r="D222" s="122"/>
      <c r="E222" s="110"/>
      <c r="F222" s="128" t="str">
        <f aca="false">IF(E222="CONTADO", 4%, IF(E222="TARJETA / CHEQUE", 3%, IF(OR(E222="FINANCIADO", E222="MCP"), 2.5%, "")))</f>
        <v/>
      </c>
      <c r="G222" s="122" t="str">
        <f aca="false">IF(F222="", "", F222*D222)</f>
        <v/>
      </c>
      <c r="H222" s="131" t="b">
        <f aca="false">FALSE()</f>
        <v>0</v>
      </c>
      <c r="I222" s="131" t="b">
        <f aca="false">FALSE()</f>
        <v>0</v>
      </c>
      <c r="J222" s="130"/>
      <c r="K222" s="110"/>
      <c r="L222" s="83"/>
      <c r="M222" s="103"/>
      <c r="N222" s="103"/>
      <c r="O222" s="103"/>
      <c r="P222" s="103"/>
      <c r="Q222" s="103"/>
      <c r="R222" s="83"/>
      <c r="S222" s="103"/>
      <c r="T222" s="103"/>
      <c r="U222" s="103"/>
    </row>
    <row r="223" customFormat="false" ht="22.5" hidden="false" customHeight="true" outlineLevel="0" collapsed="false">
      <c r="A223" s="99"/>
      <c r="B223" s="99"/>
      <c r="C223" s="99"/>
      <c r="D223" s="121"/>
      <c r="E223" s="99"/>
      <c r="F223" s="124" t="str">
        <f aca="false">IF(E223="CONTADO", 4%, IF(E223="TARJETA / CHEQUE", 3%, IF(OR(E223="FINANCIADO", E223="MCP"), 2.5%, "")))</f>
        <v/>
      </c>
      <c r="G223" s="121" t="str">
        <f aca="false">IF(F223="", "", F223*D223)</f>
        <v/>
      </c>
      <c r="H223" s="132" t="b">
        <f aca="false">FALSE()</f>
        <v>0</v>
      </c>
      <c r="I223" s="132" t="b">
        <f aca="false">FALSE()</f>
        <v>0</v>
      </c>
      <c r="J223" s="126"/>
      <c r="K223" s="99"/>
      <c r="L223" s="83"/>
      <c r="M223" s="103"/>
      <c r="N223" s="103"/>
      <c r="O223" s="103"/>
      <c r="P223" s="103"/>
      <c r="Q223" s="103"/>
      <c r="R223" s="83"/>
      <c r="S223" s="103"/>
      <c r="T223" s="103"/>
      <c r="U223" s="103"/>
    </row>
    <row r="224" customFormat="false" ht="22.5" hidden="false" customHeight="true" outlineLevel="0" collapsed="false">
      <c r="A224" s="110"/>
      <c r="B224" s="110"/>
      <c r="C224" s="110"/>
      <c r="D224" s="122"/>
      <c r="E224" s="110"/>
      <c r="F224" s="128" t="str">
        <f aca="false">IF(E224="CONTADO", 4%, IF(E224="TARJETA / CHEQUE", 3%, IF(OR(E224="FINANCIADO", E224="MCP"), 2.5%, "")))</f>
        <v/>
      </c>
      <c r="G224" s="122" t="str">
        <f aca="false">IF(F224="", "", F224*D224)</f>
        <v/>
      </c>
      <c r="H224" s="131" t="b">
        <f aca="false">FALSE()</f>
        <v>0</v>
      </c>
      <c r="I224" s="131" t="b">
        <f aca="false">FALSE()</f>
        <v>0</v>
      </c>
      <c r="J224" s="130"/>
      <c r="K224" s="110"/>
      <c r="L224" s="83"/>
      <c r="M224" s="103"/>
      <c r="N224" s="103"/>
      <c r="O224" s="103"/>
      <c r="P224" s="103"/>
      <c r="Q224" s="103"/>
      <c r="R224" s="83"/>
      <c r="S224" s="103"/>
      <c r="T224" s="103"/>
      <c r="U224" s="103"/>
    </row>
    <row r="225" customFormat="false" ht="22.5" hidden="false" customHeight="true" outlineLevel="0" collapsed="false">
      <c r="A225" s="99"/>
      <c r="B225" s="99"/>
      <c r="C225" s="99"/>
      <c r="D225" s="121"/>
      <c r="E225" s="99"/>
      <c r="F225" s="124" t="str">
        <f aca="false">IF(E225="CONTADO", 4%, IF(E225="TARJETA / CHEQUE", 3%, IF(OR(E225="FINANCIADO", E225="MCP"), 2.5%, "")))</f>
        <v/>
      </c>
      <c r="G225" s="121" t="str">
        <f aca="false">IF(F225="", "", F225*D225)</f>
        <v/>
      </c>
      <c r="H225" s="132" t="b">
        <f aca="false">FALSE()</f>
        <v>0</v>
      </c>
      <c r="I225" s="132" t="b">
        <f aca="false">FALSE()</f>
        <v>0</v>
      </c>
      <c r="J225" s="126"/>
      <c r="K225" s="99"/>
      <c r="L225" s="83"/>
      <c r="M225" s="103"/>
      <c r="N225" s="103"/>
      <c r="O225" s="103"/>
      <c r="P225" s="103"/>
      <c r="Q225" s="103"/>
      <c r="R225" s="83"/>
      <c r="S225" s="103"/>
      <c r="T225" s="103"/>
      <c r="U225" s="103"/>
    </row>
    <row r="226" customFormat="false" ht="22.5" hidden="false" customHeight="true" outlineLevel="0" collapsed="false">
      <c r="A226" s="110"/>
      <c r="B226" s="110"/>
      <c r="C226" s="110"/>
      <c r="D226" s="122"/>
      <c r="E226" s="110"/>
      <c r="F226" s="128" t="str">
        <f aca="false">IF(E226="CONTADO", 4%, IF(E226="TARJETA / CHEQUE", 3%, IF(OR(E226="FINANCIADO", E226="MCP"), 2.5%, "")))</f>
        <v/>
      </c>
      <c r="G226" s="122" t="str">
        <f aca="false">IF(F226="", "", F226*D226)</f>
        <v/>
      </c>
      <c r="H226" s="131" t="b">
        <f aca="false">FALSE()</f>
        <v>0</v>
      </c>
      <c r="I226" s="131" t="b">
        <f aca="false">FALSE()</f>
        <v>0</v>
      </c>
      <c r="J226" s="130"/>
      <c r="K226" s="110"/>
      <c r="L226" s="83"/>
      <c r="M226" s="103"/>
      <c r="N226" s="103"/>
      <c r="O226" s="103"/>
      <c r="P226" s="103"/>
      <c r="Q226" s="103"/>
      <c r="R226" s="83"/>
      <c r="S226" s="103"/>
      <c r="T226" s="103"/>
      <c r="U226" s="103"/>
    </row>
    <row r="227" customFormat="false" ht="22.5" hidden="false" customHeight="true" outlineLevel="0" collapsed="false">
      <c r="A227" s="99"/>
      <c r="B227" s="99"/>
      <c r="C227" s="99"/>
      <c r="D227" s="121"/>
      <c r="E227" s="99"/>
      <c r="F227" s="124" t="str">
        <f aca="false">IF(E227="CONTADO", 4%, IF(E227="TARJETA / CHEQUE", 3%, IF(OR(E227="FINANCIADO", E227="MCP"), 2.5%, "")))</f>
        <v/>
      </c>
      <c r="G227" s="121" t="str">
        <f aca="false">IF(F227="", "", F227*D227)</f>
        <v/>
      </c>
      <c r="H227" s="132" t="b">
        <f aca="false">FALSE()</f>
        <v>0</v>
      </c>
      <c r="I227" s="132" t="b">
        <f aca="false">FALSE()</f>
        <v>0</v>
      </c>
      <c r="J227" s="126"/>
      <c r="K227" s="99"/>
      <c r="L227" s="83"/>
      <c r="M227" s="103"/>
      <c r="N227" s="103"/>
      <c r="O227" s="103"/>
      <c r="P227" s="103"/>
      <c r="Q227" s="103"/>
      <c r="R227" s="83"/>
      <c r="S227" s="103"/>
      <c r="T227" s="103"/>
      <c r="U227" s="103"/>
    </row>
    <row r="228" customFormat="false" ht="22.5" hidden="false" customHeight="true" outlineLevel="0" collapsed="false">
      <c r="A228" s="110"/>
      <c r="B228" s="110"/>
      <c r="C228" s="110"/>
      <c r="D228" s="122"/>
      <c r="E228" s="110"/>
      <c r="F228" s="128" t="str">
        <f aca="false">IF(E228="CONTADO", 4%, IF(E228="TARJETA / CHEQUE", 3%, IF(OR(E228="FINANCIADO", E228="MCP"), 2.5%, "")))</f>
        <v/>
      </c>
      <c r="G228" s="122" t="str">
        <f aca="false">IF(F228="", "", F228*D228)</f>
        <v/>
      </c>
      <c r="H228" s="131" t="b">
        <f aca="false">FALSE()</f>
        <v>0</v>
      </c>
      <c r="I228" s="131" t="b">
        <f aca="false">FALSE()</f>
        <v>0</v>
      </c>
      <c r="J228" s="130"/>
      <c r="K228" s="110"/>
      <c r="L228" s="83"/>
      <c r="M228" s="103"/>
      <c r="N228" s="103"/>
      <c r="O228" s="103"/>
      <c r="P228" s="103"/>
      <c r="Q228" s="103"/>
      <c r="R228" s="83"/>
      <c r="S228" s="103"/>
      <c r="T228" s="103"/>
      <c r="U228" s="103"/>
    </row>
    <row r="229" customFormat="false" ht="22.5" hidden="false" customHeight="true" outlineLevel="0" collapsed="false">
      <c r="A229" s="99"/>
      <c r="B229" s="99"/>
      <c r="C229" s="99"/>
      <c r="D229" s="121"/>
      <c r="E229" s="99"/>
      <c r="F229" s="124" t="str">
        <f aca="false">IF(E229="CONTADO", 4%, IF(E229="TARJETA / CHEQUE", 3%, IF(OR(E229="FINANCIADO", E229="MCP"), 2.5%, "")))</f>
        <v/>
      </c>
      <c r="G229" s="121" t="str">
        <f aca="false">IF(F229="", "", F229*D229)</f>
        <v/>
      </c>
      <c r="H229" s="132" t="b">
        <f aca="false">FALSE()</f>
        <v>0</v>
      </c>
      <c r="I229" s="132" t="b">
        <f aca="false">FALSE()</f>
        <v>0</v>
      </c>
      <c r="J229" s="126"/>
      <c r="K229" s="99"/>
      <c r="L229" s="83"/>
      <c r="M229" s="103"/>
      <c r="N229" s="103"/>
      <c r="O229" s="103"/>
      <c r="P229" s="103"/>
      <c r="Q229" s="103"/>
      <c r="R229" s="83"/>
      <c r="S229" s="103"/>
      <c r="T229" s="103"/>
      <c r="U229" s="103"/>
    </row>
    <row r="230" customFormat="false" ht="22.5" hidden="false" customHeight="true" outlineLevel="0" collapsed="false">
      <c r="A230" s="110"/>
      <c r="B230" s="110"/>
      <c r="C230" s="110"/>
      <c r="D230" s="122"/>
      <c r="E230" s="110"/>
      <c r="F230" s="128" t="str">
        <f aca="false">IF(E230="CONTADO", 4%, IF(E230="TARJETA / CHEQUE", 3%, IF(OR(E230="FINANCIADO", E230="MCP"), 2.5%, "")))</f>
        <v/>
      </c>
      <c r="G230" s="122" t="str">
        <f aca="false">IF(F230="", "", F230*D230)</f>
        <v/>
      </c>
      <c r="H230" s="131" t="b">
        <f aca="false">FALSE()</f>
        <v>0</v>
      </c>
      <c r="I230" s="131" t="b">
        <f aca="false">FALSE()</f>
        <v>0</v>
      </c>
      <c r="J230" s="130"/>
      <c r="K230" s="110"/>
      <c r="L230" s="83"/>
      <c r="M230" s="103"/>
      <c r="N230" s="103"/>
      <c r="O230" s="103"/>
      <c r="P230" s="103"/>
      <c r="Q230" s="103"/>
      <c r="R230" s="83"/>
      <c r="S230" s="103"/>
      <c r="T230" s="103"/>
      <c r="U230" s="103"/>
    </row>
    <row r="231" customFormat="false" ht="22.5" hidden="false" customHeight="true" outlineLevel="0" collapsed="false">
      <c r="A231" s="99"/>
      <c r="B231" s="99"/>
      <c r="C231" s="99"/>
      <c r="D231" s="121"/>
      <c r="E231" s="99"/>
      <c r="F231" s="124" t="str">
        <f aca="false">IF(E231="CONTADO", 4%, IF(E231="TARJETA / CHEQUE", 3%, IF(OR(E231="FINANCIADO", E231="MCP"), 2.5%, "")))</f>
        <v/>
      </c>
      <c r="G231" s="121" t="str">
        <f aca="false">IF(F231="", "", F231*D231)</f>
        <v/>
      </c>
      <c r="H231" s="132" t="b">
        <f aca="false">FALSE()</f>
        <v>0</v>
      </c>
      <c r="I231" s="132" t="b">
        <f aca="false">FALSE()</f>
        <v>0</v>
      </c>
      <c r="J231" s="126"/>
      <c r="K231" s="99"/>
      <c r="L231" s="83"/>
      <c r="M231" s="103"/>
      <c r="N231" s="103"/>
      <c r="O231" s="103"/>
      <c r="P231" s="103"/>
      <c r="Q231" s="103"/>
      <c r="R231" s="83"/>
      <c r="S231" s="103"/>
      <c r="T231" s="103"/>
      <c r="U231" s="103"/>
    </row>
    <row r="232" customFormat="false" ht="22.5" hidden="false" customHeight="true" outlineLevel="0" collapsed="false">
      <c r="A232" s="110"/>
      <c r="B232" s="110"/>
      <c r="C232" s="110"/>
      <c r="D232" s="122"/>
      <c r="E232" s="110"/>
      <c r="F232" s="128" t="str">
        <f aca="false">IF(E232="CONTADO", 4%, IF(E232="TARJETA / CHEQUE", 3%, IF(OR(E232="FINANCIADO", E232="MCP"), 2.5%, "")))</f>
        <v/>
      </c>
      <c r="G232" s="122" t="str">
        <f aca="false">IF(F232="", "", F232*D232)</f>
        <v/>
      </c>
      <c r="H232" s="131" t="b">
        <f aca="false">FALSE()</f>
        <v>0</v>
      </c>
      <c r="I232" s="131" t="b">
        <f aca="false">FALSE()</f>
        <v>0</v>
      </c>
      <c r="J232" s="130"/>
      <c r="K232" s="110"/>
      <c r="L232" s="83"/>
      <c r="M232" s="103"/>
      <c r="N232" s="103"/>
      <c r="O232" s="103"/>
      <c r="P232" s="103"/>
      <c r="Q232" s="103"/>
      <c r="R232" s="83"/>
      <c r="S232" s="103"/>
      <c r="T232" s="103"/>
      <c r="U232" s="103"/>
    </row>
    <row r="233" customFormat="false" ht="22.5" hidden="false" customHeight="true" outlineLevel="0" collapsed="false">
      <c r="A233" s="99"/>
      <c r="B233" s="99"/>
      <c r="C233" s="99"/>
      <c r="D233" s="121"/>
      <c r="E233" s="99"/>
      <c r="F233" s="124" t="str">
        <f aca="false">IF(E233="CONTADO", 4%, IF(E233="TARJETA / CHEQUE", 3%, IF(OR(E233="FINANCIADO", E233="MCP"), 2.5%, "")))</f>
        <v/>
      </c>
      <c r="G233" s="121" t="str">
        <f aca="false">IF(F233="", "", F233*D233)</f>
        <v/>
      </c>
      <c r="H233" s="132" t="b">
        <f aca="false">FALSE()</f>
        <v>0</v>
      </c>
      <c r="I233" s="132" t="b">
        <f aca="false">FALSE()</f>
        <v>0</v>
      </c>
      <c r="J233" s="126"/>
      <c r="K233" s="99"/>
      <c r="L233" s="83"/>
      <c r="M233" s="103"/>
      <c r="N233" s="103"/>
      <c r="O233" s="103"/>
      <c r="P233" s="103"/>
      <c r="Q233" s="103"/>
      <c r="R233" s="83"/>
      <c r="S233" s="103"/>
      <c r="T233" s="103"/>
      <c r="U233" s="103"/>
    </row>
    <row r="234" customFormat="false" ht="22.5" hidden="false" customHeight="true" outlineLevel="0" collapsed="false">
      <c r="A234" s="110"/>
      <c r="B234" s="110"/>
      <c r="C234" s="110"/>
      <c r="D234" s="122"/>
      <c r="E234" s="110"/>
      <c r="F234" s="128" t="str">
        <f aca="false">IF(E234="CONTADO", 4%, IF(E234="TARJETA / CHEQUE", 3%, IF(OR(E234="FINANCIADO", E234="MCP"), 2.5%, "")))</f>
        <v/>
      </c>
      <c r="G234" s="122" t="str">
        <f aca="false">IF(F234="", "", F234*D234)</f>
        <v/>
      </c>
      <c r="H234" s="131" t="b">
        <f aca="false">FALSE()</f>
        <v>0</v>
      </c>
      <c r="I234" s="131" t="b">
        <f aca="false">FALSE()</f>
        <v>0</v>
      </c>
      <c r="J234" s="130"/>
      <c r="K234" s="110"/>
      <c r="L234" s="83"/>
      <c r="M234" s="103"/>
      <c r="N234" s="103"/>
      <c r="O234" s="103"/>
      <c r="P234" s="103"/>
      <c r="Q234" s="103"/>
      <c r="R234" s="83"/>
      <c r="S234" s="103"/>
      <c r="T234" s="103"/>
      <c r="U234" s="103"/>
    </row>
    <row r="235" customFormat="false" ht="22.5" hidden="false" customHeight="true" outlineLevel="0" collapsed="false">
      <c r="A235" s="99"/>
      <c r="B235" s="99"/>
      <c r="C235" s="99"/>
      <c r="D235" s="121"/>
      <c r="E235" s="99"/>
      <c r="F235" s="124" t="str">
        <f aca="false">IF(E235="CONTADO", 4%, IF(E235="TARJETA / CHEQUE", 3%, IF(OR(E235="FINANCIADO", E235="MCP"), 2.5%, "")))</f>
        <v/>
      </c>
      <c r="G235" s="121" t="str">
        <f aca="false">IF(F235="", "", F235*D235)</f>
        <v/>
      </c>
      <c r="H235" s="132" t="b">
        <f aca="false">FALSE()</f>
        <v>0</v>
      </c>
      <c r="I235" s="132" t="b">
        <f aca="false">FALSE()</f>
        <v>0</v>
      </c>
      <c r="J235" s="126"/>
      <c r="K235" s="99"/>
      <c r="L235" s="83"/>
      <c r="M235" s="103"/>
      <c r="N235" s="103"/>
      <c r="O235" s="103"/>
      <c r="P235" s="103"/>
      <c r="Q235" s="103"/>
      <c r="R235" s="83"/>
      <c r="S235" s="103"/>
      <c r="T235" s="103"/>
      <c r="U235" s="103"/>
    </row>
    <row r="236" customFormat="false" ht="22.5" hidden="false" customHeight="true" outlineLevel="0" collapsed="false">
      <c r="A236" s="110"/>
      <c r="B236" s="110"/>
      <c r="C236" s="110"/>
      <c r="D236" s="122"/>
      <c r="E236" s="110"/>
      <c r="F236" s="128" t="str">
        <f aca="false">IF(E236="CONTADO", 4%, IF(E236="TARJETA / CHEQUE", 3%, IF(OR(E236="FINANCIADO", E236="MCP"), 2.5%, "")))</f>
        <v/>
      </c>
      <c r="G236" s="122" t="str">
        <f aca="false">IF(F236="", "", F236*D236)</f>
        <v/>
      </c>
      <c r="H236" s="131" t="b">
        <f aca="false">FALSE()</f>
        <v>0</v>
      </c>
      <c r="I236" s="131" t="b">
        <f aca="false">FALSE()</f>
        <v>0</v>
      </c>
      <c r="J236" s="130"/>
      <c r="K236" s="110"/>
      <c r="L236" s="83"/>
      <c r="M236" s="103"/>
      <c r="N236" s="103"/>
      <c r="O236" s="103"/>
      <c r="P236" s="103"/>
      <c r="Q236" s="103"/>
      <c r="R236" s="83"/>
      <c r="S236" s="103"/>
      <c r="T236" s="103"/>
      <c r="U236" s="103"/>
    </row>
    <row r="237" customFormat="false" ht="22.5" hidden="false" customHeight="true" outlineLevel="0" collapsed="false">
      <c r="A237" s="99"/>
      <c r="B237" s="99"/>
      <c r="C237" s="99"/>
      <c r="D237" s="121"/>
      <c r="E237" s="99"/>
      <c r="F237" s="124" t="str">
        <f aca="false">IF(E237="CONTADO", 4%, IF(E237="TARJETA / CHEQUE", 3%, IF(OR(E237="FINANCIADO", E237="MCP"), 2.5%, "")))</f>
        <v/>
      </c>
      <c r="G237" s="121" t="str">
        <f aca="false">IF(F237="", "", F237*D237)</f>
        <v/>
      </c>
      <c r="H237" s="132" t="b">
        <f aca="false">FALSE()</f>
        <v>0</v>
      </c>
      <c r="I237" s="132" t="b">
        <f aca="false">FALSE()</f>
        <v>0</v>
      </c>
      <c r="J237" s="126"/>
      <c r="K237" s="99"/>
      <c r="L237" s="83"/>
      <c r="M237" s="103"/>
      <c r="N237" s="103"/>
      <c r="O237" s="103"/>
      <c r="P237" s="103"/>
      <c r="Q237" s="103"/>
      <c r="R237" s="83"/>
      <c r="S237" s="103"/>
      <c r="T237" s="103"/>
      <c r="U237" s="103"/>
    </row>
    <row r="238" customFormat="false" ht="22.5" hidden="false" customHeight="true" outlineLevel="0" collapsed="false">
      <c r="A238" s="110"/>
      <c r="B238" s="110"/>
      <c r="C238" s="110"/>
      <c r="D238" s="122"/>
      <c r="E238" s="110"/>
      <c r="F238" s="128" t="str">
        <f aca="false">IF(E238="CONTADO", 4%, IF(E238="TARJETA / CHEQUE", 3%, IF(OR(E238="FINANCIADO", E238="MCP"), 2.5%, "")))</f>
        <v/>
      </c>
      <c r="G238" s="122" t="str">
        <f aca="false">IF(F238="", "", F238*D238)</f>
        <v/>
      </c>
      <c r="H238" s="131" t="b">
        <f aca="false">FALSE()</f>
        <v>0</v>
      </c>
      <c r="I238" s="131" t="b">
        <f aca="false">FALSE()</f>
        <v>0</v>
      </c>
      <c r="J238" s="130"/>
      <c r="K238" s="110"/>
      <c r="L238" s="83"/>
      <c r="M238" s="103"/>
      <c r="N238" s="103"/>
      <c r="O238" s="103"/>
      <c r="P238" s="103"/>
      <c r="Q238" s="103"/>
      <c r="R238" s="83"/>
      <c r="S238" s="103"/>
      <c r="T238" s="103"/>
      <c r="U238" s="103"/>
    </row>
    <row r="239" customFormat="false" ht="22.5" hidden="false" customHeight="true" outlineLevel="0" collapsed="false">
      <c r="A239" s="99"/>
      <c r="B239" s="99"/>
      <c r="C239" s="99"/>
      <c r="D239" s="121"/>
      <c r="E239" s="99"/>
      <c r="F239" s="124" t="str">
        <f aca="false">IF(E239="CONTADO", 4%, IF(E239="TARJETA / CHEQUE", 3%, IF(OR(E239="FINANCIADO", E239="MCP"), 2.5%, "")))</f>
        <v/>
      </c>
      <c r="G239" s="121" t="str">
        <f aca="false">IF(F239="", "", F239*D239)</f>
        <v/>
      </c>
      <c r="H239" s="132" t="b">
        <f aca="false">FALSE()</f>
        <v>0</v>
      </c>
      <c r="I239" s="132" t="b">
        <f aca="false">FALSE()</f>
        <v>0</v>
      </c>
      <c r="J239" s="126"/>
      <c r="K239" s="99"/>
      <c r="L239" s="83"/>
      <c r="M239" s="103"/>
      <c r="N239" s="103"/>
      <c r="O239" s="103"/>
      <c r="P239" s="103"/>
      <c r="Q239" s="103"/>
      <c r="R239" s="83"/>
      <c r="S239" s="103"/>
      <c r="T239" s="103"/>
      <c r="U239" s="103"/>
    </row>
    <row r="240" customFormat="false" ht="22.5" hidden="false" customHeight="true" outlineLevel="0" collapsed="false">
      <c r="A240" s="110"/>
      <c r="B240" s="110"/>
      <c r="C240" s="110"/>
      <c r="D240" s="122"/>
      <c r="E240" s="110"/>
      <c r="F240" s="128" t="str">
        <f aca="false">IF(E240="CONTADO", 4%, IF(E240="TARJETA / CHEQUE", 3%, IF(OR(E240="FINANCIADO", E240="MCP"), 2.5%, "")))</f>
        <v/>
      </c>
      <c r="G240" s="122" t="str">
        <f aca="false">IF(F240="", "", F240*D240)</f>
        <v/>
      </c>
      <c r="H240" s="131" t="b">
        <f aca="false">FALSE()</f>
        <v>0</v>
      </c>
      <c r="I240" s="131" t="b">
        <f aca="false">FALSE()</f>
        <v>0</v>
      </c>
      <c r="J240" s="130"/>
      <c r="K240" s="110"/>
      <c r="L240" s="83"/>
      <c r="M240" s="103"/>
      <c r="N240" s="103"/>
      <c r="O240" s="103"/>
      <c r="P240" s="103"/>
      <c r="Q240" s="103"/>
      <c r="R240" s="83"/>
      <c r="S240" s="103"/>
      <c r="T240" s="103"/>
      <c r="U240" s="103"/>
    </row>
    <row r="241" customFormat="false" ht="22.5" hidden="false" customHeight="true" outlineLevel="0" collapsed="false">
      <c r="A241" s="99"/>
      <c r="B241" s="99"/>
      <c r="C241" s="99"/>
      <c r="D241" s="121"/>
      <c r="E241" s="99"/>
      <c r="F241" s="124" t="str">
        <f aca="false">IF(E241="CONTADO", 4%, IF(E241="TARJETA / CHEQUE", 3%, IF(OR(E241="FINANCIADO", E241="MCP"), 2.5%, "")))</f>
        <v/>
      </c>
      <c r="G241" s="121" t="str">
        <f aca="false">IF(F241="", "", F241*D241)</f>
        <v/>
      </c>
      <c r="H241" s="132" t="b">
        <f aca="false">FALSE()</f>
        <v>0</v>
      </c>
      <c r="I241" s="132" t="b">
        <f aca="false">FALSE()</f>
        <v>0</v>
      </c>
      <c r="J241" s="126"/>
      <c r="K241" s="99"/>
      <c r="L241" s="83"/>
      <c r="M241" s="103"/>
      <c r="N241" s="103"/>
      <c r="O241" s="103"/>
      <c r="P241" s="103"/>
      <c r="Q241" s="103"/>
      <c r="R241" s="83"/>
      <c r="S241" s="103"/>
      <c r="T241" s="103"/>
      <c r="U241" s="103"/>
    </row>
    <row r="242" customFormat="false" ht="22.5" hidden="false" customHeight="true" outlineLevel="0" collapsed="false">
      <c r="A242" s="110"/>
      <c r="B242" s="110"/>
      <c r="C242" s="110"/>
      <c r="D242" s="122"/>
      <c r="E242" s="110"/>
      <c r="F242" s="128" t="str">
        <f aca="false">IF(E242="CONTADO", 4%, IF(E242="TARJETA / CHEQUE", 3%, IF(OR(E242="FINANCIADO", E242="MCP"), 2.5%, "")))</f>
        <v/>
      </c>
      <c r="G242" s="122" t="str">
        <f aca="false">IF(F242="", "", F242*D242)</f>
        <v/>
      </c>
      <c r="H242" s="131" t="b">
        <f aca="false">FALSE()</f>
        <v>0</v>
      </c>
      <c r="I242" s="131" t="b">
        <f aca="false">FALSE()</f>
        <v>0</v>
      </c>
      <c r="J242" s="130"/>
      <c r="K242" s="110"/>
      <c r="L242" s="83"/>
      <c r="M242" s="103"/>
      <c r="N242" s="103"/>
      <c r="O242" s="103"/>
      <c r="P242" s="103"/>
      <c r="Q242" s="103"/>
      <c r="R242" s="83"/>
      <c r="S242" s="103"/>
      <c r="T242" s="103"/>
      <c r="U242" s="103"/>
    </row>
    <row r="243" customFormat="false" ht="22.5" hidden="false" customHeight="true" outlineLevel="0" collapsed="false">
      <c r="A243" s="99"/>
      <c r="B243" s="99"/>
      <c r="C243" s="99"/>
      <c r="D243" s="121"/>
      <c r="E243" s="99"/>
      <c r="F243" s="124" t="str">
        <f aca="false">IF(E243="CONTADO", 4%, IF(E243="TARJETA / CHEQUE", 3%, IF(OR(E243="FINANCIADO", E243="MCP"), 2.5%, "")))</f>
        <v/>
      </c>
      <c r="G243" s="121" t="str">
        <f aca="false">IF(F243="", "", F243*D243)</f>
        <v/>
      </c>
      <c r="H243" s="132" t="b">
        <f aca="false">FALSE()</f>
        <v>0</v>
      </c>
      <c r="I243" s="132" t="b">
        <f aca="false">FALSE()</f>
        <v>0</v>
      </c>
      <c r="J243" s="126"/>
      <c r="K243" s="99"/>
      <c r="L243" s="83"/>
      <c r="M243" s="103"/>
      <c r="N243" s="103"/>
      <c r="O243" s="103"/>
      <c r="P243" s="103"/>
      <c r="Q243" s="103"/>
      <c r="R243" s="83"/>
      <c r="S243" s="103"/>
      <c r="T243" s="103"/>
      <c r="U243" s="103"/>
    </row>
    <row r="244" customFormat="false" ht="22.5" hidden="false" customHeight="true" outlineLevel="0" collapsed="false">
      <c r="A244" s="110"/>
      <c r="B244" s="110"/>
      <c r="C244" s="110"/>
      <c r="D244" s="122"/>
      <c r="E244" s="110"/>
      <c r="F244" s="128" t="str">
        <f aca="false">IF(E244="CONTADO", 4%, IF(E244="TARJETA / CHEQUE", 3%, IF(OR(E244="FINANCIADO", E244="MCP"), 2.5%, "")))</f>
        <v/>
      </c>
      <c r="G244" s="122" t="str">
        <f aca="false">IF(F244="", "", F244*D244)</f>
        <v/>
      </c>
      <c r="H244" s="131" t="b">
        <f aca="false">FALSE()</f>
        <v>0</v>
      </c>
      <c r="I244" s="131" t="b">
        <f aca="false">FALSE()</f>
        <v>0</v>
      </c>
      <c r="J244" s="130"/>
      <c r="K244" s="110"/>
      <c r="L244" s="83"/>
      <c r="M244" s="103"/>
      <c r="N244" s="103"/>
      <c r="O244" s="103"/>
      <c r="P244" s="103"/>
      <c r="Q244" s="103"/>
      <c r="R244" s="83"/>
      <c r="S244" s="103"/>
      <c r="T244" s="103"/>
      <c r="U244" s="103"/>
    </row>
    <row r="245" customFormat="false" ht="22.5" hidden="false" customHeight="true" outlineLevel="0" collapsed="false">
      <c r="A245" s="99"/>
      <c r="B245" s="99"/>
      <c r="C245" s="99"/>
      <c r="D245" s="121"/>
      <c r="E245" s="99"/>
      <c r="F245" s="124" t="str">
        <f aca="false">IF(E245="CONTADO", 4%, IF(E245="TARJETA / CHEQUE", 3%, IF(OR(E245="FINANCIADO", E245="MCP"), 2.5%, "")))</f>
        <v/>
      </c>
      <c r="G245" s="121" t="str">
        <f aca="false">IF(F245="", "", F245*D245)</f>
        <v/>
      </c>
      <c r="H245" s="132" t="b">
        <f aca="false">FALSE()</f>
        <v>0</v>
      </c>
      <c r="I245" s="132" t="b">
        <f aca="false">FALSE()</f>
        <v>0</v>
      </c>
      <c r="J245" s="126"/>
      <c r="K245" s="99"/>
      <c r="L245" s="83"/>
      <c r="M245" s="103"/>
      <c r="N245" s="103"/>
      <c r="O245" s="103"/>
      <c r="P245" s="103"/>
      <c r="Q245" s="103"/>
      <c r="R245" s="83"/>
      <c r="S245" s="103"/>
      <c r="T245" s="103"/>
      <c r="U245" s="103"/>
    </row>
    <row r="246" customFormat="false" ht="22.5" hidden="false" customHeight="true" outlineLevel="0" collapsed="false">
      <c r="A246" s="110"/>
      <c r="B246" s="110"/>
      <c r="C246" s="110"/>
      <c r="D246" s="122"/>
      <c r="E246" s="110"/>
      <c r="F246" s="128" t="str">
        <f aca="false">IF(E246="CONTADO", 4%, IF(E246="TARJETA / CHEQUE", 3%, IF(OR(E246="FINANCIADO", E246="MCP"), 2.5%, "")))</f>
        <v/>
      </c>
      <c r="G246" s="122" t="str">
        <f aca="false">IF(F246="", "", F246*D246)</f>
        <v/>
      </c>
      <c r="H246" s="131" t="b">
        <f aca="false">FALSE()</f>
        <v>0</v>
      </c>
      <c r="I246" s="131" t="b">
        <f aca="false">FALSE()</f>
        <v>0</v>
      </c>
      <c r="J246" s="130"/>
      <c r="K246" s="110"/>
      <c r="L246" s="83"/>
      <c r="M246" s="103"/>
      <c r="N246" s="103"/>
      <c r="O246" s="103"/>
      <c r="P246" s="103"/>
      <c r="Q246" s="103"/>
      <c r="R246" s="83"/>
      <c r="S246" s="103"/>
      <c r="T246" s="103"/>
      <c r="U246" s="103"/>
    </row>
    <row r="247" customFormat="false" ht="22.5" hidden="false" customHeight="true" outlineLevel="0" collapsed="false">
      <c r="A247" s="99"/>
      <c r="B247" s="99"/>
      <c r="C247" s="99"/>
      <c r="D247" s="121"/>
      <c r="E247" s="99"/>
      <c r="F247" s="124" t="str">
        <f aca="false">IF(E247="CONTADO", 4%, IF(E247="TARJETA / CHEQUE", 3%, IF(OR(E247="FINANCIADO", E247="MCP"), 2.5%, "")))</f>
        <v/>
      </c>
      <c r="G247" s="121" t="str">
        <f aca="false">IF(F247="", "", F247*D247)</f>
        <v/>
      </c>
      <c r="H247" s="132" t="b">
        <f aca="false">FALSE()</f>
        <v>0</v>
      </c>
      <c r="I247" s="132" t="b">
        <f aca="false">FALSE()</f>
        <v>0</v>
      </c>
      <c r="J247" s="126"/>
      <c r="K247" s="99"/>
      <c r="L247" s="83"/>
      <c r="M247" s="103"/>
      <c r="N247" s="103"/>
      <c r="O247" s="103"/>
      <c r="P247" s="103"/>
      <c r="Q247" s="103"/>
      <c r="R247" s="83"/>
      <c r="S247" s="103"/>
      <c r="T247" s="103"/>
      <c r="U247" s="103"/>
    </row>
    <row r="248" customFormat="false" ht="22.5" hidden="false" customHeight="true" outlineLevel="0" collapsed="false">
      <c r="A248" s="110"/>
      <c r="B248" s="110"/>
      <c r="C248" s="110"/>
      <c r="D248" s="122"/>
      <c r="E248" s="110"/>
      <c r="F248" s="128" t="str">
        <f aca="false">IF(E248="CONTADO", 4%, IF(E248="TARJETA / CHEQUE", 3%, IF(OR(E248="FINANCIADO", E248="MCP"), 2.5%, "")))</f>
        <v/>
      </c>
      <c r="G248" s="122" t="str">
        <f aca="false">IF(F248="", "", F248*D248)</f>
        <v/>
      </c>
      <c r="H248" s="131" t="b">
        <f aca="false">FALSE()</f>
        <v>0</v>
      </c>
      <c r="I248" s="131" t="b">
        <f aca="false">FALSE()</f>
        <v>0</v>
      </c>
      <c r="J248" s="130"/>
      <c r="K248" s="110"/>
      <c r="L248" s="83"/>
      <c r="M248" s="103"/>
      <c r="N248" s="103"/>
      <c r="O248" s="103"/>
      <c r="P248" s="103"/>
      <c r="Q248" s="103"/>
      <c r="R248" s="83"/>
      <c r="S248" s="103"/>
      <c r="T248" s="103"/>
      <c r="U248" s="103"/>
    </row>
    <row r="249" customFormat="false" ht="22.5" hidden="false" customHeight="true" outlineLevel="0" collapsed="false">
      <c r="A249" s="99"/>
      <c r="B249" s="99"/>
      <c r="C249" s="99"/>
      <c r="D249" s="121"/>
      <c r="E249" s="99"/>
      <c r="F249" s="124" t="str">
        <f aca="false">IF(E249="CONTADO", 4%, IF(E249="TARJETA / CHEQUE", 3%, IF(OR(E249="FINANCIADO", E249="MCP"), 2.5%, "")))</f>
        <v/>
      </c>
      <c r="G249" s="121" t="str">
        <f aca="false">IF(F249="", "", F249*D249)</f>
        <v/>
      </c>
      <c r="H249" s="132" t="b">
        <f aca="false">FALSE()</f>
        <v>0</v>
      </c>
      <c r="I249" s="132" t="b">
        <f aca="false">FALSE()</f>
        <v>0</v>
      </c>
      <c r="J249" s="126"/>
      <c r="K249" s="99"/>
      <c r="L249" s="83"/>
      <c r="M249" s="103"/>
      <c r="N249" s="103"/>
      <c r="O249" s="103"/>
      <c r="P249" s="103"/>
      <c r="Q249" s="103"/>
      <c r="R249" s="83"/>
      <c r="S249" s="103"/>
      <c r="T249" s="103"/>
      <c r="U249" s="103"/>
    </row>
    <row r="250" customFormat="false" ht="22.5" hidden="false" customHeight="true" outlineLevel="0" collapsed="false">
      <c r="A250" s="110"/>
      <c r="B250" s="110"/>
      <c r="C250" s="110"/>
      <c r="D250" s="122"/>
      <c r="E250" s="110"/>
      <c r="F250" s="128" t="str">
        <f aca="false">IF(E250="CONTADO", 4%, IF(E250="TARJETA / CHEQUE", 3%, IF(OR(E250="FINANCIADO", E250="MCP"), 2.5%, "")))</f>
        <v/>
      </c>
      <c r="G250" s="122" t="str">
        <f aca="false">IF(F250="", "", F250*D250)</f>
        <v/>
      </c>
      <c r="H250" s="131" t="b">
        <f aca="false">FALSE()</f>
        <v>0</v>
      </c>
      <c r="I250" s="131" t="b">
        <f aca="false">FALSE()</f>
        <v>0</v>
      </c>
      <c r="J250" s="130"/>
      <c r="K250" s="110"/>
      <c r="L250" s="83"/>
      <c r="M250" s="103"/>
      <c r="N250" s="103"/>
      <c r="O250" s="103"/>
      <c r="P250" s="103"/>
      <c r="Q250" s="103"/>
      <c r="R250" s="83"/>
      <c r="S250" s="103"/>
      <c r="T250" s="103"/>
      <c r="U250" s="103"/>
    </row>
    <row r="251" customFormat="false" ht="22.5" hidden="false" customHeight="true" outlineLevel="0" collapsed="false">
      <c r="A251" s="99"/>
      <c r="B251" s="99"/>
      <c r="C251" s="99"/>
      <c r="D251" s="121"/>
      <c r="E251" s="99"/>
      <c r="F251" s="124" t="str">
        <f aca="false">IF(E251="CONTADO", 4%, IF(E251="TARJETA / CHEQUE", 3%, IF(OR(E251="FINANCIADO", E251="MCP"), 2.5%, "")))</f>
        <v/>
      </c>
      <c r="G251" s="121" t="str">
        <f aca="false">IF(F251="", "", F251*D251)</f>
        <v/>
      </c>
      <c r="H251" s="132" t="b">
        <f aca="false">FALSE()</f>
        <v>0</v>
      </c>
      <c r="I251" s="132" t="b">
        <f aca="false">FALSE()</f>
        <v>0</v>
      </c>
      <c r="J251" s="126"/>
      <c r="K251" s="99"/>
      <c r="L251" s="83"/>
      <c r="M251" s="103"/>
      <c r="N251" s="103"/>
      <c r="O251" s="103"/>
      <c r="P251" s="103"/>
      <c r="Q251" s="103"/>
      <c r="R251" s="83"/>
      <c r="S251" s="103"/>
      <c r="T251" s="103"/>
      <c r="U251" s="103"/>
    </row>
    <row r="252" customFormat="false" ht="22.5" hidden="false" customHeight="true" outlineLevel="0" collapsed="false">
      <c r="A252" s="110"/>
      <c r="B252" s="110"/>
      <c r="C252" s="110"/>
      <c r="D252" s="122"/>
      <c r="E252" s="110"/>
      <c r="F252" s="128" t="str">
        <f aca="false">IF(E252="CONTADO", 4%, IF(E252="TARJETA / CHEQUE", 3%, IF(OR(E252="FINANCIADO", E252="MCP"), 2.5%, "")))</f>
        <v/>
      </c>
      <c r="G252" s="122" t="str">
        <f aca="false">IF(F252="", "", F252*D252)</f>
        <v/>
      </c>
      <c r="H252" s="131" t="b">
        <f aca="false">FALSE()</f>
        <v>0</v>
      </c>
      <c r="I252" s="131" t="b">
        <f aca="false">FALSE()</f>
        <v>0</v>
      </c>
      <c r="J252" s="130"/>
      <c r="K252" s="110"/>
      <c r="L252" s="83"/>
      <c r="M252" s="103"/>
      <c r="N252" s="103"/>
      <c r="O252" s="103"/>
      <c r="P252" s="103"/>
      <c r="Q252" s="103"/>
      <c r="R252" s="83"/>
      <c r="S252" s="103"/>
      <c r="T252" s="103"/>
      <c r="U252" s="103"/>
    </row>
    <row r="253" customFormat="false" ht="22.5" hidden="false" customHeight="true" outlineLevel="0" collapsed="false">
      <c r="A253" s="99"/>
      <c r="B253" s="99"/>
      <c r="C253" s="99"/>
      <c r="D253" s="121"/>
      <c r="E253" s="99"/>
      <c r="F253" s="124" t="str">
        <f aca="false">IF(E253="CONTADO", 4%, IF(E253="TARJETA / CHEQUE", 3%, IF(OR(E253="FINANCIADO", E253="MCP"), 2.5%, "")))</f>
        <v/>
      </c>
      <c r="G253" s="121" t="str">
        <f aca="false">IF(F253="", "", F253*D253)</f>
        <v/>
      </c>
      <c r="H253" s="132" t="b">
        <f aca="false">FALSE()</f>
        <v>0</v>
      </c>
      <c r="I253" s="132" t="b">
        <f aca="false">FALSE()</f>
        <v>0</v>
      </c>
      <c r="J253" s="126"/>
      <c r="K253" s="99"/>
      <c r="L253" s="83"/>
      <c r="M253" s="103"/>
      <c r="N253" s="103"/>
      <c r="O253" s="103"/>
      <c r="P253" s="103"/>
      <c r="Q253" s="103"/>
      <c r="R253" s="83"/>
      <c r="S253" s="103"/>
      <c r="T253" s="103"/>
      <c r="U253" s="103"/>
    </row>
    <row r="254" customFormat="false" ht="22.5" hidden="false" customHeight="true" outlineLevel="0" collapsed="false">
      <c r="A254" s="110"/>
      <c r="B254" s="110"/>
      <c r="C254" s="110"/>
      <c r="D254" s="122"/>
      <c r="E254" s="110"/>
      <c r="F254" s="128" t="str">
        <f aca="false">IF(E254="CONTADO", 4%, IF(E254="TARJETA / CHEQUE", 3%, IF(OR(E254="FINANCIADO", E254="MCP"), 2.5%, "")))</f>
        <v/>
      </c>
      <c r="G254" s="122" t="str">
        <f aca="false">IF(F254="", "", F254*D254)</f>
        <v/>
      </c>
      <c r="H254" s="131" t="b">
        <f aca="false">FALSE()</f>
        <v>0</v>
      </c>
      <c r="I254" s="131" t="b">
        <f aca="false">FALSE()</f>
        <v>0</v>
      </c>
      <c r="J254" s="130"/>
      <c r="K254" s="110"/>
      <c r="L254" s="83"/>
      <c r="M254" s="103"/>
      <c r="N254" s="103"/>
      <c r="O254" s="103"/>
      <c r="P254" s="103"/>
      <c r="Q254" s="103"/>
      <c r="R254" s="83"/>
      <c r="S254" s="103"/>
      <c r="T254" s="103"/>
      <c r="U254" s="103"/>
    </row>
    <row r="255" customFormat="false" ht="22.5" hidden="false" customHeight="true" outlineLevel="0" collapsed="false">
      <c r="A255" s="99"/>
      <c r="B255" s="99"/>
      <c r="C255" s="99"/>
      <c r="D255" s="121"/>
      <c r="E255" s="99"/>
      <c r="F255" s="124" t="str">
        <f aca="false">IF(E255="CONTADO", 4%, IF(E255="TARJETA / CHEQUE", 3%, IF(OR(E255="FINANCIADO", E255="MCP"), 2.5%, "")))</f>
        <v/>
      </c>
      <c r="G255" s="121" t="str">
        <f aca="false">IF(F255="", "", F255*D255)</f>
        <v/>
      </c>
      <c r="H255" s="132" t="b">
        <f aca="false">FALSE()</f>
        <v>0</v>
      </c>
      <c r="I255" s="132" t="b">
        <f aca="false">FALSE()</f>
        <v>0</v>
      </c>
      <c r="J255" s="126"/>
      <c r="K255" s="99"/>
      <c r="L255" s="83"/>
      <c r="M255" s="103"/>
      <c r="N255" s="103"/>
      <c r="O255" s="103"/>
      <c r="P255" s="103"/>
      <c r="Q255" s="103"/>
      <c r="R255" s="83"/>
      <c r="S255" s="103"/>
      <c r="T255" s="103"/>
      <c r="U255" s="103"/>
    </row>
    <row r="256" customFormat="false" ht="22.5" hidden="false" customHeight="true" outlineLevel="0" collapsed="false">
      <c r="A256" s="110"/>
      <c r="B256" s="110"/>
      <c r="C256" s="110"/>
      <c r="D256" s="122"/>
      <c r="E256" s="110"/>
      <c r="F256" s="128" t="str">
        <f aca="false">IF(E256="CONTADO", 4%, IF(E256="TARJETA / CHEQUE", 3%, IF(OR(E256="FINANCIADO", E256="MCP"), 2.5%, "")))</f>
        <v/>
      </c>
      <c r="G256" s="122" t="str">
        <f aca="false">IF(F256="", "", F256*D256)</f>
        <v/>
      </c>
      <c r="H256" s="131" t="b">
        <f aca="false">FALSE()</f>
        <v>0</v>
      </c>
      <c r="I256" s="131" t="b">
        <f aca="false">FALSE()</f>
        <v>0</v>
      </c>
      <c r="J256" s="130"/>
      <c r="K256" s="110"/>
      <c r="L256" s="83"/>
      <c r="M256" s="103"/>
      <c r="N256" s="103"/>
      <c r="O256" s="103"/>
      <c r="P256" s="103"/>
      <c r="Q256" s="103"/>
      <c r="R256" s="83"/>
      <c r="S256" s="103"/>
      <c r="T256" s="103"/>
      <c r="U256" s="103"/>
    </row>
    <row r="257" customFormat="false" ht="22.5" hidden="false" customHeight="true" outlineLevel="0" collapsed="false">
      <c r="A257" s="99"/>
      <c r="B257" s="99"/>
      <c r="C257" s="99"/>
      <c r="D257" s="121"/>
      <c r="E257" s="99"/>
      <c r="F257" s="124" t="str">
        <f aca="false">IF(E257="CONTADO", 4%, IF(E257="TARJETA / CHEQUE", 3%, IF(OR(E257="FINANCIADO", E257="MCP"), 2.5%, "")))</f>
        <v/>
      </c>
      <c r="G257" s="121" t="str">
        <f aca="false">IF(F257="", "", F257*D257)</f>
        <v/>
      </c>
      <c r="H257" s="132" t="b">
        <f aca="false">FALSE()</f>
        <v>0</v>
      </c>
      <c r="I257" s="132" t="b">
        <f aca="false">FALSE()</f>
        <v>0</v>
      </c>
      <c r="J257" s="126"/>
      <c r="K257" s="99"/>
      <c r="L257" s="83"/>
      <c r="M257" s="103"/>
      <c r="N257" s="103"/>
      <c r="O257" s="103"/>
      <c r="P257" s="103"/>
      <c r="Q257" s="103"/>
      <c r="R257" s="83"/>
      <c r="S257" s="103"/>
      <c r="T257" s="103"/>
      <c r="U257" s="103"/>
    </row>
    <row r="258" customFormat="false" ht="22.5" hidden="false" customHeight="true" outlineLevel="0" collapsed="false">
      <c r="A258" s="110"/>
      <c r="B258" s="110"/>
      <c r="C258" s="110"/>
      <c r="D258" s="122"/>
      <c r="E258" s="110"/>
      <c r="F258" s="128" t="str">
        <f aca="false">IF(E258="CONTADO", 4%, IF(E258="TARJETA / CHEQUE", 3%, IF(OR(E258="FINANCIADO", E258="MCP"), 2.5%, "")))</f>
        <v/>
      </c>
      <c r="G258" s="122" t="str">
        <f aca="false">IF(F258="", "", F258*D258)</f>
        <v/>
      </c>
      <c r="H258" s="131" t="b">
        <f aca="false">FALSE()</f>
        <v>0</v>
      </c>
      <c r="I258" s="131" t="b">
        <f aca="false">FALSE()</f>
        <v>0</v>
      </c>
      <c r="J258" s="130"/>
      <c r="K258" s="110"/>
      <c r="L258" s="83"/>
      <c r="M258" s="103"/>
      <c r="N258" s="103"/>
      <c r="O258" s="103"/>
      <c r="P258" s="103"/>
      <c r="Q258" s="103"/>
      <c r="R258" s="83"/>
      <c r="S258" s="103"/>
      <c r="T258" s="103"/>
      <c r="U258" s="103"/>
    </row>
    <row r="259" customFormat="false" ht="22.5" hidden="false" customHeight="true" outlineLevel="0" collapsed="false">
      <c r="A259" s="99"/>
      <c r="B259" s="99"/>
      <c r="C259" s="99"/>
      <c r="D259" s="121"/>
      <c r="E259" s="99"/>
      <c r="F259" s="124" t="str">
        <f aca="false">IF(E259="CONTADO", 4%, IF(E259="TARJETA / CHEQUE", 3%, IF(OR(E259="FINANCIADO", E259="MCP"), 2.5%, "")))</f>
        <v/>
      </c>
      <c r="G259" s="121" t="str">
        <f aca="false">IF(F259="", "", F259*D259)</f>
        <v/>
      </c>
      <c r="H259" s="132" t="b">
        <f aca="false">FALSE()</f>
        <v>0</v>
      </c>
      <c r="I259" s="132" t="b">
        <f aca="false">FALSE()</f>
        <v>0</v>
      </c>
      <c r="J259" s="126"/>
      <c r="K259" s="99"/>
      <c r="L259" s="83"/>
      <c r="M259" s="103"/>
      <c r="N259" s="103"/>
      <c r="O259" s="103"/>
      <c r="P259" s="103"/>
      <c r="Q259" s="103"/>
      <c r="R259" s="83"/>
      <c r="S259" s="103"/>
      <c r="T259" s="103"/>
      <c r="U259" s="103"/>
    </row>
    <row r="260" customFormat="false" ht="22.5" hidden="false" customHeight="true" outlineLevel="0" collapsed="false">
      <c r="A260" s="110"/>
      <c r="B260" s="110"/>
      <c r="C260" s="110"/>
      <c r="D260" s="122"/>
      <c r="E260" s="110"/>
      <c r="F260" s="128" t="str">
        <f aca="false">IF(E260="CONTADO", 4%, IF(E260="TARJETA / CHEQUE", 3%, IF(OR(E260="FINANCIADO", E260="MCP"), 2.5%, "")))</f>
        <v/>
      </c>
      <c r="G260" s="122" t="str">
        <f aca="false">IF(F260="", "", F260*D260)</f>
        <v/>
      </c>
      <c r="H260" s="131" t="b">
        <f aca="false">FALSE()</f>
        <v>0</v>
      </c>
      <c r="I260" s="131" t="b">
        <f aca="false">FALSE()</f>
        <v>0</v>
      </c>
      <c r="J260" s="130"/>
      <c r="K260" s="110"/>
      <c r="L260" s="83"/>
      <c r="M260" s="103"/>
      <c r="N260" s="103"/>
      <c r="O260" s="103"/>
      <c r="P260" s="103"/>
      <c r="Q260" s="103"/>
      <c r="R260" s="83"/>
      <c r="S260" s="103"/>
      <c r="T260" s="103"/>
      <c r="U260" s="103"/>
    </row>
    <row r="261" customFormat="false" ht="22.5" hidden="false" customHeight="true" outlineLevel="0" collapsed="false">
      <c r="A261" s="99"/>
      <c r="B261" s="99"/>
      <c r="C261" s="99"/>
      <c r="D261" s="121"/>
      <c r="E261" s="99"/>
      <c r="F261" s="124" t="str">
        <f aca="false">IF(E261="CONTADO", 4%, IF(E261="TARJETA / CHEQUE", 3%, IF(OR(E261="FINANCIADO", E261="MCP"), 2.5%, "")))</f>
        <v/>
      </c>
      <c r="G261" s="121" t="str">
        <f aca="false">IF(F261="", "", F261*D261)</f>
        <v/>
      </c>
      <c r="H261" s="132" t="b">
        <f aca="false">FALSE()</f>
        <v>0</v>
      </c>
      <c r="I261" s="132" t="b">
        <f aca="false">FALSE()</f>
        <v>0</v>
      </c>
      <c r="J261" s="126"/>
      <c r="K261" s="99"/>
      <c r="L261" s="83"/>
      <c r="M261" s="103"/>
      <c r="N261" s="103"/>
      <c r="O261" s="103"/>
      <c r="P261" s="103"/>
      <c r="Q261" s="103"/>
      <c r="R261" s="83"/>
      <c r="S261" s="103"/>
      <c r="T261" s="103"/>
      <c r="U261" s="103"/>
    </row>
    <row r="262" customFormat="false" ht="22.5" hidden="false" customHeight="true" outlineLevel="0" collapsed="false">
      <c r="A262" s="110"/>
      <c r="B262" s="110"/>
      <c r="C262" s="110"/>
      <c r="D262" s="122"/>
      <c r="E262" s="110"/>
      <c r="F262" s="128" t="str">
        <f aca="false">IF(E262="CONTADO", 4%, IF(E262="TARJETA / CHEQUE", 3%, IF(OR(E262="FINANCIADO", E262="MCP"), 2.5%, "")))</f>
        <v/>
      </c>
      <c r="G262" s="122" t="str">
        <f aca="false">IF(F262="", "", F262*D262)</f>
        <v/>
      </c>
      <c r="H262" s="131" t="b">
        <f aca="false">FALSE()</f>
        <v>0</v>
      </c>
      <c r="I262" s="131" t="b">
        <f aca="false">FALSE()</f>
        <v>0</v>
      </c>
      <c r="J262" s="130"/>
      <c r="K262" s="110"/>
      <c r="L262" s="83"/>
      <c r="M262" s="103"/>
      <c r="N262" s="103"/>
      <c r="O262" s="103"/>
      <c r="P262" s="103"/>
      <c r="Q262" s="103"/>
      <c r="R262" s="83"/>
      <c r="S262" s="103"/>
      <c r="T262" s="103"/>
      <c r="U262" s="103"/>
    </row>
    <row r="263" customFormat="false" ht="22.5" hidden="false" customHeight="true" outlineLevel="0" collapsed="false">
      <c r="A263" s="99"/>
      <c r="B263" s="99"/>
      <c r="C263" s="99"/>
      <c r="D263" s="121"/>
      <c r="E263" s="99"/>
      <c r="F263" s="124" t="str">
        <f aca="false">IF(E263="CONTADO", 4%, IF(E263="TARJETA / CHEQUE", 3%, IF(OR(E263="FINANCIADO", E263="MCP"), 2.5%, "")))</f>
        <v/>
      </c>
      <c r="G263" s="121" t="str">
        <f aca="false">IF(F263="", "", F263*D263)</f>
        <v/>
      </c>
      <c r="H263" s="132" t="b">
        <f aca="false">FALSE()</f>
        <v>0</v>
      </c>
      <c r="I263" s="132" t="b">
        <f aca="false">FALSE()</f>
        <v>0</v>
      </c>
      <c r="J263" s="126"/>
      <c r="K263" s="99"/>
      <c r="L263" s="83"/>
      <c r="M263" s="103"/>
      <c r="N263" s="103"/>
      <c r="O263" s="103"/>
      <c r="P263" s="103"/>
      <c r="Q263" s="103"/>
      <c r="R263" s="83"/>
      <c r="S263" s="103"/>
      <c r="T263" s="103"/>
      <c r="U263" s="103"/>
    </row>
    <row r="264" customFormat="false" ht="22.5" hidden="false" customHeight="true" outlineLevel="0" collapsed="false">
      <c r="A264" s="110"/>
      <c r="B264" s="110"/>
      <c r="C264" s="110"/>
      <c r="D264" s="122"/>
      <c r="E264" s="110"/>
      <c r="F264" s="128" t="str">
        <f aca="false">IF(E264="CONTADO", 4%, IF(E264="TARJETA / CHEQUE", 3%, IF(OR(E264="FINANCIADO", E264="MCP"), 2.5%, "")))</f>
        <v/>
      </c>
      <c r="G264" s="122" t="str">
        <f aca="false">IF(F264="", "", F264*D264)</f>
        <v/>
      </c>
      <c r="H264" s="131" t="b">
        <f aca="false">FALSE()</f>
        <v>0</v>
      </c>
      <c r="I264" s="131" t="b">
        <f aca="false">FALSE()</f>
        <v>0</v>
      </c>
      <c r="J264" s="130"/>
      <c r="K264" s="110"/>
      <c r="L264" s="83"/>
      <c r="M264" s="103"/>
      <c r="N264" s="103"/>
      <c r="O264" s="103"/>
      <c r="P264" s="103"/>
      <c r="Q264" s="103"/>
      <c r="R264" s="83"/>
      <c r="S264" s="103"/>
      <c r="T264" s="103"/>
      <c r="U264" s="103"/>
    </row>
    <row r="265" customFormat="false" ht="22.5" hidden="false" customHeight="true" outlineLevel="0" collapsed="false">
      <c r="A265" s="99"/>
      <c r="B265" s="99"/>
      <c r="C265" s="99"/>
      <c r="D265" s="121"/>
      <c r="E265" s="99"/>
      <c r="F265" s="124" t="str">
        <f aca="false">IF(E265="CONTADO", 4%, IF(E265="TARJETA / CHEQUE", 3%, IF(OR(E265="FINANCIADO", E265="MCP"), 2.5%, "")))</f>
        <v/>
      </c>
      <c r="G265" s="121" t="str">
        <f aca="false">IF(F265="", "", F265*D265)</f>
        <v/>
      </c>
      <c r="H265" s="132" t="b">
        <f aca="false">FALSE()</f>
        <v>0</v>
      </c>
      <c r="I265" s="132" t="b">
        <f aca="false">FALSE()</f>
        <v>0</v>
      </c>
      <c r="J265" s="126"/>
      <c r="K265" s="99"/>
      <c r="L265" s="83"/>
      <c r="M265" s="103"/>
      <c r="N265" s="103"/>
      <c r="O265" s="103"/>
      <c r="P265" s="103"/>
      <c r="Q265" s="103"/>
      <c r="R265" s="83"/>
      <c r="S265" s="103"/>
      <c r="T265" s="103"/>
      <c r="U265" s="103"/>
    </row>
    <row r="266" customFormat="false" ht="22.5" hidden="false" customHeight="true" outlineLevel="0" collapsed="false">
      <c r="A266" s="110"/>
      <c r="B266" s="110"/>
      <c r="C266" s="110"/>
      <c r="D266" s="122"/>
      <c r="E266" s="110"/>
      <c r="F266" s="128" t="str">
        <f aca="false">IF(E266="CONTADO", 4%, IF(E266="TARJETA / CHEQUE", 3%, IF(OR(E266="FINANCIADO", E266="MCP"), 2.5%, "")))</f>
        <v/>
      </c>
      <c r="G266" s="122" t="str">
        <f aca="false">IF(F266="", "", F266*D266)</f>
        <v/>
      </c>
      <c r="H266" s="131" t="b">
        <f aca="false">FALSE()</f>
        <v>0</v>
      </c>
      <c r="I266" s="131" t="b">
        <f aca="false">FALSE()</f>
        <v>0</v>
      </c>
      <c r="J266" s="130"/>
      <c r="K266" s="110"/>
      <c r="L266" s="83"/>
      <c r="M266" s="103"/>
      <c r="N266" s="103"/>
      <c r="O266" s="103"/>
      <c r="P266" s="103"/>
      <c r="Q266" s="103"/>
      <c r="R266" s="83"/>
      <c r="S266" s="103"/>
      <c r="T266" s="103"/>
      <c r="U266" s="103"/>
    </row>
    <row r="267" customFormat="false" ht="22.5" hidden="false" customHeight="true" outlineLevel="0" collapsed="false">
      <c r="A267" s="99"/>
      <c r="B267" s="99"/>
      <c r="C267" s="99"/>
      <c r="D267" s="121"/>
      <c r="E267" s="99"/>
      <c r="F267" s="124" t="str">
        <f aca="false">IF(E267="CONTADO", 4%, IF(E267="TARJETA / CHEQUE", 3%, IF(OR(E267="FINANCIADO", E267="MCP"), 2.5%, "")))</f>
        <v/>
      </c>
      <c r="G267" s="121" t="str">
        <f aca="false">IF(F267="", "", F267*D267)</f>
        <v/>
      </c>
      <c r="H267" s="132" t="b">
        <f aca="false">FALSE()</f>
        <v>0</v>
      </c>
      <c r="I267" s="132" t="b">
        <f aca="false">FALSE()</f>
        <v>0</v>
      </c>
      <c r="J267" s="126"/>
      <c r="K267" s="99"/>
      <c r="L267" s="83"/>
      <c r="M267" s="103"/>
      <c r="N267" s="103"/>
      <c r="O267" s="103"/>
      <c r="P267" s="103"/>
      <c r="Q267" s="103"/>
      <c r="R267" s="83"/>
      <c r="S267" s="103"/>
      <c r="T267" s="103"/>
      <c r="U267" s="103"/>
    </row>
    <row r="268" customFormat="false" ht="22.5" hidden="false" customHeight="true" outlineLevel="0" collapsed="false">
      <c r="A268" s="110"/>
      <c r="B268" s="110"/>
      <c r="C268" s="110"/>
      <c r="D268" s="122"/>
      <c r="E268" s="110"/>
      <c r="F268" s="128" t="str">
        <f aca="false">IF(E268="CONTADO", 4%, IF(E268="TARJETA / CHEQUE", 3%, IF(OR(E268="FINANCIADO", E268="MCP"), 2.5%, "")))</f>
        <v/>
      </c>
      <c r="G268" s="122" t="str">
        <f aca="false">IF(F268="", "", F268*D268)</f>
        <v/>
      </c>
      <c r="H268" s="131" t="b">
        <f aca="false">FALSE()</f>
        <v>0</v>
      </c>
      <c r="I268" s="131" t="b">
        <f aca="false">FALSE()</f>
        <v>0</v>
      </c>
      <c r="J268" s="130"/>
      <c r="K268" s="110"/>
      <c r="L268" s="83"/>
      <c r="M268" s="103"/>
      <c r="N268" s="103"/>
      <c r="O268" s="103"/>
      <c r="P268" s="103"/>
      <c r="Q268" s="103"/>
      <c r="R268" s="83"/>
      <c r="S268" s="103"/>
      <c r="T268" s="103"/>
      <c r="U268" s="103"/>
    </row>
    <row r="269" customFormat="false" ht="22.5" hidden="false" customHeight="true" outlineLevel="0" collapsed="false">
      <c r="A269" s="99"/>
      <c r="B269" s="99"/>
      <c r="C269" s="99"/>
      <c r="D269" s="121"/>
      <c r="E269" s="99"/>
      <c r="F269" s="124" t="str">
        <f aca="false">IF(E269="CONTADO", 4%, IF(E269="TARJETA / CHEQUE", 3%, IF(OR(E269="FINANCIADO", E269="MCP"), 2.5%, "")))</f>
        <v/>
      </c>
      <c r="G269" s="121" t="str">
        <f aca="false">IF(F269="", "", F269*D269)</f>
        <v/>
      </c>
      <c r="H269" s="132" t="b">
        <f aca="false">FALSE()</f>
        <v>0</v>
      </c>
      <c r="I269" s="132" t="b">
        <f aca="false">FALSE()</f>
        <v>0</v>
      </c>
      <c r="J269" s="126"/>
      <c r="K269" s="99"/>
      <c r="L269" s="83"/>
      <c r="M269" s="103"/>
      <c r="N269" s="103"/>
      <c r="O269" s="103"/>
      <c r="P269" s="103"/>
      <c r="Q269" s="103"/>
      <c r="R269" s="83"/>
      <c r="S269" s="103"/>
      <c r="T269" s="103"/>
      <c r="U269" s="103"/>
    </row>
    <row r="270" customFormat="false" ht="22.5" hidden="false" customHeight="true" outlineLevel="0" collapsed="false">
      <c r="A270" s="110"/>
      <c r="B270" s="110"/>
      <c r="C270" s="110"/>
      <c r="D270" s="122"/>
      <c r="E270" s="110"/>
      <c r="F270" s="128" t="str">
        <f aca="false">IF(E270="CONTADO", 4%, IF(E270="TARJETA / CHEQUE", 3%, IF(OR(E270="FINANCIADO", E270="MCP"), 2.5%, "")))</f>
        <v/>
      </c>
      <c r="G270" s="122" t="str">
        <f aca="false">IF(F270="", "", F270*D270)</f>
        <v/>
      </c>
      <c r="H270" s="131" t="b">
        <f aca="false">FALSE()</f>
        <v>0</v>
      </c>
      <c r="I270" s="131" t="b">
        <f aca="false">FALSE()</f>
        <v>0</v>
      </c>
      <c r="J270" s="130"/>
      <c r="K270" s="110"/>
      <c r="L270" s="83"/>
      <c r="M270" s="103"/>
      <c r="N270" s="103"/>
      <c r="O270" s="103"/>
      <c r="P270" s="103"/>
      <c r="Q270" s="103"/>
      <c r="R270" s="83"/>
      <c r="S270" s="103"/>
      <c r="T270" s="103"/>
      <c r="U270" s="103"/>
    </row>
    <row r="271" customFormat="false" ht="22.5" hidden="false" customHeight="true" outlineLevel="0" collapsed="false">
      <c r="A271" s="99"/>
      <c r="B271" s="99"/>
      <c r="C271" s="99"/>
      <c r="D271" s="121"/>
      <c r="E271" s="99"/>
      <c r="F271" s="124" t="str">
        <f aca="false">IF(E271="CONTADO", 4%, IF(E271="TARJETA / CHEQUE", 3%, IF(OR(E271="FINANCIADO", E271="MCP"), 2.5%, "")))</f>
        <v/>
      </c>
      <c r="G271" s="121" t="str">
        <f aca="false">IF(F271="", "", F271*D271)</f>
        <v/>
      </c>
      <c r="H271" s="132" t="b">
        <f aca="false">FALSE()</f>
        <v>0</v>
      </c>
      <c r="I271" s="132" t="b">
        <f aca="false">FALSE()</f>
        <v>0</v>
      </c>
      <c r="J271" s="126"/>
      <c r="K271" s="99"/>
      <c r="L271" s="83"/>
      <c r="M271" s="103"/>
      <c r="N271" s="103"/>
      <c r="O271" s="103"/>
      <c r="P271" s="103"/>
      <c r="Q271" s="103"/>
      <c r="R271" s="83"/>
      <c r="S271" s="103"/>
      <c r="T271" s="103"/>
      <c r="U271" s="103"/>
    </row>
    <row r="272" customFormat="false" ht="22.5" hidden="false" customHeight="true" outlineLevel="0" collapsed="false">
      <c r="A272" s="110"/>
      <c r="B272" s="110"/>
      <c r="C272" s="110"/>
      <c r="D272" s="122"/>
      <c r="E272" s="110"/>
      <c r="F272" s="128" t="str">
        <f aca="false">IF(E272="CONTADO", 4%, IF(E272="TARJETA / CHEQUE", 3%, IF(OR(E272="FINANCIADO", E272="MCP"), 2.5%, "")))</f>
        <v/>
      </c>
      <c r="G272" s="122" t="str">
        <f aca="false">IF(F272="", "", F272*D272)</f>
        <v/>
      </c>
      <c r="H272" s="131" t="b">
        <f aca="false">FALSE()</f>
        <v>0</v>
      </c>
      <c r="I272" s="131" t="b">
        <f aca="false">FALSE()</f>
        <v>0</v>
      </c>
      <c r="J272" s="130"/>
      <c r="K272" s="110"/>
      <c r="L272" s="83"/>
      <c r="M272" s="103"/>
      <c r="N272" s="103"/>
      <c r="O272" s="103"/>
      <c r="P272" s="103"/>
      <c r="Q272" s="103"/>
      <c r="R272" s="83"/>
      <c r="S272" s="103"/>
      <c r="T272" s="103"/>
      <c r="U272" s="103"/>
    </row>
    <row r="273" customFormat="false" ht="22.5" hidden="false" customHeight="true" outlineLevel="0" collapsed="false">
      <c r="A273" s="99"/>
      <c r="B273" s="99"/>
      <c r="C273" s="99"/>
      <c r="D273" s="121"/>
      <c r="E273" s="99"/>
      <c r="F273" s="124" t="str">
        <f aca="false">IF(E273="CONTADO", 4%, IF(E273="TARJETA / CHEQUE", 3%, IF(OR(E273="FINANCIADO", E273="MCP"), 2.5%, "")))</f>
        <v/>
      </c>
      <c r="G273" s="121" t="str">
        <f aca="false">IF(F273="", "", F273*D273)</f>
        <v/>
      </c>
      <c r="H273" s="132" t="b">
        <f aca="false">FALSE()</f>
        <v>0</v>
      </c>
      <c r="I273" s="132" t="b">
        <f aca="false">FALSE()</f>
        <v>0</v>
      </c>
      <c r="J273" s="126"/>
      <c r="K273" s="99"/>
      <c r="L273" s="83"/>
      <c r="M273" s="103"/>
      <c r="N273" s="103"/>
      <c r="O273" s="103"/>
      <c r="P273" s="103"/>
      <c r="Q273" s="103"/>
      <c r="R273" s="83"/>
      <c r="S273" s="103"/>
      <c r="T273" s="103"/>
      <c r="U273" s="103"/>
    </row>
    <row r="274" customFormat="false" ht="22.5" hidden="false" customHeight="true" outlineLevel="0" collapsed="false">
      <c r="A274" s="110"/>
      <c r="B274" s="110"/>
      <c r="C274" s="110"/>
      <c r="D274" s="122"/>
      <c r="E274" s="110"/>
      <c r="F274" s="128" t="str">
        <f aca="false">IF(E274="CONTADO", 4%, IF(E274="TARJETA / CHEQUE", 3%, IF(OR(E274="FINANCIADO", E274="MCP"), 2.5%, "")))</f>
        <v/>
      </c>
      <c r="G274" s="122" t="str">
        <f aca="false">IF(F274="", "", F274*D274)</f>
        <v/>
      </c>
      <c r="H274" s="131" t="b">
        <f aca="false">FALSE()</f>
        <v>0</v>
      </c>
      <c r="I274" s="131" t="b">
        <f aca="false">FALSE()</f>
        <v>0</v>
      </c>
      <c r="J274" s="130"/>
      <c r="K274" s="110"/>
      <c r="L274" s="83"/>
      <c r="M274" s="103"/>
      <c r="N274" s="103"/>
      <c r="O274" s="103"/>
      <c r="P274" s="103"/>
      <c r="Q274" s="103"/>
      <c r="R274" s="83"/>
      <c r="S274" s="103"/>
      <c r="T274" s="103"/>
      <c r="U274" s="103"/>
    </row>
    <row r="275" customFormat="false" ht="22.5" hidden="false" customHeight="true" outlineLevel="0" collapsed="false">
      <c r="A275" s="99"/>
      <c r="B275" s="99"/>
      <c r="C275" s="99"/>
      <c r="D275" s="121"/>
      <c r="E275" s="99"/>
      <c r="F275" s="124" t="str">
        <f aca="false">IF(E275="CONTADO", 4%, IF(E275="TARJETA / CHEQUE", 3%, IF(OR(E275="FINANCIADO", E275="MCP"), 2.5%, "")))</f>
        <v/>
      </c>
      <c r="G275" s="121" t="str">
        <f aca="false">IF(F275="", "", F275*D275)</f>
        <v/>
      </c>
      <c r="H275" s="132" t="b">
        <f aca="false">FALSE()</f>
        <v>0</v>
      </c>
      <c r="I275" s="132" t="b">
        <f aca="false">FALSE()</f>
        <v>0</v>
      </c>
      <c r="J275" s="126"/>
      <c r="K275" s="99"/>
      <c r="L275" s="83"/>
      <c r="M275" s="103"/>
      <c r="N275" s="103"/>
      <c r="O275" s="103"/>
      <c r="P275" s="103"/>
      <c r="Q275" s="103"/>
      <c r="R275" s="83"/>
      <c r="S275" s="103"/>
      <c r="T275" s="103"/>
      <c r="U275" s="103"/>
    </row>
    <row r="276" customFormat="false" ht="22.5" hidden="false" customHeight="true" outlineLevel="0" collapsed="false">
      <c r="A276" s="110"/>
      <c r="B276" s="110"/>
      <c r="C276" s="110"/>
      <c r="D276" s="122"/>
      <c r="E276" s="110"/>
      <c r="F276" s="128" t="str">
        <f aca="false">IF(E276="CONTADO", 4%, IF(E276="TARJETA / CHEQUE", 3%, IF(OR(E276="FINANCIADO", E276="MCP"), 2.5%, "")))</f>
        <v/>
      </c>
      <c r="G276" s="122" t="str">
        <f aca="false">IF(F276="", "", F276*D276)</f>
        <v/>
      </c>
      <c r="H276" s="131" t="b">
        <f aca="false">FALSE()</f>
        <v>0</v>
      </c>
      <c r="I276" s="131" t="b">
        <f aca="false">FALSE()</f>
        <v>0</v>
      </c>
      <c r="J276" s="130"/>
      <c r="K276" s="110"/>
      <c r="L276" s="83"/>
      <c r="M276" s="103"/>
      <c r="N276" s="103"/>
      <c r="O276" s="103"/>
      <c r="P276" s="103"/>
      <c r="Q276" s="103"/>
      <c r="R276" s="83"/>
      <c r="S276" s="103"/>
      <c r="T276" s="103"/>
      <c r="U276" s="103"/>
    </row>
    <row r="277" customFormat="false" ht="22.5" hidden="false" customHeight="true" outlineLevel="0" collapsed="false">
      <c r="A277" s="99"/>
      <c r="B277" s="99"/>
      <c r="C277" s="99"/>
      <c r="D277" s="121"/>
      <c r="E277" s="99"/>
      <c r="F277" s="124" t="str">
        <f aca="false">IF(E277="CONTADO", 4%, IF(E277="TARJETA / CHEQUE", 3%, IF(OR(E277="FINANCIADO", E277="MCP"), 2.5%, "")))</f>
        <v/>
      </c>
      <c r="G277" s="121" t="str">
        <f aca="false">IF(F277="", "", F277*D277)</f>
        <v/>
      </c>
      <c r="H277" s="132" t="b">
        <f aca="false">FALSE()</f>
        <v>0</v>
      </c>
      <c r="I277" s="132" t="b">
        <f aca="false">FALSE()</f>
        <v>0</v>
      </c>
      <c r="J277" s="126"/>
      <c r="K277" s="99"/>
      <c r="L277" s="83"/>
      <c r="M277" s="103"/>
      <c r="N277" s="103"/>
      <c r="O277" s="103"/>
      <c r="P277" s="103"/>
      <c r="Q277" s="103"/>
      <c r="R277" s="83"/>
      <c r="S277" s="103"/>
      <c r="T277" s="103"/>
      <c r="U277" s="103"/>
    </row>
    <row r="278" customFormat="false" ht="22.5" hidden="false" customHeight="true" outlineLevel="0" collapsed="false">
      <c r="A278" s="110"/>
      <c r="B278" s="110"/>
      <c r="C278" s="110"/>
      <c r="D278" s="122"/>
      <c r="E278" s="110"/>
      <c r="F278" s="128" t="str">
        <f aca="false">IF(E278="CONTADO", 4%, IF(E278="TARJETA / CHEQUE", 3%, IF(OR(E278="FINANCIADO", E278="MCP"), 2.5%, "")))</f>
        <v/>
      </c>
      <c r="G278" s="122" t="str">
        <f aca="false">IF(F278="", "", F278*D278)</f>
        <v/>
      </c>
      <c r="H278" s="131" t="b">
        <f aca="false">FALSE()</f>
        <v>0</v>
      </c>
      <c r="I278" s="131" t="b">
        <f aca="false">FALSE()</f>
        <v>0</v>
      </c>
      <c r="J278" s="130"/>
      <c r="K278" s="110"/>
      <c r="L278" s="83"/>
      <c r="M278" s="103"/>
      <c r="N278" s="103"/>
      <c r="O278" s="103"/>
      <c r="P278" s="103"/>
      <c r="Q278" s="103"/>
      <c r="R278" s="83"/>
      <c r="S278" s="103"/>
      <c r="T278" s="103"/>
      <c r="U278" s="103"/>
    </row>
    <row r="279" customFormat="false" ht="22.5" hidden="false" customHeight="true" outlineLevel="0" collapsed="false">
      <c r="A279" s="99"/>
      <c r="B279" s="99"/>
      <c r="C279" s="99"/>
      <c r="D279" s="121"/>
      <c r="E279" s="99"/>
      <c r="F279" s="124" t="str">
        <f aca="false">IF(E279="CONTADO", 4%, IF(E279="TARJETA / CHEQUE", 3%, IF(OR(E279="FINANCIADO", E279="MCP"), 2.5%, "")))</f>
        <v/>
      </c>
      <c r="G279" s="121" t="str">
        <f aca="false">IF(F279="", "", F279*D279)</f>
        <v/>
      </c>
      <c r="H279" s="132" t="b">
        <f aca="false">FALSE()</f>
        <v>0</v>
      </c>
      <c r="I279" s="132" t="b">
        <f aca="false">FALSE()</f>
        <v>0</v>
      </c>
      <c r="J279" s="126"/>
      <c r="K279" s="99"/>
      <c r="L279" s="83"/>
      <c r="M279" s="103"/>
      <c r="N279" s="103"/>
      <c r="O279" s="103"/>
      <c r="P279" s="103"/>
      <c r="Q279" s="103"/>
      <c r="R279" s="83"/>
      <c r="S279" s="103"/>
      <c r="T279" s="103"/>
      <c r="U279" s="103"/>
    </row>
    <row r="280" customFormat="false" ht="22.5" hidden="false" customHeight="true" outlineLevel="0" collapsed="false">
      <c r="A280" s="110"/>
      <c r="B280" s="110"/>
      <c r="C280" s="110"/>
      <c r="D280" s="122"/>
      <c r="E280" s="110"/>
      <c r="F280" s="128" t="str">
        <f aca="false">IF(E280="CONTADO", 4%, IF(E280="TARJETA / CHEQUE", 3%, IF(OR(E280="FINANCIADO", E280="MCP"), 2.5%, "")))</f>
        <v/>
      </c>
      <c r="G280" s="122" t="str">
        <f aca="false">IF(F280="", "", F280*D280)</f>
        <v/>
      </c>
      <c r="H280" s="131" t="b">
        <f aca="false">FALSE()</f>
        <v>0</v>
      </c>
      <c r="I280" s="131" t="b">
        <f aca="false">FALSE()</f>
        <v>0</v>
      </c>
      <c r="J280" s="130"/>
      <c r="K280" s="110"/>
      <c r="L280" s="83"/>
      <c r="M280" s="103"/>
      <c r="N280" s="103"/>
      <c r="O280" s="103"/>
      <c r="P280" s="103"/>
      <c r="Q280" s="103"/>
      <c r="R280" s="83"/>
      <c r="S280" s="103"/>
      <c r="T280" s="103"/>
      <c r="U280" s="103"/>
    </row>
    <row r="281" customFormat="false" ht="22.5" hidden="false" customHeight="true" outlineLevel="0" collapsed="false">
      <c r="A281" s="99"/>
      <c r="B281" s="99"/>
      <c r="C281" s="99"/>
      <c r="D281" s="121"/>
      <c r="E281" s="99"/>
      <c r="F281" s="124" t="str">
        <f aca="false">IF(E281="CONTADO", 4%, IF(E281="TARJETA / CHEQUE", 3%, IF(OR(E281="FINANCIADO", E281="MCP"), 2.5%, "")))</f>
        <v/>
      </c>
      <c r="G281" s="121" t="str">
        <f aca="false">IF(F281="", "", F281*D281)</f>
        <v/>
      </c>
      <c r="H281" s="132" t="b">
        <f aca="false">FALSE()</f>
        <v>0</v>
      </c>
      <c r="I281" s="132" t="b">
        <f aca="false">FALSE()</f>
        <v>0</v>
      </c>
      <c r="J281" s="126"/>
      <c r="K281" s="99"/>
      <c r="L281" s="83"/>
      <c r="M281" s="103"/>
      <c r="N281" s="103"/>
      <c r="O281" s="103"/>
      <c r="P281" s="103"/>
      <c r="Q281" s="103"/>
      <c r="R281" s="83"/>
      <c r="S281" s="103"/>
      <c r="T281" s="103"/>
      <c r="U281" s="103"/>
    </row>
    <row r="282" customFormat="false" ht="22.5" hidden="false" customHeight="true" outlineLevel="0" collapsed="false">
      <c r="A282" s="110"/>
      <c r="B282" s="110"/>
      <c r="C282" s="110"/>
      <c r="D282" s="122"/>
      <c r="E282" s="110"/>
      <c r="F282" s="128" t="str">
        <f aca="false">IF(E282="CONTADO", 4%, IF(E282="TARJETA / CHEQUE", 3%, IF(OR(E282="FINANCIADO", E282="MCP"), 2.5%, "")))</f>
        <v/>
      </c>
      <c r="G282" s="122" t="str">
        <f aca="false">IF(F282="", "", F282*D282)</f>
        <v/>
      </c>
      <c r="H282" s="131" t="b">
        <f aca="false">FALSE()</f>
        <v>0</v>
      </c>
      <c r="I282" s="131" t="b">
        <f aca="false">FALSE()</f>
        <v>0</v>
      </c>
      <c r="J282" s="130"/>
      <c r="K282" s="110"/>
      <c r="L282" s="83"/>
      <c r="M282" s="103"/>
      <c r="N282" s="103"/>
      <c r="O282" s="103"/>
      <c r="P282" s="103"/>
      <c r="Q282" s="103"/>
      <c r="R282" s="83"/>
      <c r="S282" s="103"/>
      <c r="T282" s="103"/>
      <c r="U282" s="103"/>
    </row>
    <row r="283" customFormat="false" ht="22.5" hidden="false" customHeight="true" outlineLevel="0" collapsed="false">
      <c r="A283" s="99"/>
      <c r="B283" s="99"/>
      <c r="C283" s="99"/>
      <c r="D283" s="121"/>
      <c r="E283" s="99"/>
      <c r="F283" s="124" t="str">
        <f aca="false">IF(E283="CONTADO", 4%, IF(E283="TARJETA / CHEQUE", 3%, IF(OR(E283="FINANCIADO", E283="MCP"), 2.5%, "")))</f>
        <v/>
      </c>
      <c r="G283" s="121" t="str">
        <f aca="false">IF(F283="", "", F283*D283)</f>
        <v/>
      </c>
      <c r="H283" s="132" t="b">
        <f aca="false">FALSE()</f>
        <v>0</v>
      </c>
      <c r="I283" s="132" t="b">
        <f aca="false">FALSE()</f>
        <v>0</v>
      </c>
      <c r="J283" s="126"/>
      <c r="K283" s="99"/>
      <c r="L283" s="83"/>
      <c r="M283" s="103"/>
      <c r="N283" s="103"/>
      <c r="O283" s="103"/>
      <c r="P283" s="103"/>
      <c r="Q283" s="103"/>
      <c r="R283" s="83"/>
      <c r="S283" s="103"/>
      <c r="T283" s="103"/>
      <c r="U283" s="103"/>
    </row>
    <row r="284" customFormat="false" ht="22.5" hidden="false" customHeight="true" outlineLevel="0" collapsed="false">
      <c r="A284" s="110"/>
      <c r="B284" s="110"/>
      <c r="C284" s="110"/>
      <c r="D284" s="122"/>
      <c r="E284" s="110"/>
      <c r="F284" s="128" t="str">
        <f aca="false">IF(E284="CONTADO", 4%, IF(E284="TARJETA / CHEQUE", 3%, IF(OR(E284="FINANCIADO", E284="MCP"), 2.5%, "")))</f>
        <v/>
      </c>
      <c r="G284" s="122" t="str">
        <f aca="false">IF(F284="", "", F284*D284)</f>
        <v/>
      </c>
      <c r="H284" s="131" t="b">
        <f aca="false">FALSE()</f>
        <v>0</v>
      </c>
      <c r="I284" s="131" t="b">
        <f aca="false">FALSE()</f>
        <v>0</v>
      </c>
      <c r="J284" s="130"/>
      <c r="K284" s="110"/>
      <c r="L284" s="83"/>
      <c r="M284" s="103"/>
      <c r="N284" s="103"/>
      <c r="O284" s="103"/>
      <c r="P284" s="103"/>
      <c r="Q284" s="103"/>
      <c r="R284" s="83"/>
      <c r="S284" s="103"/>
      <c r="T284" s="103"/>
      <c r="U284" s="103"/>
    </row>
    <row r="285" customFormat="false" ht="22.5" hidden="false" customHeight="true" outlineLevel="0" collapsed="false">
      <c r="A285" s="99"/>
      <c r="B285" s="99"/>
      <c r="C285" s="99"/>
      <c r="D285" s="121"/>
      <c r="E285" s="99"/>
      <c r="F285" s="124" t="str">
        <f aca="false">IF(E285="CONTADO", 4%, IF(E285="TARJETA / CHEQUE", 3%, IF(OR(E285="FINANCIADO", E285="MCP"), 2.5%, "")))</f>
        <v/>
      </c>
      <c r="G285" s="121" t="str">
        <f aca="false">IF(F285="", "", F285*D285)</f>
        <v/>
      </c>
      <c r="H285" s="132" t="b">
        <f aca="false">FALSE()</f>
        <v>0</v>
      </c>
      <c r="I285" s="132" t="b">
        <f aca="false">FALSE()</f>
        <v>0</v>
      </c>
      <c r="J285" s="126"/>
      <c r="K285" s="99"/>
      <c r="L285" s="83"/>
      <c r="M285" s="103"/>
      <c r="N285" s="103"/>
      <c r="O285" s="103"/>
      <c r="P285" s="103"/>
      <c r="Q285" s="103"/>
      <c r="R285" s="83"/>
      <c r="S285" s="103"/>
      <c r="T285" s="103"/>
      <c r="U285" s="103"/>
    </row>
    <row r="286" customFormat="false" ht="22.5" hidden="false" customHeight="true" outlineLevel="0" collapsed="false">
      <c r="A286" s="110"/>
      <c r="B286" s="110"/>
      <c r="C286" s="110"/>
      <c r="D286" s="122"/>
      <c r="E286" s="110"/>
      <c r="F286" s="128" t="str">
        <f aca="false">IF(E286="CONTADO", 4%, IF(E286="TARJETA / CHEQUE", 3%, IF(OR(E286="FINANCIADO", E286="MCP"), 2.5%, "")))</f>
        <v/>
      </c>
      <c r="G286" s="122" t="str">
        <f aca="false">IF(F286="", "", F286*D286)</f>
        <v/>
      </c>
      <c r="H286" s="131" t="b">
        <f aca="false">FALSE()</f>
        <v>0</v>
      </c>
      <c r="I286" s="131" t="b">
        <f aca="false">FALSE()</f>
        <v>0</v>
      </c>
      <c r="J286" s="130"/>
      <c r="K286" s="110"/>
      <c r="L286" s="83"/>
      <c r="M286" s="103"/>
      <c r="N286" s="103"/>
      <c r="O286" s="103"/>
      <c r="P286" s="103"/>
      <c r="Q286" s="103"/>
      <c r="R286" s="83"/>
      <c r="S286" s="103"/>
      <c r="T286" s="103"/>
      <c r="U286" s="103"/>
    </row>
    <row r="287" customFormat="false" ht="22.5" hidden="false" customHeight="true" outlineLevel="0" collapsed="false">
      <c r="A287" s="99"/>
      <c r="B287" s="99"/>
      <c r="C287" s="99"/>
      <c r="D287" s="121"/>
      <c r="E287" s="99"/>
      <c r="F287" s="124" t="str">
        <f aca="false">IF(E287="CONTADO", 4%, IF(E287="TARJETA / CHEQUE", 3%, IF(OR(E287="FINANCIADO", E287="MCP"), 2.5%, "")))</f>
        <v/>
      </c>
      <c r="G287" s="121" t="str">
        <f aca="false">IF(F287="", "", F287*D287)</f>
        <v/>
      </c>
      <c r="H287" s="132" t="b">
        <f aca="false">FALSE()</f>
        <v>0</v>
      </c>
      <c r="I287" s="132" t="b">
        <f aca="false">FALSE()</f>
        <v>0</v>
      </c>
      <c r="J287" s="126"/>
      <c r="K287" s="99"/>
      <c r="L287" s="83"/>
      <c r="M287" s="103"/>
      <c r="N287" s="103"/>
      <c r="O287" s="103"/>
      <c r="P287" s="103"/>
      <c r="Q287" s="103"/>
      <c r="R287" s="83"/>
      <c r="S287" s="103"/>
      <c r="T287" s="103"/>
      <c r="U287" s="103"/>
    </row>
    <row r="288" customFormat="false" ht="22.5" hidden="false" customHeight="true" outlineLevel="0" collapsed="false">
      <c r="A288" s="110"/>
      <c r="B288" s="110"/>
      <c r="C288" s="110"/>
      <c r="D288" s="122"/>
      <c r="E288" s="110"/>
      <c r="F288" s="128" t="str">
        <f aca="false">IF(E288="CONTADO", 4%, IF(E288="TARJETA / CHEQUE", 3%, IF(OR(E288="FINANCIADO", E288="MCP"), 2.5%, "")))</f>
        <v/>
      </c>
      <c r="G288" s="122" t="str">
        <f aca="false">IF(F288="", "", F288*D288)</f>
        <v/>
      </c>
      <c r="H288" s="131" t="b">
        <f aca="false">FALSE()</f>
        <v>0</v>
      </c>
      <c r="I288" s="131" t="b">
        <f aca="false">FALSE()</f>
        <v>0</v>
      </c>
      <c r="J288" s="130"/>
      <c r="K288" s="110"/>
      <c r="L288" s="83"/>
      <c r="M288" s="103"/>
      <c r="N288" s="103"/>
      <c r="O288" s="103"/>
      <c r="P288" s="103"/>
      <c r="Q288" s="103"/>
      <c r="R288" s="83"/>
      <c r="S288" s="103"/>
      <c r="T288" s="103"/>
      <c r="U288" s="103"/>
    </row>
    <row r="289" customFormat="false" ht="22.5" hidden="false" customHeight="true" outlineLevel="0" collapsed="false">
      <c r="A289" s="99"/>
      <c r="B289" s="99"/>
      <c r="C289" s="99"/>
      <c r="D289" s="121"/>
      <c r="E289" s="99"/>
      <c r="F289" s="124" t="str">
        <f aca="false">IF(E289="CONTADO", 4%, IF(E289="TARJETA / CHEQUE", 3%, IF(OR(E289="FINANCIADO", E289="MCP"), 2.5%, "")))</f>
        <v/>
      </c>
      <c r="G289" s="121" t="str">
        <f aca="false">IF(F289="", "", F289*D289)</f>
        <v/>
      </c>
      <c r="H289" s="132" t="b">
        <f aca="false">FALSE()</f>
        <v>0</v>
      </c>
      <c r="I289" s="132" t="b">
        <f aca="false">FALSE()</f>
        <v>0</v>
      </c>
      <c r="J289" s="126"/>
      <c r="K289" s="99"/>
      <c r="L289" s="83"/>
      <c r="M289" s="103"/>
      <c r="N289" s="103"/>
      <c r="O289" s="103"/>
      <c r="P289" s="103"/>
      <c r="Q289" s="103"/>
      <c r="R289" s="83"/>
      <c r="S289" s="103"/>
      <c r="T289" s="103"/>
      <c r="U289" s="103"/>
    </row>
    <row r="290" customFormat="false" ht="22.5" hidden="false" customHeight="true" outlineLevel="0" collapsed="false">
      <c r="A290" s="110"/>
      <c r="B290" s="110"/>
      <c r="C290" s="110"/>
      <c r="D290" s="122"/>
      <c r="E290" s="110"/>
      <c r="F290" s="128" t="str">
        <f aca="false">IF(E290="CONTADO", 4%, IF(E290="TARJETA / CHEQUE", 3%, IF(OR(E290="FINANCIADO", E290="MCP"), 2.5%, "")))</f>
        <v/>
      </c>
      <c r="G290" s="122" t="str">
        <f aca="false">IF(F290="", "", F290*D290)</f>
        <v/>
      </c>
      <c r="H290" s="131" t="b">
        <f aca="false">FALSE()</f>
        <v>0</v>
      </c>
      <c r="I290" s="131" t="b">
        <f aca="false">FALSE()</f>
        <v>0</v>
      </c>
      <c r="J290" s="130"/>
      <c r="K290" s="110"/>
      <c r="L290" s="83"/>
      <c r="M290" s="103"/>
      <c r="N290" s="103"/>
      <c r="O290" s="103"/>
      <c r="P290" s="103"/>
      <c r="Q290" s="103"/>
      <c r="R290" s="83"/>
      <c r="S290" s="103"/>
      <c r="T290" s="103"/>
      <c r="U290" s="103"/>
    </row>
    <row r="291" customFormat="false" ht="22.5" hidden="false" customHeight="true" outlineLevel="0" collapsed="false">
      <c r="A291" s="99"/>
      <c r="B291" s="99"/>
      <c r="C291" s="99"/>
      <c r="D291" s="121"/>
      <c r="E291" s="99"/>
      <c r="F291" s="124" t="str">
        <f aca="false">IF(E291="CONTADO", 4%, IF(E291="TARJETA / CHEQUE", 3%, IF(OR(E291="FINANCIADO", E291="MCP"), 2.5%, "")))</f>
        <v/>
      </c>
      <c r="G291" s="121" t="str">
        <f aca="false">IF(F291="", "", F291*D291)</f>
        <v/>
      </c>
      <c r="H291" s="132" t="b">
        <f aca="false">FALSE()</f>
        <v>0</v>
      </c>
      <c r="I291" s="132" t="b">
        <f aca="false">FALSE()</f>
        <v>0</v>
      </c>
      <c r="J291" s="126"/>
      <c r="K291" s="99"/>
      <c r="L291" s="83"/>
      <c r="M291" s="103"/>
      <c r="N291" s="103"/>
      <c r="O291" s="103"/>
      <c r="P291" s="103"/>
      <c r="Q291" s="103"/>
      <c r="R291" s="83"/>
      <c r="S291" s="103"/>
      <c r="T291" s="103"/>
      <c r="U291" s="103"/>
    </row>
    <row r="292" customFormat="false" ht="22.5" hidden="false" customHeight="true" outlineLevel="0" collapsed="false">
      <c r="A292" s="110"/>
      <c r="B292" s="110"/>
      <c r="C292" s="110"/>
      <c r="D292" s="122"/>
      <c r="E292" s="110"/>
      <c r="F292" s="128" t="str">
        <f aca="false">IF(E292="CONTADO", 4%, IF(E292="TARJETA / CHEQUE", 3%, IF(OR(E292="FINANCIADO", E292="MCP"), 2.5%, "")))</f>
        <v/>
      </c>
      <c r="G292" s="122" t="str">
        <f aca="false">IF(F292="", "", F292*D292)</f>
        <v/>
      </c>
      <c r="H292" s="131" t="b">
        <f aca="false">FALSE()</f>
        <v>0</v>
      </c>
      <c r="I292" s="131" t="b">
        <f aca="false">FALSE()</f>
        <v>0</v>
      </c>
      <c r="J292" s="130"/>
      <c r="K292" s="110"/>
      <c r="L292" s="83"/>
      <c r="M292" s="103"/>
      <c r="N292" s="103"/>
      <c r="O292" s="103"/>
      <c r="P292" s="103"/>
      <c r="Q292" s="103"/>
      <c r="R292" s="83"/>
      <c r="S292" s="103"/>
      <c r="T292" s="103"/>
      <c r="U292" s="103"/>
    </row>
    <row r="293" customFormat="false" ht="22.5" hidden="false" customHeight="true" outlineLevel="0" collapsed="false">
      <c r="A293" s="99"/>
      <c r="B293" s="99"/>
      <c r="C293" s="99"/>
      <c r="D293" s="121"/>
      <c r="E293" s="99"/>
      <c r="F293" s="124" t="str">
        <f aca="false">IF(E293="CONTADO", 4%, IF(E293="TARJETA / CHEQUE", 3%, IF(OR(E293="FINANCIADO", E293="MCP"), 2.5%, "")))</f>
        <v/>
      </c>
      <c r="G293" s="121" t="str">
        <f aca="false">IF(F293="", "", F293*D293)</f>
        <v/>
      </c>
      <c r="H293" s="132" t="b">
        <f aca="false">FALSE()</f>
        <v>0</v>
      </c>
      <c r="I293" s="132" t="b">
        <f aca="false">FALSE()</f>
        <v>0</v>
      </c>
      <c r="J293" s="126"/>
      <c r="K293" s="99"/>
      <c r="L293" s="83"/>
      <c r="M293" s="103"/>
      <c r="N293" s="103"/>
      <c r="O293" s="103"/>
      <c r="P293" s="103"/>
      <c r="Q293" s="103"/>
      <c r="R293" s="83"/>
      <c r="S293" s="103"/>
      <c r="T293" s="103"/>
      <c r="U293" s="103"/>
    </row>
    <row r="294" customFormat="false" ht="22.5" hidden="false" customHeight="true" outlineLevel="0" collapsed="false">
      <c r="A294" s="110"/>
      <c r="B294" s="110"/>
      <c r="C294" s="110"/>
      <c r="D294" s="122"/>
      <c r="E294" s="110"/>
      <c r="F294" s="128" t="str">
        <f aca="false">IF(E294="CONTADO", 4%, IF(E294="TARJETA / CHEQUE", 3%, IF(OR(E294="FINANCIADO", E294="MCP"), 2.5%, "")))</f>
        <v/>
      </c>
      <c r="G294" s="122" t="str">
        <f aca="false">IF(F294="", "", F294*D294)</f>
        <v/>
      </c>
      <c r="H294" s="131" t="b">
        <f aca="false">FALSE()</f>
        <v>0</v>
      </c>
      <c r="I294" s="131" t="b">
        <f aca="false">FALSE()</f>
        <v>0</v>
      </c>
      <c r="J294" s="130"/>
      <c r="K294" s="110"/>
      <c r="L294" s="83"/>
      <c r="M294" s="103"/>
      <c r="N294" s="103"/>
      <c r="O294" s="103"/>
      <c r="P294" s="103"/>
      <c r="Q294" s="103"/>
      <c r="R294" s="83"/>
      <c r="S294" s="103"/>
      <c r="T294" s="103"/>
      <c r="U294" s="103"/>
    </row>
    <row r="295" customFormat="false" ht="22.5" hidden="false" customHeight="true" outlineLevel="0" collapsed="false">
      <c r="A295" s="99"/>
      <c r="B295" s="99"/>
      <c r="C295" s="99"/>
      <c r="D295" s="121"/>
      <c r="E295" s="99"/>
      <c r="F295" s="124" t="str">
        <f aca="false">IF(E295="CONTADO", 4%, IF(E295="TARJETA / CHEQUE", 3%, IF(OR(E295="FINANCIADO", E295="MCP"), 2.5%, "")))</f>
        <v/>
      </c>
      <c r="G295" s="121" t="str">
        <f aca="false">IF(F295="", "", F295*D295)</f>
        <v/>
      </c>
      <c r="H295" s="132" t="b">
        <f aca="false">FALSE()</f>
        <v>0</v>
      </c>
      <c r="I295" s="132" t="b">
        <f aca="false">FALSE()</f>
        <v>0</v>
      </c>
      <c r="J295" s="126"/>
      <c r="K295" s="99"/>
      <c r="L295" s="83"/>
      <c r="M295" s="103"/>
      <c r="N295" s="103"/>
      <c r="O295" s="103"/>
      <c r="P295" s="103"/>
      <c r="Q295" s="103"/>
      <c r="R295" s="83"/>
      <c r="S295" s="103"/>
      <c r="T295" s="103"/>
      <c r="U295" s="103"/>
    </row>
    <row r="296" customFormat="false" ht="22.5" hidden="false" customHeight="true" outlineLevel="0" collapsed="false">
      <c r="A296" s="110"/>
      <c r="B296" s="110"/>
      <c r="C296" s="110"/>
      <c r="D296" s="122"/>
      <c r="E296" s="110"/>
      <c r="F296" s="128" t="str">
        <f aca="false">IF(E296="CONTADO", 4%, IF(E296="TARJETA / CHEQUE", 3%, IF(OR(E296="FINANCIADO", E296="MCP"), 2.5%, "")))</f>
        <v/>
      </c>
      <c r="G296" s="122" t="str">
        <f aca="false">IF(F296="", "", F296*D296)</f>
        <v/>
      </c>
      <c r="H296" s="131" t="b">
        <f aca="false">FALSE()</f>
        <v>0</v>
      </c>
      <c r="I296" s="131" t="b">
        <f aca="false">FALSE()</f>
        <v>0</v>
      </c>
      <c r="J296" s="130"/>
      <c r="K296" s="110"/>
      <c r="L296" s="83"/>
      <c r="M296" s="103"/>
      <c r="N296" s="103"/>
      <c r="O296" s="103"/>
      <c r="P296" s="103"/>
      <c r="Q296" s="103"/>
      <c r="R296" s="83"/>
      <c r="S296" s="103"/>
      <c r="T296" s="103"/>
      <c r="U296" s="103"/>
    </row>
    <row r="297" customFormat="false" ht="22.5" hidden="false" customHeight="true" outlineLevel="0" collapsed="false">
      <c r="A297" s="99"/>
      <c r="B297" s="99"/>
      <c r="C297" s="99"/>
      <c r="D297" s="121"/>
      <c r="E297" s="99"/>
      <c r="F297" s="124" t="str">
        <f aca="false">IF(E297="CONTADO", 4%, IF(E297="TARJETA / CHEQUE", 3%, IF(OR(E297="FINANCIADO", E297="MCP"), 2.5%, "")))</f>
        <v/>
      </c>
      <c r="G297" s="121" t="str">
        <f aca="false">IF(F297="", "", F297*D297)</f>
        <v/>
      </c>
      <c r="H297" s="132" t="b">
        <f aca="false">FALSE()</f>
        <v>0</v>
      </c>
      <c r="I297" s="132" t="b">
        <f aca="false">FALSE()</f>
        <v>0</v>
      </c>
      <c r="J297" s="126"/>
      <c r="K297" s="99"/>
      <c r="L297" s="83"/>
      <c r="M297" s="103"/>
      <c r="N297" s="103"/>
      <c r="O297" s="103"/>
      <c r="P297" s="103"/>
      <c r="Q297" s="103"/>
      <c r="R297" s="83"/>
      <c r="S297" s="103"/>
      <c r="T297" s="103"/>
      <c r="U297" s="103"/>
    </row>
    <row r="298" customFormat="false" ht="22.5" hidden="false" customHeight="true" outlineLevel="0" collapsed="false">
      <c r="A298" s="110"/>
      <c r="B298" s="110"/>
      <c r="C298" s="110"/>
      <c r="D298" s="122"/>
      <c r="E298" s="110"/>
      <c r="F298" s="128" t="str">
        <f aca="false">IF(E298="CONTADO", 4%, IF(E298="TARJETA / CHEQUE", 3%, IF(OR(E298="FINANCIADO", E298="MCP"), 2.5%, "")))</f>
        <v/>
      </c>
      <c r="G298" s="122" t="str">
        <f aca="false">IF(F298="", "", F298*D298)</f>
        <v/>
      </c>
      <c r="H298" s="131" t="b">
        <f aca="false">FALSE()</f>
        <v>0</v>
      </c>
      <c r="I298" s="131" t="b">
        <f aca="false">FALSE()</f>
        <v>0</v>
      </c>
      <c r="J298" s="130"/>
      <c r="K298" s="110"/>
      <c r="L298" s="83"/>
      <c r="M298" s="103"/>
      <c r="N298" s="103"/>
      <c r="O298" s="103"/>
      <c r="P298" s="103"/>
      <c r="Q298" s="103"/>
      <c r="R298" s="83"/>
      <c r="S298" s="103"/>
      <c r="T298" s="103"/>
      <c r="U298" s="103"/>
    </row>
    <row r="299" customFormat="false" ht="22.5" hidden="false" customHeight="true" outlineLevel="0" collapsed="false">
      <c r="A299" s="99"/>
      <c r="B299" s="99"/>
      <c r="C299" s="99"/>
      <c r="D299" s="121"/>
      <c r="E299" s="99"/>
      <c r="F299" s="124" t="str">
        <f aca="false">IF(E299="CONTADO", 4%, IF(E299="TARJETA / CHEQUE", 3%, IF(OR(E299="FINANCIADO", E299="MCP"), 2.5%, "")))</f>
        <v/>
      </c>
      <c r="G299" s="121" t="str">
        <f aca="false">IF(F299="", "", F299*D299)</f>
        <v/>
      </c>
      <c r="H299" s="132" t="b">
        <f aca="false">FALSE()</f>
        <v>0</v>
      </c>
      <c r="I299" s="132" t="b">
        <f aca="false">FALSE()</f>
        <v>0</v>
      </c>
      <c r="J299" s="126"/>
      <c r="K299" s="99"/>
      <c r="L299" s="83"/>
      <c r="M299" s="103"/>
      <c r="N299" s="103"/>
      <c r="O299" s="103"/>
      <c r="P299" s="103"/>
      <c r="Q299" s="103"/>
      <c r="R299" s="83"/>
      <c r="S299" s="103"/>
      <c r="T299" s="103"/>
      <c r="U299" s="103"/>
    </row>
    <row r="300" customFormat="false" ht="22.5" hidden="false" customHeight="true" outlineLevel="0" collapsed="false">
      <c r="A300" s="110"/>
      <c r="B300" s="110"/>
      <c r="C300" s="110"/>
      <c r="D300" s="122"/>
      <c r="E300" s="110"/>
      <c r="F300" s="128" t="str">
        <f aca="false">IF(E300="CONTADO", 4%, IF(E300="TARJETA / CHEQUE", 3%, IF(OR(E300="FINANCIADO", E300="MCP"), 2.5%, "")))</f>
        <v/>
      </c>
      <c r="G300" s="122" t="str">
        <f aca="false">IF(F300="", "", F300*D300)</f>
        <v/>
      </c>
      <c r="H300" s="131" t="b">
        <f aca="false">FALSE()</f>
        <v>0</v>
      </c>
      <c r="I300" s="131" t="b">
        <f aca="false">FALSE()</f>
        <v>0</v>
      </c>
      <c r="J300" s="130"/>
      <c r="K300" s="110"/>
      <c r="L300" s="83"/>
      <c r="M300" s="103"/>
      <c r="N300" s="103"/>
      <c r="O300" s="103"/>
      <c r="P300" s="103"/>
      <c r="Q300" s="103"/>
      <c r="R300" s="83"/>
      <c r="S300" s="103"/>
      <c r="T300" s="103"/>
      <c r="U300" s="103"/>
    </row>
    <row r="301" customFormat="false" ht="22.5" hidden="false" customHeight="true" outlineLevel="0" collapsed="false">
      <c r="A301" s="99"/>
      <c r="B301" s="99"/>
      <c r="C301" s="99"/>
      <c r="D301" s="121"/>
      <c r="E301" s="99"/>
      <c r="F301" s="124" t="str">
        <f aca="false">IF(E301="CONTADO", 4%, IF(E301="TARJETA / CHEQUE", 3%, IF(OR(E301="FINANCIADO", E301="MCP"), 2.5%, "")))</f>
        <v/>
      </c>
      <c r="G301" s="121" t="str">
        <f aca="false">IF(F301="", "", F301*D301)</f>
        <v/>
      </c>
      <c r="H301" s="132" t="b">
        <f aca="false">FALSE()</f>
        <v>0</v>
      </c>
      <c r="I301" s="132" t="b">
        <f aca="false">FALSE()</f>
        <v>0</v>
      </c>
      <c r="J301" s="126"/>
      <c r="K301" s="99"/>
      <c r="L301" s="83"/>
      <c r="M301" s="103"/>
      <c r="N301" s="103"/>
      <c r="O301" s="103"/>
      <c r="P301" s="103"/>
      <c r="Q301" s="103"/>
      <c r="R301" s="83"/>
      <c r="S301" s="103"/>
      <c r="T301" s="103"/>
      <c r="U301" s="103"/>
    </row>
    <row r="302" customFormat="false" ht="22.5" hidden="false" customHeight="true" outlineLevel="0" collapsed="false">
      <c r="A302" s="110"/>
      <c r="B302" s="110"/>
      <c r="C302" s="110"/>
      <c r="D302" s="122"/>
      <c r="E302" s="110"/>
      <c r="F302" s="128" t="str">
        <f aca="false">IF(E302="CONTADO", 4%, IF(E302="TARJETA / CHEQUE", 3%, IF(OR(E302="FINANCIADO", E302="MCP"), 2.5%, "")))</f>
        <v/>
      </c>
      <c r="G302" s="122" t="str">
        <f aca="false">IF(F302="", "", F302*D302)</f>
        <v/>
      </c>
      <c r="H302" s="131" t="b">
        <f aca="false">FALSE()</f>
        <v>0</v>
      </c>
      <c r="I302" s="131" t="b">
        <f aca="false">FALSE()</f>
        <v>0</v>
      </c>
      <c r="J302" s="130"/>
      <c r="K302" s="110"/>
      <c r="L302" s="83"/>
      <c r="M302" s="103"/>
      <c r="N302" s="103"/>
      <c r="O302" s="103"/>
      <c r="P302" s="103"/>
      <c r="Q302" s="103"/>
      <c r="R302" s="83"/>
      <c r="S302" s="103"/>
      <c r="T302" s="103"/>
      <c r="U302" s="103"/>
    </row>
    <row r="303" customFormat="false" ht="22.5" hidden="false" customHeight="true" outlineLevel="0" collapsed="false">
      <c r="A303" s="99"/>
      <c r="B303" s="99"/>
      <c r="C303" s="99"/>
      <c r="D303" s="121"/>
      <c r="E303" s="99"/>
      <c r="F303" s="124" t="str">
        <f aca="false">IF(E303="CONTADO", 4%, IF(E303="TARJETA / CHEQUE", 3%, IF(OR(E303="FINANCIADO", E303="MCP"), 2.5%, "")))</f>
        <v/>
      </c>
      <c r="G303" s="121" t="str">
        <f aca="false">IF(F303="", "", F303*D303)</f>
        <v/>
      </c>
      <c r="H303" s="132" t="b">
        <f aca="false">FALSE()</f>
        <v>0</v>
      </c>
      <c r="I303" s="132" t="b">
        <f aca="false">FALSE()</f>
        <v>0</v>
      </c>
      <c r="J303" s="126"/>
      <c r="K303" s="99"/>
      <c r="L303" s="83"/>
      <c r="M303" s="103"/>
      <c r="N303" s="103"/>
      <c r="O303" s="103"/>
      <c r="P303" s="103"/>
      <c r="Q303" s="103"/>
      <c r="R303" s="83"/>
      <c r="S303" s="103"/>
      <c r="T303" s="103"/>
      <c r="U303" s="103"/>
    </row>
    <row r="304" customFormat="false" ht="22.5" hidden="false" customHeight="true" outlineLevel="0" collapsed="false">
      <c r="A304" s="110"/>
      <c r="B304" s="110"/>
      <c r="C304" s="110"/>
      <c r="D304" s="122"/>
      <c r="E304" s="110"/>
      <c r="F304" s="128" t="str">
        <f aca="false">IF(E304="CONTADO", 4%, IF(E304="TARJETA / CHEQUE", 3%, IF(OR(E304="FINANCIADO", E304="MCP"), 2.5%, "")))</f>
        <v/>
      </c>
      <c r="G304" s="122" t="str">
        <f aca="false">IF(F304="", "", F304*D304)</f>
        <v/>
      </c>
      <c r="H304" s="131" t="b">
        <f aca="false">FALSE()</f>
        <v>0</v>
      </c>
      <c r="I304" s="131" t="b">
        <f aca="false">FALSE()</f>
        <v>0</v>
      </c>
      <c r="J304" s="130"/>
      <c r="K304" s="110"/>
      <c r="L304" s="83"/>
      <c r="M304" s="103"/>
      <c r="N304" s="103"/>
      <c r="O304" s="103"/>
      <c r="P304" s="103"/>
      <c r="Q304" s="103"/>
      <c r="R304" s="83"/>
      <c r="S304" s="103"/>
      <c r="T304" s="103"/>
      <c r="U304" s="103"/>
    </row>
    <row r="305" customFormat="false" ht="22.5" hidden="false" customHeight="true" outlineLevel="0" collapsed="false">
      <c r="A305" s="99"/>
      <c r="B305" s="99"/>
      <c r="C305" s="99"/>
      <c r="D305" s="121"/>
      <c r="E305" s="99"/>
      <c r="F305" s="124" t="str">
        <f aca="false">IF(E305="CONTADO", 4%, IF(E305="TARJETA / CHEQUE", 3%, IF(OR(E305="FINANCIADO", E305="MCP"), 2.5%, "")))</f>
        <v/>
      </c>
      <c r="G305" s="121" t="str">
        <f aca="false">IF(F305="", "", F305*D305)</f>
        <v/>
      </c>
      <c r="H305" s="132" t="b">
        <f aca="false">FALSE()</f>
        <v>0</v>
      </c>
      <c r="I305" s="132" t="b">
        <f aca="false">FALSE()</f>
        <v>0</v>
      </c>
      <c r="J305" s="126"/>
      <c r="K305" s="99"/>
      <c r="L305" s="83"/>
      <c r="M305" s="103"/>
      <c r="N305" s="103"/>
      <c r="O305" s="103"/>
      <c r="P305" s="103"/>
      <c r="Q305" s="103"/>
      <c r="R305" s="83"/>
      <c r="S305" s="103"/>
      <c r="T305" s="103"/>
      <c r="U305" s="103"/>
    </row>
    <row r="306" customFormat="false" ht="22.5" hidden="false" customHeight="true" outlineLevel="0" collapsed="false">
      <c r="A306" s="110"/>
      <c r="B306" s="110"/>
      <c r="C306" s="110"/>
      <c r="D306" s="122"/>
      <c r="E306" s="110"/>
      <c r="F306" s="128" t="str">
        <f aca="false">IF(E306="CONTADO", 4%, IF(E306="TARJETA / CHEQUE", 3%, IF(OR(E306="FINANCIADO", E306="MCP"), 2.5%, "")))</f>
        <v/>
      </c>
      <c r="G306" s="122" t="str">
        <f aca="false">IF(F306="", "", F306*D306)</f>
        <v/>
      </c>
      <c r="H306" s="131" t="b">
        <f aca="false">FALSE()</f>
        <v>0</v>
      </c>
      <c r="I306" s="131" t="b">
        <f aca="false">FALSE()</f>
        <v>0</v>
      </c>
      <c r="J306" s="130"/>
      <c r="K306" s="110"/>
      <c r="L306" s="83"/>
      <c r="M306" s="103"/>
      <c r="N306" s="103"/>
      <c r="O306" s="103"/>
      <c r="P306" s="103"/>
      <c r="Q306" s="103"/>
      <c r="R306" s="83"/>
      <c r="S306" s="103"/>
      <c r="T306" s="103"/>
      <c r="U306" s="103"/>
    </row>
    <row r="307" customFormat="false" ht="22.5" hidden="false" customHeight="true" outlineLevel="0" collapsed="false">
      <c r="A307" s="99"/>
      <c r="B307" s="99"/>
      <c r="C307" s="99"/>
      <c r="D307" s="121"/>
      <c r="E307" s="99"/>
      <c r="F307" s="124" t="str">
        <f aca="false">IF(E307="CONTADO", 4%, IF(E307="TARJETA / CHEQUE", 3%, IF(OR(E307="FINANCIADO", E307="MCP"), 2.5%, "")))</f>
        <v/>
      </c>
      <c r="G307" s="121" t="str">
        <f aca="false">IF(F307="", "", F307*D307)</f>
        <v/>
      </c>
      <c r="H307" s="132" t="b">
        <f aca="false">FALSE()</f>
        <v>0</v>
      </c>
      <c r="I307" s="132" t="b">
        <f aca="false">FALSE()</f>
        <v>0</v>
      </c>
      <c r="J307" s="126"/>
      <c r="K307" s="99"/>
      <c r="L307" s="83"/>
      <c r="M307" s="103"/>
      <c r="N307" s="103"/>
      <c r="O307" s="103"/>
      <c r="P307" s="103"/>
      <c r="Q307" s="103"/>
      <c r="R307" s="83"/>
      <c r="S307" s="103"/>
      <c r="T307" s="103"/>
      <c r="U307" s="103"/>
    </row>
    <row r="308" customFormat="false" ht="22.5" hidden="false" customHeight="true" outlineLevel="0" collapsed="false">
      <c r="A308" s="110"/>
      <c r="B308" s="110"/>
      <c r="C308" s="110"/>
      <c r="D308" s="122"/>
      <c r="E308" s="110"/>
      <c r="F308" s="128" t="str">
        <f aca="false">IF(E308="CONTADO", 4%, IF(E308="TARJETA / CHEQUE", 3%, IF(OR(E308="FINANCIADO", E308="MCP"), 2.5%, "")))</f>
        <v/>
      </c>
      <c r="G308" s="122" t="str">
        <f aca="false">IF(F308="", "", F308*D308)</f>
        <v/>
      </c>
      <c r="H308" s="131" t="b">
        <f aca="false">FALSE()</f>
        <v>0</v>
      </c>
      <c r="I308" s="131" t="b">
        <f aca="false">FALSE()</f>
        <v>0</v>
      </c>
      <c r="J308" s="130"/>
      <c r="K308" s="110"/>
      <c r="L308" s="83"/>
      <c r="M308" s="103"/>
      <c r="N308" s="103"/>
      <c r="O308" s="103"/>
      <c r="P308" s="103"/>
      <c r="Q308" s="103"/>
      <c r="R308" s="83"/>
      <c r="S308" s="103"/>
      <c r="T308" s="103"/>
      <c r="U308" s="103"/>
    </row>
    <row r="309" customFormat="false" ht="22.5" hidden="false" customHeight="true" outlineLevel="0" collapsed="false">
      <c r="A309" s="99"/>
      <c r="B309" s="99"/>
      <c r="C309" s="99"/>
      <c r="D309" s="121"/>
      <c r="E309" s="99"/>
      <c r="F309" s="124" t="str">
        <f aca="false">IF(E309="CONTADO", 4%, IF(E309="TARJETA / CHEQUE", 3%, IF(OR(E309="FINANCIADO", E309="MCP"), 2.5%, "")))</f>
        <v/>
      </c>
      <c r="G309" s="121" t="str">
        <f aca="false">IF(F309="", "", F309*D309)</f>
        <v/>
      </c>
      <c r="H309" s="132" t="b">
        <f aca="false">FALSE()</f>
        <v>0</v>
      </c>
      <c r="I309" s="132" t="b">
        <f aca="false">FALSE()</f>
        <v>0</v>
      </c>
      <c r="J309" s="126"/>
      <c r="K309" s="99"/>
      <c r="L309" s="83"/>
      <c r="M309" s="103"/>
      <c r="N309" s="103"/>
      <c r="O309" s="103"/>
      <c r="P309" s="103"/>
      <c r="Q309" s="103"/>
      <c r="R309" s="83"/>
      <c r="S309" s="103"/>
      <c r="T309" s="103"/>
      <c r="U309" s="103"/>
    </row>
    <row r="310" customFormat="false" ht="22.5" hidden="false" customHeight="true" outlineLevel="0" collapsed="false">
      <c r="A310" s="110"/>
      <c r="B310" s="110"/>
      <c r="C310" s="110"/>
      <c r="D310" s="122"/>
      <c r="E310" s="110"/>
      <c r="F310" s="128" t="str">
        <f aca="false">IF(E310="CONTADO", 4%, IF(E310="TARJETA / CHEQUE", 3%, IF(OR(E310="FINANCIADO", E310="MCP"), 2.5%, "")))</f>
        <v/>
      </c>
      <c r="G310" s="122" t="str">
        <f aca="false">IF(F310="", "", F310*D310)</f>
        <v/>
      </c>
      <c r="H310" s="131" t="b">
        <f aca="false">FALSE()</f>
        <v>0</v>
      </c>
      <c r="I310" s="131" t="b">
        <f aca="false">FALSE()</f>
        <v>0</v>
      </c>
      <c r="J310" s="130"/>
      <c r="K310" s="110"/>
      <c r="L310" s="83"/>
      <c r="M310" s="103"/>
      <c r="N310" s="103"/>
      <c r="O310" s="103"/>
      <c r="P310" s="103"/>
      <c r="Q310" s="103"/>
      <c r="R310" s="83"/>
      <c r="S310" s="103"/>
      <c r="T310" s="103"/>
      <c r="U310" s="103"/>
    </row>
    <row r="311" customFormat="false" ht="22.5" hidden="false" customHeight="true" outlineLevel="0" collapsed="false">
      <c r="A311" s="99"/>
      <c r="B311" s="99"/>
      <c r="C311" s="99"/>
      <c r="D311" s="121"/>
      <c r="E311" s="99"/>
      <c r="F311" s="124" t="str">
        <f aca="false">IF(E311="CONTADO", 4%, IF(E311="TARJETA / CHEQUE", 3%, IF(OR(E311="FINANCIADO", E311="MCP"), 2.5%, "")))</f>
        <v/>
      </c>
      <c r="G311" s="121" t="str">
        <f aca="false">IF(F311="", "", F311*D311)</f>
        <v/>
      </c>
      <c r="H311" s="132" t="b">
        <f aca="false">FALSE()</f>
        <v>0</v>
      </c>
      <c r="I311" s="132" t="b">
        <f aca="false">FALSE()</f>
        <v>0</v>
      </c>
      <c r="J311" s="126"/>
      <c r="K311" s="99"/>
      <c r="L311" s="83"/>
      <c r="M311" s="103"/>
      <c r="N311" s="103"/>
      <c r="O311" s="103"/>
      <c r="P311" s="103"/>
      <c r="Q311" s="103"/>
      <c r="R311" s="83"/>
      <c r="S311" s="103"/>
      <c r="T311" s="103"/>
      <c r="U311" s="103"/>
    </row>
    <row r="312" customFormat="false" ht="22.5" hidden="false" customHeight="true" outlineLevel="0" collapsed="false">
      <c r="A312" s="110"/>
      <c r="B312" s="110"/>
      <c r="C312" s="110"/>
      <c r="D312" s="122"/>
      <c r="E312" s="110"/>
      <c r="F312" s="128" t="str">
        <f aca="false">IF(E312="CONTADO", 4%, IF(E312="TARJETA / CHEQUE", 3%, IF(OR(E312="FINANCIADO", E312="MCP"), 2.5%, "")))</f>
        <v/>
      </c>
      <c r="G312" s="122" t="str">
        <f aca="false">IF(F312="", "", F312*D312)</f>
        <v/>
      </c>
      <c r="H312" s="131" t="b">
        <f aca="false">FALSE()</f>
        <v>0</v>
      </c>
      <c r="I312" s="131" t="b">
        <f aca="false">FALSE()</f>
        <v>0</v>
      </c>
      <c r="J312" s="130"/>
      <c r="K312" s="110"/>
      <c r="L312" s="83"/>
      <c r="M312" s="103"/>
      <c r="N312" s="103"/>
      <c r="O312" s="103"/>
      <c r="P312" s="103"/>
      <c r="Q312" s="103"/>
      <c r="R312" s="83"/>
      <c r="S312" s="103"/>
      <c r="T312" s="103"/>
      <c r="U312" s="103"/>
    </row>
    <row r="313" customFormat="false" ht="22.5" hidden="false" customHeight="true" outlineLevel="0" collapsed="false">
      <c r="A313" s="99"/>
      <c r="B313" s="99"/>
      <c r="C313" s="99"/>
      <c r="D313" s="121"/>
      <c r="E313" s="99"/>
      <c r="F313" s="124" t="str">
        <f aca="false">IF(E313="CONTADO", 4%, IF(E313="TARJETA / CHEQUE", 3%, IF(OR(E313="FINANCIADO", E313="MCP"), 2.5%, "")))</f>
        <v/>
      </c>
      <c r="G313" s="121" t="str">
        <f aca="false">IF(F313="", "", F313*D313)</f>
        <v/>
      </c>
      <c r="H313" s="132" t="b">
        <f aca="false">FALSE()</f>
        <v>0</v>
      </c>
      <c r="I313" s="132" t="b">
        <f aca="false">FALSE()</f>
        <v>0</v>
      </c>
      <c r="J313" s="126"/>
      <c r="K313" s="99"/>
      <c r="L313" s="83"/>
      <c r="M313" s="103"/>
      <c r="N313" s="103"/>
      <c r="O313" s="103"/>
      <c r="P313" s="103"/>
      <c r="Q313" s="103"/>
      <c r="R313" s="83"/>
      <c r="S313" s="103"/>
      <c r="T313" s="103"/>
      <c r="U313" s="103"/>
    </row>
    <row r="314" customFormat="false" ht="22.5" hidden="false" customHeight="true" outlineLevel="0" collapsed="false">
      <c r="A314" s="110"/>
      <c r="B314" s="110"/>
      <c r="C314" s="110"/>
      <c r="D314" s="122"/>
      <c r="E314" s="110"/>
      <c r="F314" s="128" t="str">
        <f aca="false">IF(E314="CONTADO", 4%, IF(E314="TARJETA / CHEQUE", 3%, IF(OR(E314="FINANCIADO", E314="MCP"), 2.5%, "")))</f>
        <v/>
      </c>
      <c r="G314" s="122" t="str">
        <f aca="false">IF(F314="", "", F314*D314)</f>
        <v/>
      </c>
      <c r="H314" s="131" t="b">
        <f aca="false">FALSE()</f>
        <v>0</v>
      </c>
      <c r="I314" s="131" t="b">
        <f aca="false">FALSE()</f>
        <v>0</v>
      </c>
      <c r="J314" s="130"/>
      <c r="K314" s="110"/>
      <c r="L314" s="83"/>
      <c r="M314" s="103"/>
      <c r="N314" s="103"/>
      <c r="O314" s="103"/>
      <c r="P314" s="103"/>
      <c r="Q314" s="103"/>
      <c r="R314" s="83"/>
      <c r="S314" s="103"/>
      <c r="T314" s="103"/>
      <c r="U314" s="103"/>
    </row>
    <row r="315" customFormat="false" ht="22.5" hidden="false" customHeight="true" outlineLevel="0" collapsed="false">
      <c r="A315" s="99"/>
      <c r="B315" s="99"/>
      <c r="C315" s="99"/>
      <c r="D315" s="121"/>
      <c r="E315" s="99"/>
      <c r="F315" s="124" t="str">
        <f aca="false">IF(E315="CONTADO", 4%, IF(E315="TARJETA / CHEQUE", 3%, IF(OR(E315="FINANCIADO", E315="MCP"), 2.5%, "")))</f>
        <v/>
      </c>
      <c r="G315" s="121" t="str">
        <f aca="false">IF(F315="", "", F315*D315)</f>
        <v/>
      </c>
      <c r="H315" s="132" t="b">
        <f aca="false">FALSE()</f>
        <v>0</v>
      </c>
      <c r="I315" s="132" t="b">
        <f aca="false">FALSE()</f>
        <v>0</v>
      </c>
      <c r="J315" s="126"/>
      <c r="K315" s="99"/>
      <c r="L315" s="83"/>
      <c r="M315" s="103"/>
      <c r="N315" s="103"/>
      <c r="O315" s="103"/>
      <c r="P315" s="103"/>
      <c r="Q315" s="103"/>
      <c r="R315" s="83"/>
      <c r="S315" s="103"/>
      <c r="T315" s="103"/>
      <c r="U315" s="103"/>
    </row>
    <row r="316" customFormat="false" ht="22.5" hidden="false" customHeight="true" outlineLevel="0" collapsed="false">
      <c r="A316" s="110"/>
      <c r="B316" s="110"/>
      <c r="C316" s="110"/>
      <c r="D316" s="122"/>
      <c r="E316" s="110"/>
      <c r="F316" s="128" t="str">
        <f aca="false">IF(E316="CONTADO", 4%, IF(E316="TARJETA / CHEQUE", 3%, IF(OR(E316="FINANCIADO", E316="MCP"), 2.5%, "")))</f>
        <v/>
      </c>
      <c r="G316" s="122" t="str">
        <f aca="false">IF(F316="", "", F316*D316)</f>
        <v/>
      </c>
      <c r="H316" s="131" t="b">
        <f aca="false">FALSE()</f>
        <v>0</v>
      </c>
      <c r="I316" s="131" t="b">
        <f aca="false">FALSE()</f>
        <v>0</v>
      </c>
      <c r="J316" s="130"/>
      <c r="K316" s="110"/>
      <c r="L316" s="83"/>
      <c r="M316" s="103"/>
      <c r="N316" s="103"/>
      <c r="O316" s="103"/>
      <c r="P316" s="103"/>
      <c r="Q316" s="103"/>
      <c r="R316" s="83"/>
      <c r="S316" s="103"/>
      <c r="T316" s="103"/>
      <c r="U316" s="103"/>
    </row>
    <row r="317" customFormat="false" ht="22.5" hidden="false" customHeight="true" outlineLevel="0" collapsed="false">
      <c r="A317" s="99"/>
      <c r="B317" s="99"/>
      <c r="C317" s="99"/>
      <c r="D317" s="121"/>
      <c r="E317" s="99"/>
      <c r="F317" s="124" t="str">
        <f aca="false">IF(E317="CONTADO", 4%, IF(E317="TARJETA / CHEQUE", 3%, IF(OR(E317="FINANCIADO", E317="MCP"), 2.5%, "")))</f>
        <v/>
      </c>
      <c r="G317" s="121" t="str">
        <f aca="false">IF(F317="", "", F317*D317)</f>
        <v/>
      </c>
      <c r="H317" s="132" t="b">
        <f aca="false">FALSE()</f>
        <v>0</v>
      </c>
      <c r="I317" s="132" t="b">
        <f aca="false">FALSE()</f>
        <v>0</v>
      </c>
      <c r="J317" s="126"/>
      <c r="K317" s="99"/>
      <c r="L317" s="83"/>
      <c r="M317" s="103"/>
      <c r="N317" s="103"/>
      <c r="O317" s="103"/>
      <c r="P317" s="103"/>
      <c r="Q317" s="103"/>
      <c r="R317" s="83"/>
      <c r="S317" s="103"/>
      <c r="T317" s="103"/>
      <c r="U317" s="103"/>
    </row>
    <row r="318" customFormat="false" ht="22.5" hidden="false" customHeight="true" outlineLevel="0" collapsed="false">
      <c r="A318" s="110"/>
      <c r="B318" s="110"/>
      <c r="C318" s="110"/>
      <c r="D318" s="122"/>
      <c r="E318" s="110"/>
      <c r="F318" s="128" t="str">
        <f aca="false">IF(E318="CONTADO", 4%, IF(E318="TARJETA / CHEQUE", 3%, IF(OR(E318="FINANCIADO", E318="MCP"), 2.5%, "")))</f>
        <v/>
      </c>
      <c r="G318" s="122" t="str">
        <f aca="false">IF(F318="", "", F318*D318)</f>
        <v/>
      </c>
      <c r="H318" s="131" t="b">
        <f aca="false">FALSE()</f>
        <v>0</v>
      </c>
      <c r="I318" s="131" t="b">
        <f aca="false">FALSE()</f>
        <v>0</v>
      </c>
      <c r="J318" s="130"/>
      <c r="K318" s="110"/>
      <c r="L318" s="83"/>
      <c r="M318" s="103"/>
      <c r="N318" s="103"/>
      <c r="O318" s="103"/>
      <c r="P318" s="103"/>
      <c r="Q318" s="103"/>
      <c r="R318" s="83"/>
      <c r="S318" s="103"/>
      <c r="T318" s="103"/>
      <c r="U318" s="103"/>
    </row>
    <row r="319" customFormat="false" ht="22.5" hidden="false" customHeight="true" outlineLevel="0" collapsed="false">
      <c r="A319" s="99"/>
      <c r="B319" s="99"/>
      <c r="C319" s="99"/>
      <c r="D319" s="121"/>
      <c r="E319" s="99"/>
      <c r="F319" s="124" t="str">
        <f aca="false">IF(E319="CONTADO", 4%, IF(E319="TARJETA / CHEQUE", 3%, IF(OR(E319="FINANCIADO", E319="MCP"), 2.5%, "")))</f>
        <v/>
      </c>
      <c r="G319" s="121" t="str">
        <f aca="false">IF(F319="", "", F319*D319)</f>
        <v/>
      </c>
      <c r="H319" s="132" t="b">
        <f aca="false">FALSE()</f>
        <v>0</v>
      </c>
      <c r="I319" s="132" t="b">
        <f aca="false">FALSE()</f>
        <v>0</v>
      </c>
      <c r="J319" s="126"/>
      <c r="K319" s="99"/>
      <c r="L319" s="83"/>
      <c r="M319" s="103"/>
      <c r="N319" s="103"/>
      <c r="O319" s="103"/>
      <c r="P319" s="103"/>
      <c r="Q319" s="103"/>
      <c r="R319" s="83"/>
      <c r="S319" s="103"/>
      <c r="T319" s="103"/>
      <c r="U319" s="103"/>
    </row>
    <row r="320" customFormat="false" ht="22.5" hidden="false" customHeight="true" outlineLevel="0" collapsed="false">
      <c r="A320" s="110"/>
      <c r="B320" s="110"/>
      <c r="C320" s="110"/>
      <c r="D320" s="122"/>
      <c r="E320" s="110"/>
      <c r="F320" s="128" t="str">
        <f aca="false">IF(E320="CONTADO", 4%, IF(E320="TARJETA / CHEQUE", 3%, IF(OR(E320="FINANCIADO", E320="MCP"), 2.5%, "")))</f>
        <v/>
      </c>
      <c r="G320" s="122" t="str">
        <f aca="false">IF(F320="", "", F320*D320)</f>
        <v/>
      </c>
      <c r="H320" s="131" t="b">
        <f aca="false">FALSE()</f>
        <v>0</v>
      </c>
      <c r="I320" s="131" t="b">
        <f aca="false">FALSE()</f>
        <v>0</v>
      </c>
      <c r="J320" s="130"/>
      <c r="K320" s="110"/>
      <c r="L320" s="83"/>
      <c r="M320" s="103"/>
      <c r="N320" s="103"/>
      <c r="O320" s="103"/>
      <c r="P320" s="103"/>
      <c r="Q320" s="103"/>
      <c r="R320" s="83"/>
      <c r="S320" s="103"/>
      <c r="T320" s="103"/>
      <c r="U320" s="103"/>
    </row>
    <row r="321" customFormat="false" ht="22.5" hidden="false" customHeight="true" outlineLevel="0" collapsed="false">
      <c r="A321" s="99"/>
      <c r="B321" s="99"/>
      <c r="C321" s="99"/>
      <c r="D321" s="121"/>
      <c r="E321" s="99"/>
      <c r="F321" s="124" t="str">
        <f aca="false">IF(E321="CONTADO", 4%, IF(E321="TARJETA / CHEQUE", 3%, IF(OR(E321="FINANCIADO", E321="MCP"), 2.5%, "")))</f>
        <v/>
      </c>
      <c r="G321" s="121" t="str">
        <f aca="false">IF(F321="", "", F321*D321)</f>
        <v/>
      </c>
      <c r="H321" s="132" t="b">
        <f aca="false">FALSE()</f>
        <v>0</v>
      </c>
      <c r="I321" s="132" t="b">
        <f aca="false">FALSE()</f>
        <v>0</v>
      </c>
      <c r="J321" s="126"/>
      <c r="K321" s="99"/>
      <c r="L321" s="83"/>
      <c r="M321" s="103"/>
      <c r="N321" s="103"/>
      <c r="O321" s="103"/>
      <c r="P321" s="103"/>
      <c r="Q321" s="103"/>
      <c r="R321" s="83"/>
      <c r="S321" s="103"/>
      <c r="T321" s="103"/>
      <c r="U321" s="103"/>
    </row>
    <row r="322" customFormat="false" ht="22.5" hidden="false" customHeight="true" outlineLevel="0" collapsed="false">
      <c r="A322" s="110"/>
      <c r="B322" s="110"/>
      <c r="C322" s="110"/>
      <c r="D322" s="122"/>
      <c r="E322" s="110"/>
      <c r="F322" s="128" t="str">
        <f aca="false">IF(E322="CONTADO", 4%, IF(E322="TARJETA / CHEQUE", 3%, IF(OR(E322="FINANCIADO", E322="MCP"), 2.5%, "")))</f>
        <v/>
      </c>
      <c r="G322" s="122" t="str">
        <f aca="false">IF(F322="", "", F322*D322)</f>
        <v/>
      </c>
      <c r="H322" s="131" t="b">
        <f aca="false">FALSE()</f>
        <v>0</v>
      </c>
      <c r="I322" s="131" t="b">
        <f aca="false">FALSE()</f>
        <v>0</v>
      </c>
      <c r="J322" s="130"/>
      <c r="K322" s="110"/>
      <c r="L322" s="83"/>
      <c r="M322" s="103"/>
      <c r="N322" s="103"/>
      <c r="O322" s="103"/>
      <c r="P322" s="103"/>
      <c r="Q322" s="103"/>
      <c r="R322" s="83"/>
      <c r="S322" s="103"/>
      <c r="T322" s="103"/>
      <c r="U322" s="103"/>
    </row>
    <row r="323" customFormat="false" ht="22.5" hidden="false" customHeight="true" outlineLevel="0" collapsed="false">
      <c r="A323" s="99"/>
      <c r="B323" s="99"/>
      <c r="C323" s="99"/>
      <c r="D323" s="121"/>
      <c r="E323" s="99"/>
      <c r="F323" s="124" t="str">
        <f aca="false">IF(E323="CONTADO", 4%, IF(E323="TARJETA / CHEQUE", 3%, IF(OR(E323="FINANCIADO", E323="MCP"), 2.5%, "")))</f>
        <v/>
      </c>
      <c r="G323" s="121" t="str">
        <f aca="false">IF(F323="", "", F323*D323)</f>
        <v/>
      </c>
      <c r="H323" s="132" t="b">
        <f aca="false">FALSE()</f>
        <v>0</v>
      </c>
      <c r="I323" s="132" t="b">
        <f aca="false">FALSE()</f>
        <v>0</v>
      </c>
      <c r="J323" s="126"/>
      <c r="K323" s="99"/>
      <c r="L323" s="83"/>
      <c r="M323" s="103"/>
      <c r="N323" s="103"/>
      <c r="O323" s="103"/>
      <c r="P323" s="103"/>
      <c r="Q323" s="103"/>
      <c r="R323" s="83"/>
      <c r="S323" s="103"/>
      <c r="T323" s="103"/>
      <c r="U323" s="103"/>
    </row>
    <row r="324" customFormat="false" ht="22.5" hidden="false" customHeight="true" outlineLevel="0" collapsed="false">
      <c r="A324" s="110"/>
      <c r="B324" s="110"/>
      <c r="C324" s="110"/>
      <c r="D324" s="122"/>
      <c r="E324" s="110"/>
      <c r="F324" s="128" t="str">
        <f aca="false">IF(E324="CONTADO", 4%, IF(E324="TARJETA / CHEQUE", 3%, IF(OR(E324="FINANCIADO", E324="MCP"), 2.5%, "")))</f>
        <v/>
      </c>
      <c r="G324" s="122" t="str">
        <f aca="false">IF(F324="", "", F324*D324)</f>
        <v/>
      </c>
      <c r="H324" s="131" t="b">
        <f aca="false">FALSE()</f>
        <v>0</v>
      </c>
      <c r="I324" s="131" t="b">
        <f aca="false">FALSE()</f>
        <v>0</v>
      </c>
      <c r="J324" s="130"/>
      <c r="K324" s="110"/>
      <c r="L324" s="83"/>
      <c r="M324" s="103"/>
      <c r="N324" s="103"/>
      <c r="O324" s="103"/>
      <c r="P324" s="103"/>
      <c r="Q324" s="103"/>
      <c r="R324" s="83"/>
      <c r="S324" s="103"/>
      <c r="T324" s="103"/>
      <c r="U324" s="103"/>
    </row>
    <row r="325" customFormat="false" ht="22.5" hidden="false" customHeight="true" outlineLevel="0" collapsed="false">
      <c r="A325" s="99"/>
      <c r="B325" s="99"/>
      <c r="C325" s="99"/>
      <c r="D325" s="121"/>
      <c r="E325" s="99"/>
      <c r="F325" s="124" t="str">
        <f aca="false">IF(E325="CONTADO", 4%, IF(E325="TARJETA / CHEQUE", 3%, IF(OR(E325="FINANCIADO", E325="MCP"), 2.5%, "")))</f>
        <v/>
      </c>
      <c r="G325" s="121" t="str">
        <f aca="false">IF(F325="", "", F325*D325)</f>
        <v/>
      </c>
      <c r="H325" s="132" t="b">
        <f aca="false">FALSE()</f>
        <v>0</v>
      </c>
      <c r="I325" s="132" t="b">
        <f aca="false">FALSE()</f>
        <v>0</v>
      </c>
      <c r="J325" s="126"/>
      <c r="K325" s="99"/>
      <c r="L325" s="83"/>
      <c r="M325" s="103"/>
      <c r="N325" s="103"/>
      <c r="O325" s="103"/>
      <c r="P325" s="103"/>
      <c r="Q325" s="103"/>
      <c r="R325" s="83"/>
      <c r="S325" s="103"/>
      <c r="T325" s="103"/>
      <c r="U325" s="103"/>
    </row>
    <row r="326" customFormat="false" ht="22.5" hidden="false" customHeight="true" outlineLevel="0" collapsed="false">
      <c r="A326" s="110"/>
      <c r="B326" s="110"/>
      <c r="C326" s="110"/>
      <c r="D326" s="122"/>
      <c r="E326" s="110"/>
      <c r="F326" s="128" t="str">
        <f aca="false">IF(E326="CONTADO", 4%, IF(E326="TARJETA / CHEQUE", 3%, IF(OR(E326="FINANCIADO", E326="MCP"), 2.5%, "")))</f>
        <v/>
      </c>
      <c r="G326" s="122" t="str">
        <f aca="false">IF(F326="", "", F326*D326)</f>
        <v/>
      </c>
      <c r="H326" s="131" t="b">
        <f aca="false">FALSE()</f>
        <v>0</v>
      </c>
      <c r="I326" s="131" t="b">
        <f aca="false">FALSE()</f>
        <v>0</v>
      </c>
      <c r="J326" s="130"/>
      <c r="K326" s="110"/>
      <c r="L326" s="83"/>
      <c r="M326" s="103"/>
      <c r="N326" s="103"/>
      <c r="O326" s="103"/>
      <c r="P326" s="103"/>
      <c r="Q326" s="103"/>
      <c r="R326" s="83"/>
      <c r="S326" s="103"/>
      <c r="T326" s="103"/>
      <c r="U326" s="103"/>
    </row>
    <row r="327" customFormat="false" ht="22.5" hidden="false" customHeight="true" outlineLevel="0" collapsed="false">
      <c r="A327" s="99"/>
      <c r="B327" s="99"/>
      <c r="C327" s="99"/>
      <c r="D327" s="121"/>
      <c r="E327" s="99"/>
      <c r="F327" s="124" t="str">
        <f aca="false">IF(E327="CONTADO", 4%, IF(E327="TARJETA / CHEQUE", 3%, IF(OR(E327="FINANCIADO", E327="MCP"), 2.5%, "")))</f>
        <v/>
      </c>
      <c r="G327" s="121" t="str">
        <f aca="false">IF(F327="", "", F327*D327)</f>
        <v/>
      </c>
      <c r="H327" s="132" t="b">
        <f aca="false">FALSE()</f>
        <v>0</v>
      </c>
      <c r="I327" s="132" t="b">
        <f aca="false">FALSE()</f>
        <v>0</v>
      </c>
      <c r="J327" s="126"/>
      <c r="K327" s="99"/>
      <c r="L327" s="83"/>
      <c r="M327" s="103"/>
      <c r="N327" s="103"/>
      <c r="O327" s="103"/>
      <c r="P327" s="103"/>
      <c r="Q327" s="103"/>
      <c r="R327" s="83"/>
      <c r="S327" s="103"/>
      <c r="T327" s="103"/>
      <c r="U327" s="103"/>
    </row>
    <row r="328" customFormat="false" ht="22.5" hidden="false" customHeight="true" outlineLevel="0" collapsed="false">
      <c r="A328" s="110"/>
      <c r="B328" s="110"/>
      <c r="C328" s="110"/>
      <c r="D328" s="122"/>
      <c r="E328" s="110"/>
      <c r="F328" s="128" t="str">
        <f aca="false">IF(E328="CONTADO", 4%, IF(E328="TARJETA / CHEQUE", 3%, IF(OR(E328="FINANCIADO", E328="MCP"), 2.5%, "")))</f>
        <v/>
      </c>
      <c r="G328" s="122" t="str">
        <f aca="false">IF(F328="", "", F328*D328)</f>
        <v/>
      </c>
      <c r="H328" s="131" t="b">
        <f aca="false">FALSE()</f>
        <v>0</v>
      </c>
      <c r="I328" s="131" t="b">
        <f aca="false">FALSE()</f>
        <v>0</v>
      </c>
      <c r="J328" s="130"/>
      <c r="K328" s="110"/>
      <c r="L328" s="83"/>
      <c r="M328" s="103"/>
      <c r="N328" s="103"/>
      <c r="O328" s="103"/>
      <c r="P328" s="103"/>
      <c r="Q328" s="103"/>
      <c r="R328" s="83"/>
      <c r="S328" s="103"/>
      <c r="T328" s="103"/>
      <c r="U328" s="103"/>
    </row>
    <row r="329" customFormat="false" ht="22.5" hidden="false" customHeight="true" outlineLevel="0" collapsed="false">
      <c r="A329" s="99"/>
      <c r="B329" s="99"/>
      <c r="C329" s="99"/>
      <c r="D329" s="121"/>
      <c r="E329" s="99"/>
      <c r="F329" s="124" t="str">
        <f aca="false">IF(E329="CONTADO", 4%, IF(E329="TARJETA / CHEQUE", 3%, IF(OR(E329="FINANCIADO", E329="MCP"), 2.5%, "")))</f>
        <v/>
      </c>
      <c r="G329" s="121" t="str">
        <f aca="false">IF(F329="", "", F329*D329)</f>
        <v/>
      </c>
      <c r="H329" s="132" t="b">
        <f aca="false">FALSE()</f>
        <v>0</v>
      </c>
      <c r="I329" s="132" t="b">
        <f aca="false">FALSE()</f>
        <v>0</v>
      </c>
      <c r="J329" s="126"/>
      <c r="K329" s="99"/>
      <c r="L329" s="83"/>
      <c r="M329" s="103"/>
      <c r="N329" s="103"/>
      <c r="O329" s="103"/>
      <c r="P329" s="103"/>
      <c r="Q329" s="103"/>
      <c r="R329" s="83"/>
      <c r="S329" s="103"/>
      <c r="T329" s="103"/>
      <c r="U329" s="103"/>
    </row>
    <row r="330" customFormat="false" ht="22.5" hidden="false" customHeight="true" outlineLevel="0" collapsed="false">
      <c r="A330" s="110"/>
      <c r="B330" s="110"/>
      <c r="C330" s="110"/>
      <c r="D330" s="122"/>
      <c r="E330" s="110"/>
      <c r="F330" s="128" t="str">
        <f aca="false">IF(E330="CONTADO", 4%, IF(E330="TARJETA / CHEQUE", 3%, IF(OR(E330="FINANCIADO", E330="MCP"), 2.5%, "")))</f>
        <v/>
      </c>
      <c r="G330" s="122" t="str">
        <f aca="false">IF(F330="", "", F330*D330)</f>
        <v/>
      </c>
      <c r="H330" s="131" t="b">
        <f aca="false">FALSE()</f>
        <v>0</v>
      </c>
      <c r="I330" s="131" t="b">
        <f aca="false">FALSE()</f>
        <v>0</v>
      </c>
      <c r="J330" s="130"/>
      <c r="K330" s="110"/>
      <c r="L330" s="83"/>
      <c r="M330" s="103"/>
      <c r="N330" s="103"/>
      <c r="O330" s="103"/>
      <c r="P330" s="103"/>
      <c r="Q330" s="103"/>
      <c r="R330" s="83"/>
      <c r="S330" s="103"/>
      <c r="T330" s="103"/>
      <c r="U330" s="103"/>
    </row>
    <row r="331" customFormat="false" ht="22.5" hidden="false" customHeight="true" outlineLevel="0" collapsed="false">
      <c r="A331" s="99"/>
      <c r="B331" s="99"/>
      <c r="C331" s="99"/>
      <c r="D331" s="121"/>
      <c r="E331" s="99"/>
      <c r="F331" s="124" t="str">
        <f aca="false">IF(E331="CONTADO", 4%, IF(E331="TARJETA / CHEQUE", 3%, IF(OR(E331="FINANCIADO", E331="MCP"), 2.5%, "")))</f>
        <v/>
      </c>
      <c r="G331" s="121" t="str">
        <f aca="false">IF(F331="", "", F331*D331)</f>
        <v/>
      </c>
      <c r="H331" s="132" t="b">
        <f aca="false">FALSE()</f>
        <v>0</v>
      </c>
      <c r="I331" s="132" t="b">
        <f aca="false">FALSE()</f>
        <v>0</v>
      </c>
      <c r="J331" s="126"/>
      <c r="K331" s="99"/>
      <c r="L331" s="83"/>
      <c r="M331" s="103"/>
      <c r="N331" s="103"/>
      <c r="O331" s="103"/>
      <c r="P331" s="103"/>
      <c r="Q331" s="103"/>
      <c r="R331" s="83"/>
      <c r="S331" s="103"/>
      <c r="T331" s="103"/>
      <c r="U331" s="103"/>
    </row>
    <row r="332" customFormat="false" ht="22.5" hidden="false" customHeight="true" outlineLevel="0" collapsed="false">
      <c r="A332" s="110"/>
      <c r="B332" s="110"/>
      <c r="C332" s="110"/>
      <c r="D332" s="122"/>
      <c r="E332" s="110"/>
      <c r="F332" s="128" t="str">
        <f aca="false">IF(E332="CONTADO", 4%, IF(E332="TARJETA / CHEQUE", 3%, IF(OR(E332="FINANCIADO", E332="MCP"), 2.5%, "")))</f>
        <v/>
      </c>
      <c r="G332" s="122" t="str">
        <f aca="false">IF(F332="", "", F332*D332)</f>
        <v/>
      </c>
      <c r="H332" s="131" t="b">
        <f aca="false">FALSE()</f>
        <v>0</v>
      </c>
      <c r="I332" s="131" t="b">
        <f aca="false">FALSE()</f>
        <v>0</v>
      </c>
      <c r="J332" s="130"/>
      <c r="K332" s="110"/>
      <c r="L332" s="83"/>
      <c r="M332" s="103"/>
      <c r="N332" s="103"/>
      <c r="O332" s="103"/>
      <c r="P332" s="103"/>
      <c r="Q332" s="103"/>
      <c r="R332" s="83"/>
      <c r="S332" s="103"/>
      <c r="T332" s="103"/>
      <c r="U332" s="103"/>
    </row>
    <row r="333" customFormat="false" ht="22.5" hidden="false" customHeight="true" outlineLevel="0" collapsed="false">
      <c r="A333" s="99"/>
      <c r="B333" s="99"/>
      <c r="C333" s="99"/>
      <c r="D333" s="121"/>
      <c r="E333" s="99"/>
      <c r="F333" s="124" t="str">
        <f aca="false">IF(E333="CONTADO", 4%, IF(E333="TARJETA / CHEQUE", 3%, IF(OR(E333="FINANCIADO", E333="MCP"), 2.5%, "")))</f>
        <v/>
      </c>
      <c r="G333" s="121" t="str">
        <f aca="false">IF(F333="", "", F333*D333)</f>
        <v/>
      </c>
      <c r="H333" s="132" t="b">
        <f aca="false">FALSE()</f>
        <v>0</v>
      </c>
      <c r="I333" s="132" t="b">
        <f aca="false">FALSE()</f>
        <v>0</v>
      </c>
      <c r="J333" s="126"/>
      <c r="K333" s="99"/>
      <c r="L333" s="83"/>
      <c r="M333" s="103"/>
      <c r="N333" s="103"/>
      <c r="O333" s="103"/>
      <c r="P333" s="103"/>
      <c r="Q333" s="103"/>
      <c r="R333" s="83"/>
      <c r="S333" s="103"/>
      <c r="T333" s="103"/>
      <c r="U333" s="103"/>
    </row>
    <row r="334" customFormat="false" ht="22.5" hidden="false" customHeight="true" outlineLevel="0" collapsed="false">
      <c r="A334" s="110"/>
      <c r="B334" s="110"/>
      <c r="C334" s="110"/>
      <c r="D334" s="122"/>
      <c r="E334" s="110"/>
      <c r="F334" s="128" t="str">
        <f aca="false">IF(E334="CONTADO", 4%, IF(E334="TARJETA / CHEQUE", 3%, IF(OR(E334="FINANCIADO", E334="MCP"), 2.5%, "")))</f>
        <v/>
      </c>
      <c r="G334" s="122" t="str">
        <f aca="false">IF(F334="", "", F334*D334)</f>
        <v/>
      </c>
      <c r="H334" s="131" t="b">
        <f aca="false">FALSE()</f>
        <v>0</v>
      </c>
      <c r="I334" s="131" t="b">
        <f aca="false">FALSE()</f>
        <v>0</v>
      </c>
      <c r="J334" s="130"/>
      <c r="K334" s="110"/>
      <c r="L334" s="83"/>
      <c r="M334" s="103"/>
      <c r="N334" s="103"/>
      <c r="O334" s="103"/>
      <c r="P334" s="103"/>
      <c r="Q334" s="103"/>
      <c r="R334" s="83"/>
      <c r="S334" s="103"/>
      <c r="T334" s="103"/>
      <c r="U334" s="103"/>
    </row>
    <row r="335" customFormat="false" ht="22.5" hidden="false" customHeight="true" outlineLevel="0" collapsed="false">
      <c r="A335" s="99"/>
      <c r="B335" s="99"/>
      <c r="C335" s="99"/>
      <c r="D335" s="121"/>
      <c r="E335" s="99"/>
      <c r="F335" s="124" t="str">
        <f aca="false">IF(E335="CONTADO", 4%, IF(E335="TARJETA / CHEQUE", 3%, IF(OR(E335="FINANCIADO", E335="MCP"), 2.5%, "")))</f>
        <v/>
      </c>
      <c r="G335" s="121" t="str">
        <f aca="false">IF(F335="", "", F335*D335)</f>
        <v/>
      </c>
      <c r="H335" s="132" t="b">
        <f aca="false">FALSE()</f>
        <v>0</v>
      </c>
      <c r="I335" s="132" t="b">
        <f aca="false">FALSE()</f>
        <v>0</v>
      </c>
      <c r="J335" s="126"/>
      <c r="K335" s="99"/>
      <c r="L335" s="83"/>
      <c r="M335" s="103"/>
      <c r="N335" s="103"/>
      <c r="O335" s="103"/>
      <c r="P335" s="103"/>
      <c r="Q335" s="103"/>
      <c r="R335" s="83"/>
      <c r="S335" s="103"/>
      <c r="T335" s="103"/>
      <c r="U335" s="103"/>
    </row>
    <row r="336" customFormat="false" ht="22.5" hidden="false" customHeight="true" outlineLevel="0" collapsed="false">
      <c r="A336" s="110"/>
      <c r="B336" s="110"/>
      <c r="C336" s="110"/>
      <c r="D336" s="122"/>
      <c r="E336" s="110"/>
      <c r="F336" s="128" t="str">
        <f aca="false">IF(E336="CONTADO", 4%, IF(E336="TARJETA / CHEQUE", 3%, IF(OR(E336="FINANCIADO", E336="MCP"), 2.5%, "")))</f>
        <v/>
      </c>
      <c r="G336" s="122" t="str">
        <f aca="false">IF(F336="", "", F336*D336)</f>
        <v/>
      </c>
      <c r="H336" s="131" t="b">
        <f aca="false">FALSE()</f>
        <v>0</v>
      </c>
      <c r="I336" s="131" t="b">
        <f aca="false">FALSE()</f>
        <v>0</v>
      </c>
      <c r="J336" s="130"/>
      <c r="K336" s="110"/>
      <c r="L336" s="83"/>
      <c r="M336" s="103"/>
      <c r="N336" s="103"/>
      <c r="O336" s="103"/>
      <c r="P336" s="103"/>
      <c r="Q336" s="103"/>
      <c r="R336" s="83"/>
      <c r="S336" s="103"/>
      <c r="T336" s="103"/>
      <c r="U336" s="103"/>
    </row>
    <row r="337" customFormat="false" ht="22.5" hidden="false" customHeight="true" outlineLevel="0" collapsed="false">
      <c r="A337" s="99"/>
      <c r="B337" s="99"/>
      <c r="C337" s="99"/>
      <c r="D337" s="121"/>
      <c r="E337" s="99"/>
      <c r="F337" s="124" t="str">
        <f aca="false">IF(E337="CONTADO", 4%, IF(E337="TARJETA / CHEQUE", 3%, IF(OR(E337="FINANCIADO", E337="MCP"), 2.5%, "")))</f>
        <v/>
      </c>
      <c r="G337" s="121" t="str">
        <f aca="false">IF(F337="", "", F337*D337)</f>
        <v/>
      </c>
      <c r="H337" s="132" t="b">
        <f aca="false">FALSE()</f>
        <v>0</v>
      </c>
      <c r="I337" s="132" t="b">
        <f aca="false">FALSE()</f>
        <v>0</v>
      </c>
      <c r="J337" s="126"/>
      <c r="K337" s="99"/>
      <c r="L337" s="83"/>
      <c r="M337" s="103"/>
      <c r="N337" s="103"/>
      <c r="O337" s="103"/>
      <c r="P337" s="103"/>
      <c r="Q337" s="103"/>
      <c r="R337" s="83"/>
      <c r="S337" s="103"/>
      <c r="T337" s="103"/>
      <c r="U337" s="103"/>
    </row>
    <row r="338" customFormat="false" ht="22.5" hidden="false" customHeight="true" outlineLevel="0" collapsed="false">
      <c r="A338" s="110"/>
      <c r="B338" s="110"/>
      <c r="C338" s="110"/>
      <c r="D338" s="122"/>
      <c r="E338" s="110"/>
      <c r="F338" s="128" t="str">
        <f aca="false">IF(E338="CONTADO", 4%, IF(E338="TARJETA / CHEQUE", 3%, IF(OR(E338="FINANCIADO", E338="MCP"), 2.5%, "")))</f>
        <v/>
      </c>
      <c r="G338" s="122" t="str">
        <f aca="false">IF(F338="", "", F338*D338)</f>
        <v/>
      </c>
      <c r="H338" s="131" t="b">
        <f aca="false">FALSE()</f>
        <v>0</v>
      </c>
      <c r="I338" s="131" t="b">
        <f aca="false">FALSE()</f>
        <v>0</v>
      </c>
      <c r="J338" s="130"/>
      <c r="K338" s="110"/>
      <c r="L338" s="83"/>
      <c r="M338" s="103"/>
      <c r="N338" s="103"/>
      <c r="O338" s="103"/>
      <c r="P338" s="103"/>
      <c r="Q338" s="103"/>
      <c r="R338" s="83"/>
      <c r="S338" s="103"/>
      <c r="T338" s="103"/>
      <c r="U338" s="103"/>
    </row>
    <row r="339" customFormat="false" ht="22.5" hidden="false" customHeight="true" outlineLevel="0" collapsed="false">
      <c r="A339" s="99"/>
      <c r="B339" s="99"/>
      <c r="C339" s="99"/>
      <c r="D339" s="121"/>
      <c r="E339" s="99"/>
      <c r="F339" s="124" t="str">
        <f aca="false">IF(E339="CONTADO", 4%, IF(E339="TARJETA / CHEQUE", 3%, IF(OR(E339="FINANCIADO", E339="MCP"), 2.5%, "")))</f>
        <v/>
      </c>
      <c r="G339" s="121" t="str">
        <f aca="false">IF(F339="", "", F339*D339)</f>
        <v/>
      </c>
      <c r="H339" s="132" t="b">
        <f aca="false">FALSE()</f>
        <v>0</v>
      </c>
      <c r="I339" s="132" t="b">
        <f aca="false">FALSE()</f>
        <v>0</v>
      </c>
      <c r="J339" s="126"/>
      <c r="K339" s="99"/>
      <c r="L339" s="83"/>
      <c r="M339" s="103"/>
      <c r="N339" s="103"/>
      <c r="O339" s="103"/>
      <c r="P339" s="103"/>
      <c r="Q339" s="103"/>
      <c r="R339" s="83"/>
      <c r="S339" s="103"/>
      <c r="T339" s="103"/>
      <c r="U339" s="103"/>
    </row>
    <row r="340" customFormat="false" ht="22.5" hidden="false" customHeight="true" outlineLevel="0" collapsed="false">
      <c r="A340" s="110"/>
      <c r="B340" s="110"/>
      <c r="C340" s="110"/>
      <c r="D340" s="122"/>
      <c r="E340" s="110"/>
      <c r="F340" s="128" t="str">
        <f aca="false">IF(E340="CONTADO", 4%, IF(E340="TARJETA / CHEQUE", 3%, IF(OR(E340="FINANCIADO", E340="MCP"), 2.5%, "")))</f>
        <v/>
      </c>
      <c r="G340" s="122" t="str">
        <f aca="false">IF(F340="", "", F340*D340)</f>
        <v/>
      </c>
      <c r="H340" s="131" t="b">
        <f aca="false">FALSE()</f>
        <v>0</v>
      </c>
      <c r="I340" s="131" t="b">
        <f aca="false">FALSE()</f>
        <v>0</v>
      </c>
      <c r="J340" s="130"/>
      <c r="K340" s="110"/>
      <c r="L340" s="83"/>
      <c r="M340" s="103"/>
      <c r="N340" s="103"/>
      <c r="O340" s="103"/>
      <c r="P340" s="103"/>
      <c r="Q340" s="103"/>
      <c r="R340" s="83"/>
      <c r="S340" s="103"/>
      <c r="T340" s="103"/>
      <c r="U340" s="103"/>
    </row>
    <row r="341" customFormat="false" ht="22.5" hidden="false" customHeight="true" outlineLevel="0" collapsed="false">
      <c r="A341" s="99"/>
      <c r="B341" s="99"/>
      <c r="C341" s="99"/>
      <c r="D341" s="121"/>
      <c r="E341" s="99"/>
      <c r="F341" s="124" t="str">
        <f aca="false">IF(E341="CONTADO", 4%, IF(E341="TARJETA / CHEQUE", 3%, IF(OR(E341="FINANCIADO", E341="MCP"), 2.5%, "")))</f>
        <v/>
      </c>
      <c r="G341" s="121" t="str">
        <f aca="false">IF(F341="", "", F341*D341)</f>
        <v/>
      </c>
      <c r="H341" s="132" t="b">
        <f aca="false">FALSE()</f>
        <v>0</v>
      </c>
      <c r="I341" s="132" t="b">
        <f aca="false">FALSE()</f>
        <v>0</v>
      </c>
      <c r="J341" s="126"/>
      <c r="K341" s="99"/>
      <c r="L341" s="83"/>
      <c r="M341" s="103"/>
      <c r="N341" s="103"/>
      <c r="O341" s="103"/>
      <c r="P341" s="103"/>
      <c r="Q341" s="103"/>
      <c r="R341" s="83"/>
      <c r="S341" s="103"/>
      <c r="T341" s="103"/>
      <c r="U341" s="103"/>
    </row>
    <row r="342" customFormat="false" ht="22.5" hidden="false" customHeight="true" outlineLevel="0" collapsed="false">
      <c r="A342" s="110"/>
      <c r="B342" s="110"/>
      <c r="C342" s="110"/>
      <c r="D342" s="122"/>
      <c r="E342" s="110"/>
      <c r="F342" s="128" t="str">
        <f aca="false">IF(E342="CONTADO", 4%, IF(E342="TARJETA / CHEQUE", 3%, IF(OR(E342="FINANCIADO", E342="MCP"), 2.5%, "")))</f>
        <v/>
      </c>
      <c r="G342" s="122" t="str">
        <f aca="false">IF(F342="", "", F342*D342)</f>
        <v/>
      </c>
      <c r="H342" s="131" t="b">
        <f aca="false">FALSE()</f>
        <v>0</v>
      </c>
      <c r="I342" s="131" t="b">
        <f aca="false">FALSE()</f>
        <v>0</v>
      </c>
      <c r="J342" s="130"/>
      <c r="K342" s="110"/>
      <c r="L342" s="83"/>
      <c r="M342" s="103"/>
      <c r="N342" s="103"/>
      <c r="O342" s="103"/>
      <c r="P342" s="103"/>
      <c r="Q342" s="103"/>
      <c r="R342" s="83"/>
      <c r="S342" s="103"/>
      <c r="T342" s="103"/>
      <c r="U342" s="103"/>
    </row>
    <row r="343" customFormat="false" ht="22.5" hidden="false" customHeight="true" outlineLevel="0" collapsed="false">
      <c r="A343" s="99"/>
      <c r="B343" s="99"/>
      <c r="C343" s="99"/>
      <c r="D343" s="121"/>
      <c r="E343" s="99"/>
      <c r="F343" s="124" t="str">
        <f aca="false">IF(E343="CONTADO", 4%, IF(E343="TARJETA / CHEQUE", 3%, IF(OR(E343="FINANCIADO", E343="MCP"), 2.5%, "")))</f>
        <v/>
      </c>
      <c r="G343" s="121" t="str">
        <f aca="false">IF(F343="", "", F343*D343)</f>
        <v/>
      </c>
      <c r="H343" s="132" t="b">
        <f aca="false">FALSE()</f>
        <v>0</v>
      </c>
      <c r="I343" s="132" t="b">
        <f aca="false">FALSE()</f>
        <v>0</v>
      </c>
      <c r="J343" s="126"/>
      <c r="K343" s="99"/>
      <c r="L343" s="83"/>
      <c r="M343" s="103"/>
      <c r="N343" s="103"/>
      <c r="O343" s="103"/>
      <c r="P343" s="103"/>
      <c r="Q343" s="103"/>
      <c r="R343" s="83"/>
      <c r="S343" s="103"/>
      <c r="T343" s="103"/>
      <c r="U343" s="103"/>
    </row>
    <row r="344" customFormat="false" ht="22.5" hidden="false" customHeight="true" outlineLevel="0" collapsed="false">
      <c r="A344" s="110"/>
      <c r="B344" s="110"/>
      <c r="C344" s="110"/>
      <c r="D344" s="122"/>
      <c r="E344" s="110"/>
      <c r="F344" s="128" t="str">
        <f aca="false">IF(E344="CONTADO", 4%, IF(E344="TARJETA / CHEQUE", 3%, IF(OR(E344="FINANCIADO", E344="MCP"), 2.5%, "")))</f>
        <v/>
      </c>
      <c r="G344" s="122" t="str">
        <f aca="false">IF(F344="", "", F344*D344)</f>
        <v/>
      </c>
      <c r="H344" s="131" t="b">
        <f aca="false">FALSE()</f>
        <v>0</v>
      </c>
      <c r="I344" s="131" t="b">
        <f aca="false">FALSE()</f>
        <v>0</v>
      </c>
      <c r="J344" s="130"/>
      <c r="K344" s="110"/>
      <c r="L344" s="83"/>
      <c r="M344" s="103"/>
      <c r="N344" s="103"/>
      <c r="O344" s="103"/>
      <c r="P344" s="103"/>
      <c r="Q344" s="103"/>
      <c r="R344" s="83"/>
      <c r="S344" s="103"/>
      <c r="T344" s="103"/>
      <c r="U344" s="103"/>
    </row>
    <row r="345" customFormat="false" ht="22.5" hidden="false" customHeight="true" outlineLevel="0" collapsed="false">
      <c r="A345" s="99"/>
      <c r="B345" s="99"/>
      <c r="C345" s="99"/>
      <c r="D345" s="121"/>
      <c r="E345" s="99"/>
      <c r="F345" s="124" t="str">
        <f aca="false">IF(E345="CONTADO", 4%, IF(E345="TARJETA / CHEQUE", 3%, IF(OR(E345="FINANCIADO", E345="MCP"), 2.5%, "")))</f>
        <v/>
      </c>
      <c r="G345" s="121" t="str">
        <f aca="false">IF(F345="", "", F345*D345)</f>
        <v/>
      </c>
      <c r="H345" s="132" t="b">
        <f aca="false">FALSE()</f>
        <v>0</v>
      </c>
      <c r="I345" s="132" t="b">
        <f aca="false">FALSE()</f>
        <v>0</v>
      </c>
      <c r="J345" s="126"/>
      <c r="K345" s="99"/>
      <c r="L345" s="83"/>
      <c r="M345" s="103"/>
      <c r="N345" s="103"/>
      <c r="O345" s="103"/>
      <c r="P345" s="103"/>
      <c r="Q345" s="103"/>
      <c r="R345" s="83"/>
      <c r="S345" s="103"/>
      <c r="T345" s="103"/>
      <c r="U345" s="103"/>
    </row>
    <row r="346" customFormat="false" ht="22.5" hidden="false" customHeight="true" outlineLevel="0" collapsed="false">
      <c r="A346" s="110"/>
      <c r="B346" s="110"/>
      <c r="C346" s="110"/>
      <c r="D346" s="122"/>
      <c r="E346" s="110"/>
      <c r="F346" s="128" t="str">
        <f aca="false">IF(E346="CONTADO", 4%, IF(E346="TARJETA / CHEQUE", 3%, IF(OR(E346="FINANCIADO", E346="MCP"), 2.5%, "")))</f>
        <v/>
      </c>
      <c r="G346" s="122" t="str">
        <f aca="false">IF(F346="", "", F346*D346)</f>
        <v/>
      </c>
      <c r="H346" s="131" t="b">
        <f aca="false">FALSE()</f>
        <v>0</v>
      </c>
      <c r="I346" s="131" t="b">
        <f aca="false">FALSE()</f>
        <v>0</v>
      </c>
      <c r="J346" s="130"/>
      <c r="K346" s="110"/>
      <c r="L346" s="83"/>
      <c r="M346" s="103"/>
      <c r="N346" s="103"/>
      <c r="O346" s="103"/>
      <c r="P346" s="103"/>
      <c r="Q346" s="103"/>
      <c r="R346" s="83"/>
      <c r="S346" s="103"/>
      <c r="T346" s="103"/>
      <c r="U346" s="103"/>
    </row>
    <row r="347" customFormat="false" ht="22.5" hidden="false" customHeight="true" outlineLevel="0" collapsed="false">
      <c r="A347" s="99"/>
      <c r="B347" s="99"/>
      <c r="C347" s="99"/>
      <c r="D347" s="121"/>
      <c r="E347" s="99"/>
      <c r="F347" s="124" t="str">
        <f aca="false">IF(E347="CONTADO", 4%, IF(E347="TARJETA / CHEQUE", 3%, IF(OR(E347="FINANCIADO", E347="MCP"), 2.5%, "")))</f>
        <v/>
      </c>
      <c r="G347" s="121" t="str">
        <f aca="false">IF(F347="", "", F347*D347)</f>
        <v/>
      </c>
      <c r="H347" s="132" t="b">
        <f aca="false">FALSE()</f>
        <v>0</v>
      </c>
      <c r="I347" s="132" t="b">
        <f aca="false">FALSE()</f>
        <v>0</v>
      </c>
      <c r="J347" s="126"/>
      <c r="K347" s="99"/>
      <c r="L347" s="83"/>
      <c r="M347" s="103"/>
      <c r="N347" s="103"/>
      <c r="O347" s="103"/>
      <c r="P347" s="103"/>
      <c r="Q347" s="103"/>
      <c r="R347" s="83"/>
      <c r="S347" s="103"/>
      <c r="T347" s="103"/>
      <c r="U347" s="103"/>
    </row>
    <row r="348" customFormat="false" ht="22.5" hidden="false" customHeight="true" outlineLevel="0" collapsed="false">
      <c r="A348" s="110"/>
      <c r="B348" s="110"/>
      <c r="C348" s="110"/>
      <c r="D348" s="122"/>
      <c r="E348" s="110"/>
      <c r="F348" s="128" t="str">
        <f aca="false">IF(E348="CONTADO", 4%, IF(E348="TARJETA / CHEQUE", 3%, IF(OR(E348="FINANCIADO", E348="MCP"), 2.5%, "")))</f>
        <v/>
      </c>
      <c r="G348" s="122" t="str">
        <f aca="false">IF(F348="", "", F348*D348)</f>
        <v/>
      </c>
      <c r="H348" s="131" t="b">
        <f aca="false">FALSE()</f>
        <v>0</v>
      </c>
      <c r="I348" s="131" t="b">
        <f aca="false">FALSE()</f>
        <v>0</v>
      </c>
      <c r="J348" s="130"/>
      <c r="K348" s="110"/>
      <c r="L348" s="83"/>
      <c r="M348" s="103"/>
      <c r="N348" s="103"/>
      <c r="O348" s="103"/>
      <c r="P348" s="103"/>
      <c r="Q348" s="103"/>
      <c r="R348" s="83"/>
      <c r="S348" s="103"/>
      <c r="T348" s="103"/>
      <c r="U348" s="103"/>
    </row>
    <row r="349" customFormat="false" ht="22.5" hidden="false" customHeight="true" outlineLevel="0" collapsed="false">
      <c r="A349" s="99"/>
      <c r="B349" s="99"/>
      <c r="C349" s="99"/>
      <c r="D349" s="121"/>
      <c r="E349" s="99"/>
      <c r="F349" s="124" t="str">
        <f aca="false">IF(E349="CONTADO", 4%, IF(E349="TARJETA / CHEQUE", 3%, IF(OR(E349="FINANCIADO", E349="MCP"), 2.5%, "")))</f>
        <v/>
      </c>
      <c r="G349" s="121" t="str">
        <f aca="false">IF(F349="", "", F349*D349)</f>
        <v/>
      </c>
      <c r="H349" s="132" t="b">
        <f aca="false">FALSE()</f>
        <v>0</v>
      </c>
      <c r="I349" s="132" t="b">
        <f aca="false">FALSE()</f>
        <v>0</v>
      </c>
      <c r="J349" s="126"/>
      <c r="K349" s="99"/>
      <c r="L349" s="83"/>
      <c r="M349" s="103"/>
      <c r="N349" s="103"/>
      <c r="O349" s="103"/>
      <c r="P349" s="103"/>
      <c r="Q349" s="103"/>
      <c r="R349" s="83"/>
      <c r="S349" s="103"/>
      <c r="T349" s="103"/>
      <c r="U349" s="103"/>
    </row>
    <row r="350" customFormat="false" ht="22.5" hidden="false" customHeight="true" outlineLevel="0" collapsed="false">
      <c r="A350" s="110"/>
      <c r="B350" s="110"/>
      <c r="C350" s="110"/>
      <c r="D350" s="122"/>
      <c r="E350" s="110"/>
      <c r="F350" s="128" t="str">
        <f aca="false">IF(E350="CONTADO", 4%, IF(E350="TARJETA / CHEQUE", 3%, IF(OR(E350="FINANCIADO", E350="MCP"), 2.5%, "")))</f>
        <v/>
      </c>
      <c r="G350" s="122" t="str">
        <f aca="false">IF(F350="", "", F350*D350)</f>
        <v/>
      </c>
      <c r="H350" s="131" t="b">
        <f aca="false">FALSE()</f>
        <v>0</v>
      </c>
      <c r="I350" s="131" t="b">
        <f aca="false">FALSE()</f>
        <v>0</v>
      </c>
      <c r="J350" s="130"/>
      <c r="K350" s="110"/>
      <c r="L350" s="83"/>
      <c r="M350" s="103"/>
      <c r="N350" s="103"/>
      <c r="O350" s="103"/>
      <c r="P350" s="103"/>
      <c r="Q350" s="103"/>
      <c r="R350" s="83"/>
      <c r="S350" s="103"/>
      <c r="T350" s="103"/>
      <c r="U350" s="103"/>
    </row>
    <row r="351" customFormat="false" ht="22.5" hidden="false" customHeight="true" outlineLevel="0" collapsed="false">
      <c r="A351" s="99"/>
      <c r="B351" s="99"/>
      <c r="C351" s="99"/>
      <c r="D351" s="121"/>
      <c r="E351" s="99"/>
      <c r="F351" s="124" t="str">
        <f aca="false">IF(E351="CONTADO", 4%, IF(E351="TARJETA / CHEQUE", 3%, IF(OR(E351="FINANCIADO", E351="MCP"), 2.5%, "")))</f>
        <v/>
      </c>
      <c r="G351" s="121" t="str">
        <f aca="false">IF(F351="", "", F351*D351)</f>
        <v/>
      </c>
      <c r="H351" s="132" t="b">
        <f aca="false">FALSE()</f>
        <v>0</v>
      </c>
      <c r="I351" s="132" t="b">
        <f aca="false">FALSE()</f>
        <v>0</v>
      </c>
      <c r="J351" s="126"/>
      <c r="K351" s="99"/>
      <c r="L351" s="83"/>
      <c r="M351" s="103"/>
      <c r="N351" s="103"/>
      <c r="O351" s="103"/>
      <c r="P351" s="103"/>
      <c r="Q351" s="103"/>
      <c r="R351" s="83"/>
      <c r="S351" s="103"/>
      <c r="T351" s="103"/>
      <c r="U351" s="103"/>
    </row>
    <row r="352" customFormat="false" ht="22.5" hidden="false" customHeight="true" outlineLevel="0" collapsed="false">
      <c r="A352" s="110"/>
      <c r="B352" s="110"/>
      <c r="C352" s="110"/>
      <c r="D352" s="122"/>
      <c r="E352" s="110"/>
      <c r="F352" s="128" t="str">
        <f aca="false">IF(E352="CONTADO", 4%, IF(E352="TARJETA / CHEQUE", 3%, IF(OR(E352="FINANCIADO", E352="MCP"), 2.5%, "")))</f>
        <v/>
      </c>
      <c r="G352" s="122" t="str">
        <f aca="false">IF(F352="", "", F352*D352)</f>
        <v/>
      </c>
      <c r="H352" s="131" t="b">
        <f aca="false">FALSE()</f>
        <v>0</v>
      </c>
      <c r="I352" s="131" t="b">
        <f aca="false">FALSE()</f>
        <v>0</v>
      </c>
      <c r="J352" s="130"/>
      <c r="K352" s="110"/>
      <c r="L352" s="83"/>
      <c r="M352" s="103"/>
      <c r="N352" s="103"/>
      <c r="O352" s="103"/>
      <c r="P352" s="103"/>
      <c r="Q352" s="103"/>
      <c r="R352" s="83"/>
      <c r="S352" s="103"/>
      <c r="T352" s="103"/>
      <c r="U352" s="103"/>
    </row>
    <row r="353" customFormat="false" ht="22.5" hidden="false" customHeight="true" outlineLevel="0" collapsed="false">
      <c r="A353" s="99"/>
      <c r="B353" s="99"/>
      <c r="C353" s="99"/>
      <c r="D353" s="121"/>
      <c r="E353" s="99"/>
      <c r="F353" s="124" t="str">
        <f aca="false">IF(E353="CONTADO", 4%, IF(E353="TARJETA / CHEQUE", 3%, IF(OR(E353="FINANCIADO", E353="MCP"), 2.5%, "")))</f>
        <v/>
      </c>
      <c r="G353" s="121" t="str">
        <f aca="false">IF(F353="", "", F353*D353)</f>
        <v/>
      </c>
      <c r="H353" s="132" t="b">
        <f aca="false">FALSE()</f>
        <v>0</v>
      </c>
      <c r="I353" s="132" t="b">
        <f aca="false">FALSE()</f>
        <v>0</v>
      </c>
      <c r="J353" s="126"/>
      <c r="K353" s="99"/>
      <c r="L353" s="83"/>
      <c r="M353" s="103"/>
      <c r="N353" s="103"/>
      <c r="O353" s="103"/>
      <c r="P353" s="103"/>
      <c r="Q353" s="103"/>
      <c r="R353" s="83"/>
      <c r="S353" s="103"/>
      <c r="T353" s="103"/>
      <c r="U353" s="103"/>
    </row>
    <row r="354" customFormat="false" ht="22.5" hidden="false" customHeight="true" outlineLevel="0" collapsed="false">
      <c r="A354" s="110"/>
      <c r="B354" s="110"/>
      <c r="C354" s="110"/>
      <c r="D354" s="122"/>
      <c r="E354" s="110"/>
      <c r="F354" s="128" t="str">
        <f aca="false">IF(E354="CONTADO", 4%, IF(E354="TARJETA / CHEQUE", 3%, IF(OR(E354="FINANCIADO", E354="MCP"), 2.5%, "")))</f>
        <v/>
      </c>
      <c r="G354" s="122" t="str">
        <f aca="false">IF(F354="", "", F354*D354)</f>
        <v/>
      </c>
      <c r="H354" s="131" t="b">
        <f aca="false">FALSE()</f>
        <v>0</v>
      </c>
      <c r="I354" s="131" t="b">
        <f aca="false">FALSE()</f>
        <v>0</v>
      </c>
      <c r="J354" s="130"/>
      <c r="K354" s="110"/>
      <c r="L354" s="83"/>
      <c r="M354" s="103"/>
      <c r="N354" s="103"/>
      <c r="O354" s="103"/>
      <c r="P354" s="103"/>
      <c r="Q354" s="103"/>
      <c r="R354" s="83"/>
      <c r="S354" s="103"/>
      <c r="T354" s="103"/>
      <c r="U354" s="103"/>
    </row>
    <row r="355" customFormat="false" ht="22.5" hidden="false" customHeight="true" outlineLevel="0" collapsed="false">
      <c r="A355" s="99"/>
      <c r="B355" s="99"/>
      <c r="C355" s="99"/>
      <c r="D355" s="121"/>
      <c r="E355" s="99"/>
      <c r="F355" s="124" t="str">
        <f aca="false">IF(E355="CONTADO", 4%, IF(E355="TARJETA / CHEQUE", 3%, IF(OR(E355="FINANCIADO", E355="MCP"), 2.5%, "")))</f>
        <v/>
      </c>
      <c r="G355" s="121" t="str">
        <f aca="false">IF(F355="", "", F355*D355)</f>
        <v/>
      </c>
      <c r="H355" s="132" t="b">
        <f aca="false">FALSE()</f>
        <v>0</v>
      </c>
      <c r="I355" s="132" t="b">
        <f aca="false">FALSE()</f>
        <v>0</v>
      </c>
      <c r="J355" s="126"/>
      <c r="K355" s="99"/>
      <c r="L355" s="83"/>
      <c r="M355" s="103"/>
      <c r="N355" s="103"/>
      <c r="O355" s="103"/>
      <c r="P355" s="103"/>
      <c r="Q355" s="103"/>
      <c r="R355" s="83"/>
      <c r="S355" s="103"/>
      <c r="T355" s="103"/>
      <c r="U355" s="103"/>
    </row>
    <row r="356" customFormat="false" ht="22.5" hidden="false" customHeight="true" outlineLevel="0" collapsed="false">
      <c r="A356" s="110"/>
      <c r="B356" s="110"/>
      <c r="C356" s="110"/>
      <c r="D356" s="122"/>
      <c r="E356" s="110"/>
      <c r="F356" s="128" t="str">
        <f aca="false">IF(E356="CONTADO", 4%, IF(E356="TARJETA / CHEQUE", 3%, IF(OR(E356="FINANCIADO", E356="MCP"), 2.5%, "")))</f>
        <v/>
      </c>
      <c r="G356" s="122" t="str">
        <f aca="false">IF(F356="", "", F356*D356)</f>
        <v/>
      </c>
      <c r="H356" s="131" t="b">
        <f aca="false">FALSE()</f>
        <v>0</v>
      </c>
      <c r="I356" s="131" t="b">
        <f aca="false">FALSE()</f>
        <v>0</v>
      </c>
      <c r="J356" s="130"/>
      <c r="K356" s="110"/>
      <c r="L356" s="83"/>
      <c r="M356" s="103"/>
      <c r="N356" s="103"/>
      <c r="O356" s="103"/>
      <c r="P356" s="103"/>
      <c r="Q356" s="103"/>
      <c r="R356" s="83"/>
      <c r="S356" s="103"/>
      <c r="T356" s="103"/>
      <c r="U356" s="103"/>
    </row>
    <row r="357" customFormat="false" ht="22.5" hidden="false" customHeight="true" outlineLevel="0" collapsed="false">
      <c r="A357" s="99"/>
      <c r="B357" s="99"/>
      <c r="C357" s="99"/>
      <c r="D357" s="121"/>
      <c r="E357" s="99"/>
      <c r="F357" s="124" t="str">
        <f aca="false">IF(E357="CONTADO", 4%, IF(E357="TARJETA / CHEQUE", 3%, IF(OR(E357="FINANCIADO", E357="MCP"), 2.5%, "")))</f>
        <v/>
      </c>
      <c r="G357" s="121" t="str">
        <f aca="false">IF(F357="", "", F357*D357)</f>
        <v/>
      </c>
      <c r="H357" s="132" t="b">
        <f aca="false">FALSE()</f>
        <v>0</v>
      </c>
      <c r="I357" s="132" t="b">
        <f aca="false">FALSE()</f>
        <v>0</v>
      </c>
      <c r="J357" s="126"/>
      <c r="K357" s="99"/>
      <c r="L357" s="83"/>
      <c r="M357" s="103"/>
      <c r="N357" s="103"/>
      <c r="O357" s="103"/>
      <c r="P357" s="103"/>
      <c r="Q357" s="103"/>
      <c r="R357" s="83"/>
      <c r="S357" s="103"/>
      <c r="T357" s="103"/>
      <c r="U357" s="103"/>
    </row>
    <row r="358" customFormat="false" ht="22.5" hidden="false" customHeight="true" outlineLevel="0" collapsed="false">
      <c r="A358" s="110"/>
      <c r="B358" s="110"/>
      <c r="C358" s="110"/>
      <c r="D358" s="122"/>
      <c r="E358" s="110"/>
      <c r="F358" s="128" t="str">
        <f aca="false">IF(E358="CONTADO", 4%, IF(E358="TARJETA / CHEQUE", 3%, IF(OR(E358="FINANCIADO", E358="MCP"), 2.5%, "")))</f>
        <v/>
      </c>
      <c r="G358" s="122" t="str">
        <f aca="false">IF(F358="", "", F358*D358)</f>
        <v/>
      </c>
      <c r="H358" s="131" t="b">
        <f aca="false">FALSE()</f>
        <v>0</v>
      </c>
      <c r="I358" s="131" t="b">
        <f aca="false">FALSE()</f>
        <v>0</v>
      </c>
      <c r="J358" s="130"/>
      <c r="K358" s="110"/>
      <c r="L358" s="83"/>
      <c r="M358" s="103"/>
      <c r="N358" s="103"/>
      <c r="O358" s="103"/>
      <c r="P358" s="103"/>
      <c r="Q358" s="103"/>
      <c r="R358" s="83"/>
      <c r="S358" s="103"/>
      <c r="T358" s="103"/>
      <c r="U358" s="103"/>
    </row>
    <row r="359" customFormat="false" ht="22.5" hidden="false" customHeight="true" outlineLevel="0" collapsed="false">
      <c r="A359" s="99"/>
      <c r="B359" s="99"/>
      <c r="C359" s="99"/>
      <c r="D359" s="121"/>
      <c r="E359" s="99"/>
      <c r="F359" s="124" t="str">
        <f aca="false">IF(E359="CONTADO", 4%, IF(E359="TARJETA / CHEQUE", 3%, IF(OR(E359="FINANCIADO", E359="MCP"), 2.5%, "")))</f>
        <v/>
      </c>
      <c r="G359" s="121" t="str">
        <f aca="false">IF(F359="", "", F359*D359)</f>
        <v/>
      </c>
      <c r="H359" s="132" t="b">
        <f aca="false">FALSE()</f>
        <v>0</v>
      </c>
      <c r="I359" s="132" t="b">
        <f aca="false">FALSE()</f>
        <v>0</v>
      </c>
      <c r="J359" s="126"/>
      <c r="K359" s="99"/>
      <c r="L359" s="83"/>
      <c r="M359" s="103"/>
      <c r="N359" s="103"/>
      <c r="O359" s="103"/>
      <c r="P359" s="103"/>
      <c r="Q359" s="103"/>
      <c r="R359" s="83"/>
      <c r="S359" s="103"/>
      <c r="T359" s="103"/>
      <c r="U359" s="103"/>
    </row>
    <row r="360" customFormat="false" ht="22.5" hidden="false" customHeight="true" outlineLevel="0" collapsed="false">
      <c r="A360" s="110"/>
      <c r="B360" s="110"/>
      <c r="C360" s="110"/>
      <c r="D360" s="122"/>
      <c r="E360" s="110"/>
      <c r="F360" s="128" t="str">
        <f aca="false">IF(E360="CONTADO", 4%, IF(E360="TARJETA / CHEQUE", 3%, IF(OR(E360="FINANCIADO", E360="MCP"), 2.5%, "")))</f>
        <v/>
      </c>
      <c r="G360" s="122" t="str">
        <f aca="false">IF(F360="", "", F360*D360)</f>
        <v/>
      </c>
      <c r="H360" s="131" t="b">
        <f aca="false">FALSE()</f>
        <v>0</v>
      </c>
      <c r="I360" s="131" t="b">
        <f aca="false">FALSE()</f>
        <v>0</v>
      </c>
      <c r="J360" s="130"/>
      <c r="K360" s="110"/>
      <c r="L360" s="83"/>
      <c r="M360" s="103"/>
      <c r="N360" s="103"/>
      <c r="O360" s="103"/>
      <c r="P360" s="103"/>
      <c r="Q360" s="103"/>
      <c r="R360" s="83"/>
      <c r="S360" s="103"/>
      <c r="T360" s="103"/>
      <c r="U360" s="103"/>
    </row>
    <row r="361" customFormat="false" ht="22.5" hidden="false" customHeight="true" outlineLevel="0" collapsed="false">
      <c r="A361" s="99"/>
      <c r="B361" s="99"/>
      <c r="C361" s="99"/>
      <c r="D361" s="121"/>
      <c r="E361" s="99"/>
      <c r="F361" s="124" t="str">
        <f aca="false">IF(E361="CONTADO", 4%, IF(E361="TARJETA / CHEQUE", 3%, IF(OR(E361="FINANCIADO", E361="MCP"), 2.5%, "")))</f>
        <v/>
      </c>
      <c r="G361" s="121" t="str">
        <f aca="false">IF(F361="", "", F361*D361)</f>
        <v/>
      </c>
      <c r="H361" s="132" t="b">
        <f aca="false">FALSE()</f>
        <v>0</v>
      </c>
      <c r="I361" s="132" t="b">
        <f aca="false">FALSE()</f>
        <v>0</v>
      </c>
      <c r="J361" s="126"/>
      <c r="K361" s="99"/>
      <c r="L361" s="83"/>
      <c r="M361" s="103"/>
      <c r="N361" s="103"/>
      <c r="O361" s="103"/>
      <c r="P361" s="103"/>
      <c r="Q361" s="103"/>
      <c r="R361" s="83"/>
      <c r="S361" s="103"/>
      <c r="T361" s="103"/>
      <c r="U361" s="103"/>
    </row>
    <row r="362" customFormat="false" ht="22.5" hidden="false" customHeight="true" outlineLevel="0" collapsed="false">
      <c r="A362" s="110"/>
      <c r="B362" s="110"/>
      <c r="C362" s="110"/>
      <c r="D362" s="122"/>
      <c r="E362" s="110"/>
      <c r="F362" s="128" t="str">
        <f aca="false">IF(E362="CONTADO", 4%, IF(E362="TARJETA / CHEQUE", 3%, IF(OR(E362="FINANCIADO", E362="MCP"), 2.5%, "")))</f>
        <v/>
      </c>
      <c r="G362" s="122" t="str">
        <f aca="false">IF(F362="", "", F362*D362)</f>
        <v/>
      </c>
      <c r="H362" s="131" t="b">
        <f aca="false">FALSE()</f>
        <v>0</v>
      </c>
      <c r="I362" s="131" t="b">
        <f aca="false">FALSE()</f>
        <v>0</v>
      </c>
      <c r="J362" s="130"/>
      <c r="K362" s="110"/>
      <c r="L362" s="83"/>
      <c r="M362" s="103"/>
      <c r="N362" s="103"/>
      <c r="O362" s="103"/>
      <c r="P362" s="103"/>
      <c r="Q362" s="103"/>
      <c r="R362" s="83"/>
      <c r="S362" s="103"/>
      <c r="T362" s="103"/>
      <c r="U362" s="103"/>
    </row>
    <row r="363" customFormat="false" ht="22.5" hidden="false" customHeight="true" outlineLevel="0" collapsed="false">
      <c r="A363" s="99"/>
      <c r="B363" s="99"/>
      <c r="C363" s="99"/>
      <c r="D363" s="121"/>
      <c r="E363" s="99"/>
      <c r="F363" s="124" t="str">
        <f aca="false">IF(E363="CONTADO", 4%, IF(E363="TARJETA / CHEQUE", 3%, IF(OR(E363="FINANCIADO", E363="MCP"), 2.5%, "")))</f>
        <v/>
      </c>
      <c r="G363" s="121" t="str">
        <f aca="false">IF(F363="", "", F363*D363)</f>
        <v/>
      </c>
      <c r="H363" s="132" t="b">
        <f aca="false">FALSE()</f>
        <v>0</v>
      </c>
      <c r="I363" s="132" t="b">
        <f aca="false">FALSE()</f>
        <v>0</v>
      </c>
      <c r="J363" s="126"/>
      <c r="K363" s="99"/>
      <c r="L363" s="83"/>
      <c r="M363" s="103"/>
      <c r="N363" s="103"/>
      <c r="O363" s="103"/>
      <c r="P363" s="103"/>
      <c r="Q363" s="103"/>
      <c r="R363" s="83"/>
      <c r="S363" s="103"/>
      <c r="T363" s="103"/>
      <c r="U363" s="103"/>
    </row>
    <row r="364" customFormat="false" ht="22.5" hidden="false" customHeight="true" outlineLevel="0" collapsed="false">
      <c r="A364" s="110"/>
      <c r="B364" s="110"/>
      <c r="C364" s="110"/>
      <c r="D364" s="122"/>
      <c r="E364" s="110"/>
      <c r="F364" s="128" t="str">
        <f aca="false">IF(E364="CONTADO", 4%, IF(E364="TARJETA / CHEQUE", 3%, IF(OR(E364="FINANCIADO", E364="MCP"), 2.5%, "")))</f>
        <v/>
      </c>
      <c r="G364" s="122" t="str">
        <f aca="false">IF(F364="", "", F364*D364)</f>
        <v/>
      </c>
      <c r="H364" s="131" t="b">
        <f aca="false">FALSE()</f>
        <v>0</v>
      </c>
      <c r="I364" s="131" t="b">
        <f aca="false">FALSE()</f>
        <v>0</v>
      </c>
      <c r="J364" s="130"/>
      <c r="K364" s="110"/>
      <c r="L364" s="83"/>
      <c r="M364" s="103"/>
      <c r="N364" s="103"/>
      <c r="O364" s="103"/>
      <c r="P364" s="103"/>
      <c r="Q364" s="103"/>
      <c r="R364" s="83"/>
      <c r="S364" s="103"/>
      <c r="T364" s="103"/>
      <c r="U364" s="103"/>
    </row>
    <row r="365" customFormat="false" ht="22.5" hidden="false" customHeight="true" outlineLevel="0" collapsed="false">
      <c r="A365" s="99"/>
      <c r="B365" s="99"/>
      <c r="C365" s="99"/>
      <c r="D365" s="121"/>
      <c r="E365" s="99"/>
      <c r="F365" s="124" t="str">
        <f aca="false">IF(E365="CONTADO", 4%, IF(E365="TARJETA / CHEQUE", 3%, IF(OR(E365="FINANCIADO", E365="MCP"), 2.5%, "")))</f>
        <v/>
      </c>
      <c r="G365" s="121" t="str">
        <f aca="false">IF(F365="", "", F365*D365)</f>
        <v/>
      </c>
      <c r="H365" s="132" t="b">
        <f aca="false">FALSE()</f>
        <v>0</v>
      </c>
      <c r="I365" s="132" t="b">
        <f aca="false">FALSE()</f>
        <v>0</v>
      </c>
      <c r="J365" s="126"/>
      <c r="K365" s="99"/>
      <c r="L365" s="83"/>
      <c r="M365" s="103"/>
      <c r="N365" s="103"/>
      <c r="O365" s="103"/>
      <c r="P365" s="103"/>
      <c r="Q365" s="103"/>
      <c r="R365" s="83"/>
      <c r="S365" s="103"/>
      <c r="T365" s="103"/>
      <c r="U365" s="103"/>
    </row>
    <row r="366" customFormat="false" ht="22.5" hidden="false" customHeight="true" outlineLevel="0" collapsed="false">
      <c r="A366" s="110"/>
      <c r="B366" s="110"/>
      <c r="C366" s="110"/>
      <c r="D366" s="122"/>
      <c r="E366" s="110"/>
      <c r="F366" s="128" t="str">
        <f aca="false">IF(E366="CONTADO", 4%, IF(E366="TARJETA / CHEQUE", 3%, IF(OR(E366="FINANCIADO", E366="MCP"), 2.5%, "")))</f>
        <v/>
      </c>
      <c r="G366" s="122" t="str">
        <f aca="false">IF(F366="", "", F366*D366)</f>
        <v/>
      </c>
      <c r="H366" s="131" t="b">
        <f aca="false">FALSE()</f>
        <v>0</v>
      </c>
      <c r="I366" s="131" t="b">
        <f aca="false">FALSE()</f>
        <v>0</v>
      </c>
      <c r="J366" s="130"/>
      <c r="K366" s="110"/>
      <c r="L366" s="83"/>
      <c r="M366" s="103"/>
      <c r="N366" s="103"/>
      <c r="O366" s="103"/>
      <c r="P366" s="103"/>
      <c r="Q366" s="103"/>
      <c r="R366" s="83"/>
      <c r="S366" s="103"/>
      <c r="T366" s="103"/>
      <c r="U366" s="103"/>
    </row>
    <row r="367" customFormat="false" ht="22.5" hidden="false" customHeight="true" outlineLevel="0" collapsed="false">
      <c r="A367" s="99"/>
      <c r="B367" s="99"/>
      <c r="C367" s="99"/>
      <c r="D367" s="121"/>
      <c r="E367" s="99"/>
      <c r="F367" s="124" t="str">
        <f aca="false">IF(E367="CONTADO", 4%, IF(E367="TARJETA / CHEQUE", 3%, IF(OR(E367="FINANCIADO", E367="MCP"), 2.5%, "")))</f>
        <v/>
      </c>
      <c r="G367" s="121" t="str">
        <f aca="false">IF(F367="", "", F367*D367)</f>
        <v/>
      </c>
      <c r="H367" s="132" t="b">
        <f aca="false">FALSE()</f>
        <v>0</v>
      </c>
      <c r="I367" s="132" t="b">
        <f aca="false">FALSE()</f>
        <v>0</v>
      </c>
      <c r="J367" s="126"/>
      <c r="K367" s="99"/>
      <c r="L367" s="83"/>
      <c r="M367" s="103"/>
      <c r="N367" s="103"/>
      <c r="O367" s="103"/>
      <c r="P367" s="103"/>
      <c r="Q367" s="103"/>
      <c r="R367" s="83"/>
      <c r="S367" s="103"/>
      <c r="T367" s="103"/>
      <c r="U367" s="103"/>
    </row>
    <row r="368" customFormat="false" ht="22.5" hidden="false" customHeight="true" outlineLevel="0" collapsed="false">
      <c r="A368" s="110"/>
      <c r="B368" s="110"/>
      <c r="C368" s="110"/>
      <c r="D368" s="122"/>
      <c r="E368" s="110"/>
      <c r="F368" s="128" t="str">
        <f aca="false">IF(E368="CONTADO", 4%, IF(E368="TARJETA / CHEQUE", 3%, IF(OR(E368="FINANCIADO", E368="MCP"), 2.5%, "")))</f>
        <v/>
      </c>
      <c r="G368" s="122" t="str">
        <f aca="false">IF(F368="", "", F368*D368)</f>
        <v/>
      </c>
      <c r="H368" s="131" t="b">
        <f aca="false">FALSE()</f>
        <v>0</v>
      </c>
      <c r="I368" s="131" t="b">
        <f aca="false">FALSE()</f>
        <v>0</v>
      </c>
      <c r="J368" s="130"/>
      <c r="K368" s="110"/>
      <c r="L368" s="83"/>
      <c r="M368" s="103"/>
      <c r="N368" s="103"/>
      <c r="O368" s="103"/>
      <c r="P368" s="103"/>
      <c r="Q368" s="103"/>
      <c r="R368" s="83"/>
      <c r="S368" s="103"/>
      <c r="T368" s="103"/>
      <c r="U368" s="103"/>
    </row>
    <row r="369" customFormat="false" ht="22.5" hidden="false" customHeight="true" outlineLevel="0" collapsed="false">
      <c r="A369" s="99"/>
      <c r="B369" s="99"/>
      <c r="C369" s="99"/>
      <c r="D369" s="121"/>
      <c r="E369" s="99"/>
      <c r="F369" s="124" t="str">
        <f aca="false">IF(E369="CONTADO", 4%, IF(E369="TARJETA / CHEQUE", 3%, IF(OR(E369="FINANCIADO", E369="MCP"), 2.5%, "")))</f>
        <v/>
      </c>
      <c r="G369" s="121" t="str">
        <f aca="false">IF(F369="", "", F369*D369)</f>
        <v/>
      </c>
      <c r="H369" s="132" t="b">
        <f aca="false">FALSE()</f>
        <v>0</v>
      </c>
      <c r="I369" s="132" t="b">
        <f aca="false">FALSE()</f>
        <v>0</v>
      </c>
      <c r="J369" s="126"/>
      <c r="K369" s="99"/>
      <c r="L369" s="83"/>
      <c r="M369" s="103"/>
      <c r="N369" s="103"/>
      <c r="O369" s="103"/>
      <c r="P369" s="103"/>
      <c r="Q369" s="103"/>
      <c r="R369" s="83"/>
      <c r="S369" s="103"/>
      <c r="T369" s="103"/>
      <c r="U369" s="103"/>
    </row>
    <row r="370" customFormat="false" ht="22.5" hidden="false" customHeight="true" outlineLevel="0" collapsed="false">
      <c r="A370" s="110"/>
      <c r="B370" s="110"/>
      <c r="C370" s="110"/>
      <c r="D370" s="122"/>
      <c r="E370" s="110"/>
      <c r="F370" s="128" t="str">
        <f aca="false">IF(E370="CONTADO", 4%, IF(E370="TARJETA / CHEQUE", 3%, IF(OR(E370="FINANCIADO", E370="MCP"), 2.5%, "")))</f>
        <v/>
      </c>
      <c r="G370" s="122" t="str">
        <f aca="false">IF(F370="", "", F370*D370)</f>
        <v/>
      </c>
      <c r="H370" s="131" t="b">
        <f aca="false">FALSE()</f>
        <v>0</v>
      </c>
      <c r="I370" s="131" t="b">
        <f aca="false">FALSE()</f>
        <v>0</v>
      </c>
      <c r="J370" s="130"/>
      <c r="K370" s="110"/>
      <c r="L370" s="83"/>
      <c r="M370" s="103"/>
      <c r="N370" s="103"/>
      <c r="O370" s="103"/>
      <c r="P370" s="103"/>
      <c r="Q370" s="103"/>
      <c r="R370" s="83"/>
      <c r="S370" s="103"/>
      <c r="T370" s="103"/>
      <c r="U370" s="103"/>
    </row>
    <row r="371" customFormat="false" ht="22.5" hidden="false" customHeight="true" outlineLevel="0" collapsed="false">
      <c r="A371" s="99"/>
      <c r="B371" s="99"/>
      <c r="C371" s="99"/>
      <c r="D371" s="121"/>
      <c r="E371" s="99"/>
      <c r="F371" s="124" t="str">
        <f aca="false">IF(E371="CONTADO", 4%, IF(E371="TARJETA / CHEQUE", 3%, IF(OR(E371="FINANCIADO", E371="MCP"), 2.5%, "")))</f>
        <v/>
      </c>
      <c r="G371" s="121" t="str">
        <f aca="false">IF(F371="", "", F371*D371)</f>
        <v/>
      </c>
      <c r="H371" s="132" t="b">
        <f aca="false">FALSE()</f>
        <v>0</v>
      </c>
      <c r="I371" s="132" t="b">
        <f aca="false">FALSE()</f>
        <v>0</v>
      </c>
      <c r="J371" s="126"/>
      <c r="K371" s="99"/>
      <c r="L371" s="83"/>
      <c r="M371" s="103"/>
      <c r="N371" s="103"/>
      <c r="O371" s="103"/>
      <c r="P371" s="103"/>
      <c r="Q371" s="103"/>
      <c r="R371" s="83"/>
      <c r="S371" s="103"/>
      <c r="T371" s="103"/>
      <c r="U371" s="103"/>
    </row>
    <row r="372" customFormat="false" ht="22.5" hidden="false" customHeight="true" outlineLevel="0" collapsed="false">
      <c r="A372" s="110"/>
      <c r="B372" s="110"/>
      <c r="C372" s="110"/>
      <c r="D372" s="122"/>
      <c r="E372" s="110"/>
      <c r="F372" s="128" t="str">
        <f aca="false">IF(E372="CONTADO", 4%, IF(E372="TARJETA / CHEQUE", 3%, IF(OR(E372="FINANCIADO", E372="MCP"), 2.5%, "")))</f>
        <v/>
      </c>
      <c r="G372" s="122" t="str">
        <f aca="false">IF(F372="", "", F372*D372)</f>
        <v/>
      </c>
      <c r="H372" s="131" t="b">
        <f aca="false">FALSE()</f>
        <v>0</v>
      </c>
      <c r="I372" s="131" t="b">
        <f aca="false">FALSE()</f>
        <v>0</v>
      </c>
      <c r="J372" s="130"/>
      <c r="K372" s="110"/>
      <c r="L372" s="83"/>
      <c r="M372" s="103"/>
      <c r="N372" s="103"/>
      <c r="O372" s="103"/>
      <c r="P372" s="103"/>
      <c r="Q372" s="103"/>
      <c r="R372" s="83"/>
      <c r="S372" s="103"/>
      <c r="T372" s="103"/>
      <c r="U372" s="103"/>
    </row>
    <row r="373" customFormat="false" ht="22.5" hidden="false" customHeight="true" outlineLevel="0" collapsed="false">
      <c r="A373" s="99"/>
      <c r="B373" s="99"/>
      <c r="C373" s="99"/>
      <c r="D373" s="121"/>
      <c r="E373" s="99"/>
      <c r="F373" s="124" t="str">
        <f aca="false">IF(E373="CONTADO", 4%, IF(E373="TARJETA / CHEQUE", 3%, IF(OR(E373="FINANCIADO", E373="MCP"), 2.5%, "")))</f>
        <v/>
      </c>
      <c r="G373" s="121" t="str">
        <f aca="false">IF(F373="", "", F373*D373)</f>
        <v/>
      </c>
      <c r="H373" s="132" t="b">
        <f aca="false">FALSE()</f>
        <v>0</v>
      </c>
      <c r="I373" s="132" t="b">
        <f aca="false">FALSE()</f>
        <v>0</v>
      </c>
      <c r="J373" s="126"/>
      <c r="K373" s="99"/>
      <c r="L373" s="83"/>
      <c r="M373" s="103"/>
      <c r="N373" s="103"/>
      <c r="O373" s="103"/>
      <c r="P373" s="103"/>
      <c r="Q373" s="103"/>
      <c r="R373" s="83"/>
      <c r="S373" s="103"/>
      <c r="T373" s="103"/>
      <c r="U373" s="103"/>
    </row>
    <row r="374" customFormat="false" ht="22.5" hidden="false" customHeight="true" outlineLevel="0" collapsed="false">
      <c r="A374" s="110"/>
      <c r="B374" s="110"/>
      <c r="C374" s="110"/>
      <c r="D374" s="122"/>
      <c r="E374" s="110"/>
      <c r="F374" s="128" t="str">
        <f aca="false">IF(E374="CONTADO", 4%, IF(E374="TARJETA / CHEQUE", 3%, IF(OR(E374="FINANCIADO", E374="MCP"), 2.5%, "")))</f>
        <v/>
      </c>
      <c r="G374" s="122" t="str">
        <f aca="false">IF(F374="", "", F374*D374)</f>
        <v/>
      </c>
      <c r="H374" s="131" t="b">
        <f aca="false">FALSE()</f>
        <v>0</v>
      </c>
      <c r="I374" s="131" t="b">
        <f aca="false">FALSE()</f>
        <v>0</v>
      </c>
      <c r="J374" s="130"/>
      <c r="K374" s="110"/>
      <c r="L374" s="83"/>
      <c r="M374" s="103"/>
      <c r="N374" s="103"/>
      <c r="O374" s="103"/>
      <c r="P374" s="103"/>
      <c r="Q374" s="103"/>
      <c r="R374" s="83"/>
      <c r="S374" s="103"/>
      <c r="T374" s="103"/>
      <c r="U374" s="103"/>
    </row>
    <row r="375" customFormat="false" ht="22.5" hidden="false" customHeight="true" outlineLevel="0" collapsed="false">
      <c r="A375" s="99"/>
      <c r="B375" s="99"/>
      <c r="C375" s="99"/>
      <c r="D375" s="121"/>
      <c r="E375" s="99"/>
      <c r="F375" s="124" t="str">
        <f aca="false">IF(E375="CONTADO", 4%, IF(E375="TARJETA / CHEQUE", 3%, IF(OR(E375="FINANCIADO", E375="MCP"), 2.5%, "")))</f>
        <v/>
      </c>
      <c r="G375" s="121" t="str">
        <f aca="false">IF(F375="", "", F375*D375)</f>
        <v/>
      </c>
      <c r="H375" s="132" t="b">
        <f aca="false">FALSE()</f>
        <v>0</v>
      </c>
      <c r="I375" s="132" t="b">
        <f aca="false">FALSE()</f>
        <v>0</v>
      </c>
      <c r="J375" s="126"/>
      <c r="K375" s="99"/>
      <c r="L375" s="83"/>
      <c r="M375" s="103"/>
      <c r="N375" s="103"/>
      <c r="O375" s="103"/>
      <c r="P375" s="103"/>
      <c r="Q375" s="103"/>
      <c r="R375" s="83"/>
      <c r="S375" s="103"/>
      <c r="T375" s="103"/>
      <c r="U375" s="103"/>
    </row>
    <row r="376" customFormat="false" ht="22.5" hidden="false" customHeight="true" outlineLevel="0" collapsed="false">
      <c r="A376" s="110"/>
      <c r="B376" s="110"/>
      <c r="C376" s="110"/>
      <c r="D376" s="122"/>
      <c r="E376" s="110"/>
      <c r="F376" s="128" t="str">
        <f aca="false">IF(E376="CONTADO", 4%, IF(E376="TARJETA / CHEQUE", 3%, IF(OR(E376="FINANCIADO", E376="MCP"), 2.5%, "")))</f>
        <v/>
      </c>
      <c r="G376" s="122" t="str">
        <f aca="false">IF(F376="", "", F376*D376)</f>
        <v/>
      </c>
      <c r="H376" s="131" t="b">
        <f aca="false">FALSE()</f>
        <v>0</v>
      </c>
      <c r="I376" s="131" t="b">
        <f aca="false">FALSE()</f>
        <v>0</v>
      </c>
      <c r="J376" s="130"/>
      <c r="K376" s="110"/>
      <c r="L376" s="83"/>
      <c r="M376" s="103"/>
      <c r="N376" s="103"/>
      <c r="O376" s="103"/>
      <c r="P376" s="103"/>
      <c r="Q376" s="103"/>
      <c r="R376" s="83"/>
      <c r="S376" s="103"/>
      <c r="T376" s="103"/>
      <c r="U376" s="103"/>
    </row>
    <row r="377" customFormat="false" ht="22.5" hidden="false" customHeight="true" outlineLevel="0" collapsed="false">
      <c r="A377" s="99"/>
      <c r="B377" s="99"/>
      <c r="C377" s="99"/>
      <c r="D377" s="121"/>
      <c r="E377" s="99"/>
      <c r="F377" s="124" t="str">
        <f aca="false">IF(E377="CONTADO", 4%, IF(E377="TARJETA / CHEQUE", 3%, IF(OR(E377="FINANCIADO", E377="MCP"), 2.5%, "")))</f>
        <v/>
      </c>
      <c r="G377" s="121" t="str">
        <f aca="false">IF(F377="", "", F377*D377)</f>
        <v/>
      </c>
      <c r="H377" s="132" t="b">
        <f aca="false">FALSE()</f>
        <v>0</v>
      </c>
      <c r="I377" s="132" t="b">
        <f aca="false">FALSE()</f>
        <v>0</v>
      </c>
      <c r="J377" s="126"/>
      <c r="K377" s="99"/>
      <c r="L377" s="83"/>
      <c r="M377" s="103"/>
      <c r="N377" s="103"/>
      <c r="O377" s="103"/>
      <c r="P377" s="103"/>
      <c r="Q377" s="103"/>
      <c r="R377" s="83"/>
      <c r="S377" s="103"/>
      <c r="T377" s="103"/>
      <c r="U377" s="103"/>
    </row>
    <row r="378" customFormat="false" ht="22.5" hidden="false" customHeight="true" outlineLevel="0" collapsed="false">
      <c r="A378" s="110"/>
      <c r="B378" s="110"/>
      <c r="C378" s="110"/>
      <c r="D378" s="122"/>
      <c r="E378" s="110"/>
      <c r="F378" s="128" t="str">
        <f aca="false">IF(E378="CONTADO", 4%, IF(E378="TARJETA / CHEQUE", 3%, IF(OR(E378="FINANCIADO", E378="MCP"), 2.5%, "")))</f>
        <v/>
      </c>
      <c r="G378" s="122" t="str">
        <f aca="false">IF(F378="", "", F378*D378)</f>
        <v/>
      </c>
      <c r="H378" s="131" t="b">
        <f aca="false">FALSE()</f>
        <v>0</v>
      </c>
      <c r="I378" s="131" t="b">
        <f aca="false">FALSE()</f>
        <v>0</v>
      </c>
      <c r="J378" s="130"/>
      <c r="K378" s="110"/>
      <c r="L378" s="83"/>
      <c r="M378" s="103"/>
      <c r="N378" s="103"/>
      <c r="O378" s="103"/>
      <c r="P378" s="103"/>
      <c r="Q378" s="103"/>
      <c r="R378" s="83"/>
      <c r="S378" s="103"/>
      <c r="T378" s="103"/>
      <c r="U378" s="103"/>
    </row>
    <row r="379" customFormat="false" ht="22.5" hidden="false" customHeight="true" outlineLevel="0" collapsed="false">
      <c r="A379" s="99"/>
      <c r="B379" s="99"/>
      <c r="C379" s="99"/>
      <c r="D379" s="121"/>
      <c r="E379" s="99"/>
      <c r="F379" s="124" t="str">
        <f aca="false">IF(E379="CONTADO", 4%, IF(E379="TARJETA / CHEQUE", 3%, IF(OR(E379="FINANCIADO", E379="MCP"), 2.5%, "")))</f>
        <v/>
      </c>
      <c r="G379" s="121" t="str">
        <f aca="false">IF(F379="", "", F379*D379)</f>
        <v/>
      </c>
      <c r="H379" s="132" t="b">
        <f aca="false">FALSE()</f>
        <v>0</v>
      </c>
      <c r="I379" s="132" t="b">
        <f aca="false">FALSE()</f>
        <v>0</v>
      </c>
      <c r="J379" s="126"/>
      <c r="K379" s="99"/>
      <c r="L379" s="83"/>
      <c r="M379" s="103"/>
      <c r="N379" s="103"/>
      <c r="O379" s="103"/>
      <c r="P379" s="103"/>
      <c r="Q379" s="103"/>
      <c r="R379" s="83"/>
      <c r="S379" s="103"/>
      <c r="T379" s="103"/>
      <c r="U379" s="103"/>
    </row>
    <row r="380" customFormat="false" ht="22.5" hidden="false" customHeight="true" outlineLevel="0" collapsed="false">
      <c r="A380" s="110"/>
      <c r="B380" s="110"/>
      <c r="C380" s="110"/>
      <c r="D380" s="122"/>
      <c r="E380" s="110"/>
      <c r="F380" s="128" t="str">
        <f aca="false">IF(E380="CONTADO", 4%, IF(E380="TARJETA / CHEQUE", 3%, IF(OR(E380="FINANCIADO", E380="MCP"), 2.5%, "")))</f>
        <v/>
      </c>
      <c r="G380" s="122" t="str">
        <f aca="false">IF(F380="", "", F380*D380)</f>
        <v/>
      </c>
      <c r="H380" s="131" t="b">
        <f aca="false">FALSE()</f>
        <v>0</v>
      </c>
      <c r="I380" s="131" t="b">
        <f aca="false">FALSE()</f>
        <v>0</v>
      </c>
      <c r="J380" s="130"/>
      <c r="K380" s="110"/>
      <c r="L380" s="83"/>
      <c r="M380" s="103"/>
      <c r="N380" s="103"/>
      <c r="O380" s="103"/>
      <c r="P380" s="103"/>
      <c r="Q380" s="103"/>
      <c r="R380" s="83"/>
      <c r="S380" s="103"/>
      <c r="T380" s="103"/>
      <c r="U380" s="103"/>
    </row>
    <row r="381" customFormat="false" ht="22.5" hidden="false" customHeight="true" outlineLevel="0" collapsed="false">
      <c r="A381" s="99"/>
      <c r="B381" s="99"/>
      <c r="C381" s="99"/>
      <c r="D381" s="121"/>
      <c r="E381" s="99"/>
      <c r="F381" s="124" t="str">
        <f aca="false">IF(E381="CONTADO", 4%, IF(E381="TARJETA / CHEQUE", 3%, IF(OR(E381="FINANCIADO", E381="MCP"), 2.5%, "")))</f>
        <v/>
      </c>
      <c r="G381" s="121" t="str">
        <f aca="false">IF(F381="", "", F381*D381)</f>
        <v/>
      </c>
      <c r="H381" s="132" t="b">
        <f aca="false">FALSE()</f>
        <v>0</v>
      </c>
      <c r="I381" s="132" t="b">
        <f aca="false">FALSE()</f>
        <v>0</v>
      </c>
      <c r="J381" s="126"/>
      <c r="K381" s="99"/>
      <c r="L381" s="83"/>
      <c r="M381" s="103"/>
      <c r="N381" s="103"/>
      <c r="O381" s="103"/>
      <c r="P381" s="103"/>
      <c r="Q381" s="103"/>
      <c r="R381" s="83"/>
      <c r="S381" s="103"/>
      <c r="T381" s="103"/>
      <c r="U381" s="103"/>
    </row>
    <row r="382" customFormat="false" ht="22.5" hidden="false" customHeight="true" outlineLevel="0" collapsed="false">
      <c r="A382" s="110"/>
      <c r="B382" s="110"/>
      <c r="C382" s="110"/>
      <c r="D382" s="122"/>
      <c r="E382" s="110"/>
      <c r="F382" s="128" t="str">
        <f aca="false">IF(E382="CONTADO", 4%, IF(E382="TARJETA / CHEQUE", 3%, IF(OR(E382="FINANCIADO", E382="MCP"), 2.5%, "")))</f>
        <v/>
      </c>
      <c r="G382" s="122" t="str">
        <f aca="false">IF(F382="", "", F382*D382)</f>
        <v/>
      </c>
      <c r="H382" s="131" t="b">
        <f aca="false">FALSE()</f>
        <v>0</v>
      </c>
      <c r="I382" s="131" t="b">
        <f aca="false">FALSE()</f>
        <v>0</v>
      </c>
      <c r="J382" s="130"/>
      <c r="K382" s="110"/>
      <c r="L382" s="83"/>
      <c r="M382" s="103"/>
      <c r="N382" s="103"/>
      <c r="O382" s="103"/>
      <c r="P382" s="103"/>
      <c r="Q382" s="103"/>
      <c r="R382" s="83"/>
      <c r="S382" s="103"/>
      <c r="T382" s="103"/>
      <c r="U382" s="103"/>
    </row>
    <row r="383" customFormat="false" ht="22.5" hidden="false" customHeight="true" outlineLevel="0" collapsed="false">
      <c r="A383" s="99"/>
      <c r="B383" s="99"/>
      <c r="C383" s="99"/>
      <c r="D383" s="121"/>
      <c r="E383" s="99"/>
      <c r="F383" s="124" t="str">
        <f aca="false">IF(E383="CONTADO", 4%, IF(E383="TARJETA / CHEQUE", 3%, IF(OR(E383="FINANCIADO", E383="MCP"), 2.5%, "")))</f>
        <v/>
      </c>
      <c r="G383" s="121" t="str">
        <f aca="false">IF(F383="", "", F383*D383)</f>
        <v/>
      </c>
      <c r="H383" s="132" t="b">
        <f aca="false">FALSE()</f>
        <v>0</v>
      </c>
      <c r="I383" s="132" t="b">
        <f aca="false">FALSE()</f>
        <v>0</v>
      </c>
      <c r="J383" s="126"/>
      <c r="K383" s="99"/>
      <c r="L383" s="83"/>
      <c r="M383" s="103"/>
      <c r="N383" s="103"/>
      <c r="O383" s="103"/>
      <c r="P383" s="103"/>
      <c r="Q383" s="103"/>
      <c r="R383" s="83"/>
      <c r="S383" s="103"/>
      <c r="T383" s="103"/>
      <c r="U383" s="103"/>
    </row>
    <row r="384" customFormat="false" ht="22.5" hidden="false" customHeight="true" outlineLevel="0" collapsed="false">
      <c r="A384" s="110"/>
      <c r="B384" s="110"/>
      <c r="C384" s="110"/>
      <c r="D384" s="122"/>
      <c r="E384" s="110"/>
      <c r="F384" s="128" t="str">
        <f aca="false">IF(E384="CONTADO", 4%, IF(E384="TARJETA / CHEQUE", 3%, IF(OR(E384="FINANCIADO", E384="MCP"), 2.5%, "")))</f>
        <v/>
      </c>
      <c r="G384" s="122" t="str">
        <f aca="false">IF(F384="", "", F384*D384)</f>
        <v/>
      </c>
      <c r="H384" s="131" t="b">
        <f aca="false">FALSE()</f>
        <v>0</v>
      </c>
      <c r="I384" s="131" t="b">
        <f aca="false">FALSE()</f>
        <v>0</v>
      </c>
      <c r="J384" s="130"/>
      <c r="K384" s="110"/>
      <c r="L384" s="83"/>
      <c r="M384" s="103"/>
      <c r="N384" s="103"/>
      <c r="O384" s="103"/>
      <c r="P384" s="103"/>
      <c r="Q384" s="103"/>
      <c r="R384" s="83"/>
      <c r="S384" s="103"/>
      <c r="T384" s="103"/>
      <c r="U384" s="103"/>
    </row>
    <row r="385" customFormat="false" ht="22.5" hidden="false" customHeight="true" outlineLevel="0" collapsed="false">
      <c r="A385" s="99"/>
      <c r="B385" s="99"/>
      <c r="C385" s="99"/>
      <c r="D385" s="121"/>
      <c r="E385" s="99"/>
      <c r="F385" s="124" t="str">
        <f aca="false">IF(E385="CONTADO", 4%, IF(E385="TARJETA / CHEQUE", 3%, IF(OR(E385="FINANCIADO", E385="MCP"), 2.5%, "")))</f>
        <v/>
      </c>
      <c r="G385" s="121" t="str">
        <f aca="false">IF(F385="", "", F385*D385)</f>
        <v/>
      </c>
      <c r="H385" s="132" t="b">
        <f aca="false">FALSE()</f>
        <v>0</v>
      </c>
      <c r="I385" s="132" t="b">
        <f aca="false">FALSE()</f>
        <v>0</v>
      </c>
      <c r="J385" s="126"/>
      <c r="K385" s="99"/>
      <c r="L385" s="83"/>
      <c r="M385" s="103"/>
      <c r="N385" s="103"/>
      <c r="O385" s="103"/>
      <c r="P385" s="103"/>
      <c r="Q385" s="103"/>
      <c r="R385" s="83"/>
      <c r="S385" s="103"/>
      <c r="T385" s="103"/>
      <c r="U385" s="103"/>
    </row>
    <row r="386" customFormat="false" ht="22.5" hidden="false" customHeight="true" outlineLevel="0" collapsed="false">
      <c r="A386" s="110"/>
      <c r="B386" s="110"/>
      <c r="C386" s="110"/>
      <c r="D386" s="122"/>
      <c r="E386" s="110"/>
      <c r="F386" s="128" t="str">
        <f aca="false">IF(E386="CONTADO", 4%, IF(E386="TARJETA / CHEQUE", 3%, IF(OR(E386="FINANCIADO", E386="MCP"), 2.5%, "")))</f>
        <v/>
      </c>
      <c r="G386" s="122" t="str">
        <f aca="false">IF(F386="", "", F386*D386)</f>
        <v/>
      </c>
      <c r="H386" s="131" t="b">
        <f aca="false">FALSE()</f>
        <v>0</v>
      </c>
      <c r="I386" s="131" t="b">
        <f aca="false">FALSE()</f>
        <v>0</v>
      </c>
      <c r="J386" s="130"/>
      <c r="K386" s="110"/>
      <c r="L386" s="83"/>
      <c r="M386" s="103"/>
      <c r="N386" s="103"/>
      <c r="O386" s="103"/>
      <c r="P386" s="103"/>
      <c r="Q386" s="103"/>
      <c r="R386" s="83"/>
      <c r="S386" s="103"/>
      <c r="T386" s="103"/>
      <c r="U386" s="103"/>
    </row>
    <row r="387" customFormat="false" ht="22.5" hidden="false" customHeight="true" outlineLevel="0" collapsed="false">
      <c r="A387" s="99"/>
      <c r="B387" s="99"/>
      <c r="C387" s="99"/>
      <c r="D387" s="121"/>
      <c r="E387" s="99"/>
      <c r="F387" s="124" t="str">
        <f aca="false">IF(E387="CONTADO", 4%, IF(E387="TARJETA / CHEQUE", 3%, IF(OR(E387="FINANCIADO", E387="MCP"), 2.5%, "")))</f>
        <v/>
      </c>
      <c r="G387" s="121" t="str">
        <f aca="false">IF(F387="", "", F387*D387)</f>
        <v/>
      </c>
      <c r="H387" s="132" t="b">
        <f aca="false">FALSE()</f>
        <v>0</v>
      </c>
      <c r="I387" s="132" t="b">
        <f aca="false">FALSE()</f>
        <v>0</v>
      </c>
      <c r="J387" s="126"/>
      <c r="K387" s="99"/>
      <c r="L387" s="83"/>
      <c r="M387" s="103"/>
      <c r="N387" s="103"/>
      <c r="O387" s="103"/>
      <c r="P387" s="103"/>
      <c r="Q387" s="103"/>
      <c r="R387" s="83"/>
      <c r="S387" s="103"/>
      <c r="T387" s="103"/>
      <c r="U387" s="103"/>
    </row>
    <row r="388" customFormat="false" ht="22.5" hidden="false" customHeight="true" outlineLevel="0" collapsed="false">
      <c r="A388" s="110"/>
      <c r="B388" s="110"/>
      <c r="C388" s="110"/>
      <c r="D388" s="122"/>
      <c r="E388" s="110"/>
      <c r="F388" s="128" t="str">
        <f aca="false">IF(E388="CONTADO", 4%, IF(E388="TARJETA / CHEQUE", 3%, IF(OR(E388="FINANCIADO", E388="MCP"), 2.5%, "")))</f>
        <v/>
      </c>
      <c r="G388" s="122" t="str">
        <f aca="false">IF(F388="", "", F388*D388)</f>
        <v/>
      </c>
      <c r="H388" s="131" t="b">
        <f aca="false">FALSE()</f>
        <v>0</v>
      </c>
      <c r="I388" s="131" t="b">
        <f aca="false">FALSE()</f>
        <v>0</v>
      </c>
      <c r="J388" s="130"/>
      <c r="K388" s="110"/>
      <c r="L388" s="83"/>
      <c r="M388" s="103"/>
      <c r="N388" s="103"/>
      <c r="O388" s="103"/>
      <c r="P388" s="103"/>
      <c r="Q388" s="103"/>
      <c r="R388" s="83"/>
      <c r="S388" s="103"/>
      <c r="T388" s="103"/>
      <c r="U388" s="103"/>
    </row>
    <row r="389" customFormat="false" ht="22.5" hidden="false" customHeight="true" outlineLevel="0" collapsed="false">
      <c r="A389" s="99"/>
      <c r="B389" s="99"/>
      <c r="C389" s="99"/>
      <c r="D389" s="121"/>
      <c r="E389" s="99"/>
      <c r="F389" s="124" t="str">
        <f aca="false">IF(E389="CONTADO", 4%, IF(E389="TARJETA / CHEQUE", 3%, IF(OR(E389="FINANCIADO", E389="MCP"), 2.5%, "")))</f>
        <v/>
      </c>
      <c r="G389" s="121" t="str">
        <f aca="false">IF(F389="", "", F389*D389)</f>
        <v/>
      </c>
      <c r="H389" s="132" t="b">
        <f aca="false">FALSE()</f>
        <v>0</v>
      </c>
      <c r="I389" s="132" t="b">
        <f aca="false">FALSE()</f>
        <v>0</v>
      </c>
      <c r="J389" s="126"/>
      <c r="K389" s="99"/>
      <c r="L389" s="83"/>
      <c r="M389" s="103"/>
      <c r="N389" s="103"/>
      <c r="O389" s="103"/>
      <c r="P389" s="103"/>
      <c r="Q389" s="103"/>
      <c r="R389" s="83"/>
      <c r="S389" s="103"/>
      <c r="T389" s="103"/>
      <c r="U389" s="103"/>
    </row>
    <row r="390" customFormat="false" ht="22.5" hidden="false" customHeight="true" outlineLevel="0" collapsed="false">
      <c r="A390" s="110"/>
      <c r="B390" s="110"/>
      <c r="C390" s="110"/>
      <c r="D390" s="122"/>
      <c r="E390" s="110"/>
      <c r="F390" s="128" t="str">
        <f aca="false">IF(E390="CONTADO", 4%, IF(E390="TARJETA / CHEQUE", 3%, IF(OR(E390="FINANCIADO", E390="MCP"), 2.5%, "")))</f>
        <v/>
      </c>
      <c r="G390" s="122" t="str">
        <f aca="false">IF(F390="", "", F390*D390)</f>
        <v/>
      </c>
      <c r="H390" s="131" t="b">
        <f aca="false">FALSE()</f>
        <v>0</v>
      </c>
      <c r="I390" s="131" t="b">
        <f aca="false">FALSE()</f>
        <v>0</v>
      </c>
      <c r="J390" s="130"/>
      <c r="K390" s="110"/>
      <c r="L390" s="83"/>
      <c r="M390" s="103"/>
      <c r="N390" s="103"/>
      <c r="O390" s="103"/>
      <c r="P390" s="103"/>
      <c r="Q390" s="103"/>
      <c r="R390" s="83"/>
      <c r="S390" s="103"/>
      <c r="T390" s="103"/>
      <c r="U390" s="103"/>
    </row>
    <row r="391" customFormat="false" ht="22.5" hidden="false" customHeight="true" outlineLevel="0" collapsed="false">
      <c r="A391" s="99"/>
      <c r="B391" s="99"/>
      <c r="C391" s="99"/>
      <c r="D391" s="121"/>
      <c r="E391" s="99"/>
      <c r="F391" s="124" t="str">
        <f aca="false">IF(E391="CONTADO", 4%, IF(E391="TARJETA / CHEQUE", 3%, IF(OR(E391="FINANCIADO", E391="MCP"), 2.5%, "")))</f>
        <v/>
      </c>
      <c r="G391" s="121" t="str">
        <f aca="false">IF(F391="", "", F391*D391)</f>
        <v/>
      </c>
      <c r="H391" s="132" t="b">
        <f aca="false">FALSE()</f>
        <v>0</v>
      </c>
      <c r="I391" s="132" t="b">
        <f aca="false">FALSE()</f>
        <v>0</v>
      </c>
      <c r="J391" s="126"/>
      <c r="K391" s="99"/>
      <c r="L391" s="83"/>
      <c r="M391" s="103"/>
      <c r="N391" s="103"/>
      <c r="O391" s="103"/>
      <c r="P391" s="103"/>
      <c r="Q391" s="103"/>
      <c r="R391" s="83"/>
      <c r="S391" s="103"/>
      <c r="T391" s="103"/>
      <c r="U391" s="103"/>
    </row>
    <row r="392" customFormat="false" ht="22.5" hidden="false" customHeight="true" outlineLevel="0" collapsed="false">
      <c r="A392" s="110"/>
      <c r="B392" s="110"/>
      <c r="C392" s="110"/>
      <c r="D392" s="122"/>
      <c r="E392" s="110"/>
      <c r="F392" s="128" t="str">
        <f aca="false">IF(E392="CONTADO", 4%, IF(E392="TARJETA / CHEQUE", 3%, IF(OR(E392="FINANCIADO", E392="MCP"), 2.5%, "")))</f>
        <v/>
      </c>
      <c r="G392" s="122" t="str">
        <f aca="false">IF(F392="", "", F392*D392)</f>
        <v/>
      </c>
      <c r="H392" s="131" t="b">
        <f aca="false">FALSE()</f>
        <v>0</v>
      </c>
      <c r="I392" s="131" t="b">
        <f aca="false">FALSE()</f>
        <v>0</v>
      </c>
      <c r="J392" s="130"/>
      <c r="K392" s="110"/>
      <c r="L392" s="83"/>
      <c r="M392" s="103"/>
      <c r="N392" s="103"/>
      <c r="O392" s="103"/>
      <c r="P392" s="103"/>
      <c r="Q392" s="103"/>
      <c r="R392" s="83"/>
      <c r="S392" s="103"/>
      <c r="T392" s="103"/>
      <c r="U392" s="103"/>
    </row>
    <row r="393" customFormat="false" ht="22.5" hidden="false" customHeight="true" outlineLevel="0" collapsed="false">
      <c r="A393" s="99"/>
      <c r="B393" s="99"/>
      <c r="C393" s="99"/>
      <c r="D393" s="121"/>
      <c r="E393" s="99"/>
      <c r="F393" s="124" t="str">
        <f aca="false">IF(E393="CONTADO", 4%, IF(E393="TARJETA / CHEQUE", 3%, IF(OR(E393="FINANCIADO", E393="MCP"), 2.5%, "")))</f>
        <v/>
      </c>
      <c r="G393" s="121" t="str">
        <f aca="false">IF(F393="", "", F393*D393)</f>
        <v/>
      </c>
      <c r="H393" s="132" t="b">
        <f aca="false">FALSE()</f>
        <v>0</v>
      </c>
      <c r="I393" s="132" t="b">
        <f aca="false">FALSE()</f>
        <v>0</v>
      </c>
      <c r="J393" s="126"/>
      <c r="K393" s="99"/>
      <c r="L393" s="83"/>
      <c r="M393" s="103"/>
      <c r="N393" s="103"/>
      <c r="O393" s="103"/>
      <c r="P393" s="103"/>
      <c r="Q393" s="103"/>
      <c r="R393" s="83"/>
      <c r="S393" s="103"/>
      <c r="T393" s="103"/>
      <c r="U393" s="103"/>
    </row>
    <row r="394" customFormat="false" ht="22.5" hidden="false" customHeight="true" outlineLevel="0" collapsed="false">
      <c r="A394" s="110"/>
      <c r="B394" s="110"/>
      <c r="C394" s="110"/>
      <c r="D394" s="122"/>
      <c r="E394" s="110"/>
      <c r="F394" s="128" t="str">
        <f aca="false">IF(E394="CONTADO", 4%, IF(E394="TARJETA / CHEQUE", 3%, IF(OR(E394="FINANCIADO", E394="MCP"), 2.5%, "")))</f>
        <v/>
      </c>
      <c r="G394" s="122" t="str">
        <f aca="false">IF(F394="", "", F394*D394)</f>
        <v/>
      </c>
      <c r="H394" s="131" t="b">
        <f aca="false">FALSE()</f>
        <v>0</v>
      </c>
      <c r="I394" s="131" t="b">
        <f aca="false">FALSE()</f>
        <v>0</v>
      </c>
      <c r="J394" s="130"/>
      <c r="K394" s="110"/>
      <c r="L394" s="83"/>
      <c r="M394" s="103"/>
      <c r="N394" s="103"/>
      <c r="O394" s="103"/>
      <c r="P394" s="103"/>
      <c r="Q394" s="103"/>
      <c r="R394" s="83"/>
      <c r="S394" s="103"/>
      <c r="T394" s="103"/>
      <c r="U394" s="103"/>
    </row>
    <row r="395" customFormat="false" ht="22.5" hidden="false" customHeight="true" outlineLevel="0" collapsed="false">
      <c r="A395" s="99"/>
      <c r="B395" s="99"/>
      <c r="C395" s="99"/>
      <c r="D395" s="121"/>
      <c r="E395" s="99"/>
      <c r="F395" s="124" t="str">
        <f aca="false">IF(E395="CONTADO", 4%, IF(E395="TARJETA / CHEQUE", 3%, IF(OR(E395="FINANCIADO", E395="MCP"), 2.5%, "")))</f>
        <v/>
      </c>
      <c r="G395" s="121" t="str">
        <f aca="false">IF(F395="", "", F395*D395)</f>
        <v/>
      </c>
      <c r="H395" s="132" t="b">
        <f aca="false">FALSE()</f>
        <v>0</v>
      </c>
      <c r="I395" s="132" t="b">
        <f aca="false">FALSE()</f>
        <v>0</v>
      </c>
      <c r="J395" s="126"/>
      <c r="K395" s="99"/>
      <c r="L395" s="83"/>
      <c r="M395" s="103"/>
      <c r="N395" s="103"/>
      <c r="O395" s="103"/>
      <c r="P395" s="103"/>
      <c r="Q395" s="103"/>
      <c r="R395" s="83"/>
      <c r="S395" s="103"/>
      <c r="T395" s="103"/>
      <c r="U395" s="103"/>
    </row>
    <row r="396" customFormat="false" ht="22.5" hidden="false" customHeight="true" outlineLevel="0" collapsed="false">
      <c r="A396" s="110"/>
      <c r="B396" s="110"/>
      <c r="C396" s="110"/>
      <c r="D396" s="122"/>
      <c r="E396" s="110"/>
      <c r="F396" s="128" t="str">
        <f aca="false">IF(E396="CONTADO", 4%, IF(E396="TARJETA / CHEQUE", 3%, IF(OR(E396="FINANCIADO", E396="MCP"), 2.5%, "")))</f>
        <v/>
      </c>
      <c r="G396" s="122" t="str">
        <f aca="false">IF(F396="", "", F396*D396)</f>
        <v/>
      </c>
      <c r="H396" s="131" t="b">
        <f aca="false">FALSE()</f>
        <v>0</v>
      </c>
      <c r="I396" s="131" t="b">
        <f aca="false">FALSE()</f>
        <v>0</v>
      </c>
      <c r="J396" s="130"/>
      <c r="K396" s="110"/>
      <c r="L396" s="83"/>
      <c r="M396" s="103"/>
      <c r="N396" s="103"/>
      <c r="O396" s="103"/>
      <c r="P396" s="103"/>
      <c r="Q396" s="103"/>
      <c r="R396" s="83"/>
      <c r="S396" s="103"/>
      <c r="T396" s="103"/>
      <c r="U396" s="103"/>
    </row>
    <row r="397" customFormat="false" ht="22.5" hidden="false" customHeight="true" outlineLevel="0" collapsed="false">
      <c r="A397" s="99"/>
      <c r="B397" s="99"/>
      <c r="C397" s="99"/>
      <c r="D397" s="121"/>
      <c r="E397" s="99"/>
      <c r="F397" s="124" t="str">
        <f aca="false">IF(E397="CONTADO", 4%, IF(E397="TARJETA / CHEQUE", 3%, IF(OR(E397="FINANCIADO", E397="MCP"), 2.5%, "")))</f>
        <v/>
      </c>
      <c r="G397" s="121" t="str">
        <f aca="false">IF(F397="", "", F397*D397)</f>
        <v/>
      </c>
      <c r="H397" s="132" t="b">
        <f aca="false">FALSE()</f>
        <v>0</v>
      </c>
      <c r="I397" s="132" t="b">
        <f aca="false">FALSE()</f>
        <v>0</v>
      </c>
      <c r="J397" s="126"/>
      <c r="K397" s="99"/>
      <c r="L397" s="83"/>
      <c r="M397" s="103"/>
      <c r="N397" s="103"/>
      <c r="O397" s="103"/>
      <c r="P397" s="103"/>
      <c r="Q397" s="103"/>
      <c r="R397" s="83"/>
      <c r="S397" s="103"/>
      <c r="T397" s="103"/>
      <c r="U397" s="103"/>
    </row>
    <row r="398" customFormat="false" ht="22.5" hidden="false" customHeight="true" outlineLevel="0" collapsed="false">
      <c r="A398" s="110"/>
      <c r="B398" s="110"/>
      <c r="C398" s="110"/>
      <c r="D398" s="122"/>
      <c r="E398" s="110"/>
      <c r="F398" s="128" t="str">
        <f aca="false">IF(E398="CONTADO", 4%, IF(E398="TARJETA / CHEQUE", 3%, IF(OR(E398="FINANCIADO", E398="MCP"), 2.5%, "")))</f>
        <v/>
      </c>
      <c r="G398" s="122" t="str">
        <f aca="false">IF(F398="", "", F398*D398)</f>
        <v/>
      </c>
      <c r="H398" s="131" t="b">
        <f aca="false">FALSE()</f>
        <v>0</v>
      </c>
      <c r="I398" s="131" t="b">
        <f aca="false">FALSE()</f>
        <v>0</v>
      </c>
      <c r="J398" s="130"/>
      <c r="K398" s="110"/>
      <c r="L398" s="83"/>
      <c r="M398" s="103"/>
      <c r="N398" s="103"/>
      <c r="O398" s="103"/>
      <c r="P398" s="103"/>
      <c r="Q398" s="103"/>
      <c r="R398" s="83"/>
      <c r="S398" s="103"/>
      <c r="T398" s="103"/>
      <c r="U398" s="103"/>
    </row>
    <row r="399" customFormat="false" ht="22.5" hidden="false" customHeight="true" outlineLevel="0" collapsed="false">
      <c r="A399" s="99"/>
      <c r="B399" s="99"/>
      <c r="C399" s="99"/>
      <c r="D399" s="121"/>
      <c r="E399" s="99"/>
      <c r="F399" s="124" t="str">
        <f aca="false">IF(E399="CONTADO", 4%, IF(E399="TARJETA / CHEQUE", 3%, IF(OR(E399="FINANCIADO", E399="MCP"), 2.5%, "")))</f>
        <v/>
      </c>
      <c r="G399" s="121" t="str">
        <f aca="false">IF(F399="", "", F399*D399)</f>
        <v/>
      </c>
      <c r="H399" s="132" t="b">
        <f aca="false">FALSE()</f>
        <v>0</v>
      </c>
      <c r="I399" s="132" t="b">
        <f aca="false">FALSE()</f>
        <v>0</v>
      </c>
      <c r="J399" s="126"/>
      <c r="K399" s="99"/>
      <c r="L399" s="83"/>
      <c r="M399" s="103"/>
      <c r="N399" s="103"/>
      <c r="O399" s="103"/>
      <c r="P399" s="103"/>
      <c r="Q399" s="103"/>
      <c r="R399" s="83"/>
      <c r="S399" s="103"/>
      <c r="T399" s="103"/>
      <c r="U399" s="103"/>
    </row>
    <row r="400" customFormat="false" ht="22.5" hidden="false" customHeight="true" outlineLevel="0" collapsed="false">
      <c r="A400" s="110"/>
      <c r="B400" s="110"/>
      <c r="C400" s="110"/>
      <c r="D400" s="122"/>
      <c r="E400" s="110"/>
      <c r="F400" s="128" t="str">
        <f aca="false">IF(E400="CONTADO", 4%, IF(E400="TARJETA / CHEQUE", 3%, IF(OR(E400="FINANCIADO", E400="MCP"), 2.5%, "")))</f>
        <v/>
      </c>
      <c r="G400" s="122" t="str">
        <f aca="false">IF(F400="", "", F400*D400)</f>
        <v/>
      </c>
      <c r="H400" s="131" t="b">
        <f aca="false">FALSE()</f>
        <v>0</v>
      </c>
      <c r="I400" s="131" t="b">
        <f aca="false">FALSE()</f>
        <v>0</v>
      </c>
      <c r="J400" s="130"/>
      <c r="K400" s="110"/>
      <c r="L400" s="83"/>
      <c r="M400" s="103"/>
      <c r="N400" s="103"/>
      <c r="O400" s="103"/>
      <c r="P400" s="103"/>
      <c r="Q400" s="103"/>
      <c r="R400" s="83"/>
      <c r="S400" s="103"/>
      <c r="T400" s="103"/>
      <c r="U400" s="103"/>
    </row>
    <row r="401" customFormat="false" ht="22.5" hidden="false" customHeight="true" outlineLevel="0" collapsed="false">
      <c r="A401" s="99"/>
      <c r="B401" s="99"/>
      <c r="C401" s="99"/>
      <c r="D401" s="121"/>
      <c r="E401" s="99"/>
      <c r="F401" s="124" t="str">
        <f aca="false">IF(E401="CONTADO", 4%, IF(E401="TARJETA / CHEQUE", 3%, IF(OR(E401="FINANCIADO", E401="MCP"), 2.5%, "")))</f>
        <v/>
      </c>
      <c r="G401" s="121" t="str">
        <f aca="false">IF(F401="", "", F401*D401)</f>
        <v/>
      </c>
      <c r="H401" s="132" t="b">
        <f aca="false">FALSE()</f>
        <v>0</v>
      </c>
      <c r="I401" s="132" t="b">
        <f aca="false">FALSE()</f>
        <v>0</v>
      </c>
      <c r="J401" s="126"/>
      <c r="K401" s="99"/>
      <c r="L401" s="83"/>
      <c r="M401" s="103"/>
      <c r="N401" s="103"/>
      <c r="O401" s="103"/>
      <c r="P401" s="103"/>
      <c r="Q401" s="103"/>
      <c r="R401" s="83"/>
      <c r="S401" s="103"/>
      <c r="T401" s="103"/>
      <c r="U401" s="103"/>
    </row>
    <row r="402" customFormat="false" ht="22.5" hidden="false" customHeight="true" outlineLevel="0" collapsed="false">
      <c r="A402" s="110"/>
      <c r="B402" s="110"/>
      <c r="C402" s="110"/>
      <c r="D402" s="122"/>
      <c r="E402" s="110"/>
      <c r="F402" s="128" t="str">
        <f aca="false">IF(E402="CONTADO", 4%, IF(E402="TARJETA / CHEQUE", 3%, IF(OR(E402="FINANCIADO", E402="MCP"), 2.5%, "")))</f>
        <v/>
      </c>
      <c r="G402" s="122" t="str">
        <f aca="false">IF(F402="", "", F402*D402)</f>
        <v/>
      </c>
      <c r="H402" s="131" t="b">
        <f aca="false">FALSE()</f>
        <v>0</v>
      </c>
      <c r="I402" s="131" t="b">
        <f aca="false">FALSE()</f>
        <v>0</v>
      </c>
      <c r="J402" s="130"/>
      <c r="K402" s="110"/>
      <c r="L402" s="83"/>
      <c r="M402" s="103"/>
      <c r="N402" s="103"/>
      <c r="O402" s="103"/>
      <c r="P402" s="103"/>
      <c r="Q402" s="103"/>
      <c r="R402" s="83"/>
      <c r="S402" s="103"/>
      <c r="T402" s="103"/>
      <c r="U402" s="103"/>
    </row>
    <row r="403" customFormat="false" ht="22.5" hidden="false" customHeight="true" outlineLevel="0" collapsed="false">
      <c r="A403" s="99"/>
      <c r="B403" s="99"/>
      <c r="C403" s="99"/>
      <c r="D403" s="121"/>
      <c r="E403" s="99"/>
      <c r="F403" s="124" t="str">
        <f aca="false">IF(E403="CONTADO", 4%, IF(E403="TARJETA / CHEQUE", 3%, IF(OR(E403="FINANCIADO", E403="MCP"), 2.5%, "")))</f>
        <v/>
      </c>
      <c r="G403" s="121" t="str">
        <f aca="false">IF(F403="", "", F403*D403)</f>
        <v/>
      </c>
      <c r="H403" s="132" t="b">
        <f aca="false">FALSE()</f>
        <v>0</v>
      </c>
      <c r="I403" s="132" t="b">
        <f aca="false">FALSE()</f>
        <v>0</v>
      </c>
      <c r="J403" s="126"/>
      <c r="K403" s="99"/>
      <c r="L403" s="83"/>
      <c r="M403" s="103"/>
      <c r="N403" s="103"/>
      <c r="O403" s="103"/>
      <c r="P403" s="103"/>
      <c r="Q403" s="103"/>
      <c r="R403" s="83"/>
      <c r="S403" s="103"/>
      <c r="T403" s="103"/>
      <c r="U403" s="103"/>
    </row>
    <row r="404" customFormat="false" ht="22.5" hidden="false" customHeight="true" outlineLevel="0" collapsed="false">
      <c r="A404" s="110"/>
      <c r="B404" s="110"/>
      <c r="C404" s="110"/>
      <c r="D404" s="122"/>
      <c r="E404" s="110"/>
      <c r="F404" s="128" t="str">
        <f aca="false">IF(E404="CONTADO", 4%, IF(E404="TARJETA / CHEQUE", 3%, IF(OR(E404="FINANCIADO", E404="MCP"), 2.5%, "")))</f>
        <v/>
      </c>
      <c r="G404" s="122" t="str">
        <f aca="false">IF(F404="", "", F404*D404)</f>
        <v/>
      </c>
      <c r="H404" s="131" t="b">
        <f aca="false">FALSE()</f>
        <v>0</v>
      </c>
      <c r="I404" s="131" t="b">
        <f aca="false">FALSE()</f>
        <v>0</v>
      </c>
      <c r="J404" s="130"/>
      <c r="K404" s="110"/>
      <c r="L404" s="83"/>
      <c r="M404" s="103"/>
      <c r="N404" s="103"/>
      <c r="O404" s="103"/>
      <c r="P404" s="103"/>
      <c r="Q404" s="103"/>
      <c r="R404" s="83"/>
      <c r="S404" s="103"/>
      <c r="T404" s="103"/>
      <c r="U404" s="103"/>
    </row>
    <row r="405" customFormat="false" ht="22.5" hidden="false" customHeight="true" outlineLevel="0" collapsed="false">
      <c r="A405" s="99"/>
      <c r="B405" s="99"/>
      <c r="C405" s="99"/>
      <c r="D405" s="121"/>
      <c r="E405" s="99"/>
      <c r="F405" s="124" t="str">
        <f aca="false">IF(E405="CONTADO", 4%, IF(E405="TARJETA / CHEQUE", 3%, IF(OR(E405="FINANCIADO", E405="MCP"), 2.5%, "")))</f>
        <v/>
      </c>
      <c r="G405" s="121" t="str">
        <f aca="false">IF(F405="", "", F405*D405)</f>
        <v/>
      </c>
      <c r="H405" s="132" t="b">
        <f aca="false">FALSE()</f>
        <v>0</v>
      </c>
      <c r="I405" s="132" t="b">
        <f aca="false">FALSE()</f>
        <v>0</v>
      </c>
      <c r="J405" s="126"/>
      <c r="K405" s="99"/>
      <c r="L405" s="83"/>
      <c r="M405" s="103"/>
      <c r="N405" s="103"/>
      <c r="O405" s="103"/>
      <c r="P405" s="103"/>
      <c r="Q405" s="103"/>
      <c r="R405" s="83"/>
      <c r="S405" s="103"/>
      <c r="T405" s="103"/>
      <c r="U405" s="103"/>
    </row>
    <row r="406" customFormat="false" ht="22.5" hidden="false" customHeight="true" outlineLevel="0" collapsed="false">
      <c r="A406" s="110"/>
      <c r="B406" s="110"/>
      <c r="C406" s="110"/>
      <c r="D406" s="122"/>
      <c r="E406" s="110"/>
      <c r="F406" s="128" t="str">
        <f aca="false">IF(E406="CONTADO", 4%, IF(E406="TARJETA / CHEQUE", 3%, IF(OR(E406="FINANCIADO", E406="MCP"), 2.5%, "")))</f>
        <v/>
      </c>
      <c r="G406" s="122" t="str">
        <f aca="false">IF(F406="", "", F406*D406)</f>
        <v/>
      </c>
      <c r="H406" s="131" t="b">
        <f aca="false">FALSE()</f>
        <v>0</v>
      </c>
      <c r="I406" s="131" t="b">
        <f aca="false">FALSE()</f>
        <v>0</v>
      </c>
      <c r="J406" s="130"/>
      <c r="K406" s="110"/>
      <c r="L406" s="83"/>
      <c r="M406" s="103"/>
      <c r="N406" s="103"/>
      <c r="O406" s="103"/>
      <c r="P406" s="103"/>
      <c r="Q406" s="103"/>
      <c r="R406" s="83"/>
      <c r="S406" s="103"/>
      <c r="T406" s="103"/>
      <c r="U406" s="103"/>
    </row>
    <row r="407" customFormat="false" ht="22.5" hidden="false" customHeight="true" outlineLevel="0" collapsed="false">
      <c r="A407" s="99"/>
      <c r="B407" s="99"/>
      <c r="C407" s="99"/>
      <c r="D407" s="121"/>
      <c r="E407" s="99"/>
      <c r="F407" s="124" t="str">
        <f aca="false">IF(E407="CONTADO", 4%, IF(E407="TARJETA / CHEQUE", 3%, IF(OR(E407="FINANCIADO", E407="MCP"), 2.5%, "")))</f>
        <v/>
      </c>
      <c r="G407" s="121" t="str">
        <f aca="false">IF(F407="", "", F407*D407)</f>
        <v/>
      </c>
      <c r="H407" s="132" t="b">
        <f aca="false">FALSE()</f>
        <v>0</v>
      </c>
      <c r="I407" s="132" t="b">
        <f aca="false">FALSE()</f>
        <v>0</v>
      </c>
      <c r="J407" s="126"/>
      <c r="K407" s="99"/>
      <c r="L407" s="83"/>
      <c r="M407" s="103"/>
      <c r="N407" s="103"/>
      <c r="O407" s="103"/>
      <c r="P407" s="103"/>
      <c r="Q407" s="103"/>
      <c r="R407" s="83"/>
      <c r="S407" s="103"/>
      <c r="T407" s="103"/>
      <c r="U407" s="103"/>
    </row>
    <row r="408" customFormat="false" ht="22.5" hidden="false" customHeight="true" outlineLevel="0" collapsed="false">
      <c r="A408" s="110"/>
      <c r="B408" s="110"/>
      <c r="C408" s="110"/>
      <c r="D408" s="122"/>
      <c r="E408" s="110"/>
      <c r="F408" s="128" t="str">
        <f aca="false">IF(E408="CONTADO", 4%, IF(E408="TARJETA / CHEQUE", 3%, IF(OR(E408="FINANCIADO", E408="MCP"), 2.5%, "")))</f>
        <v/>
      </c>
      <c r="G408" s="122" t="str">
        <f aca="false">IF(F408="", "", F408*D408)</f>
        <v/>
      </c>
      <c r="H408" s="131" t="b">
        <f aca="false">FALSE()</f>
        <v>0</v>
      </c>
      <c r="I408" s="131" t="b">
        <f aca="false">FALSE()</f>
        <v>0</v>
      </c>
      <c r="J408" s="130"/>
      <c r="K408" s="110"/>
      <c r="L408" s="83"/>
      <c r="M408" s="103"/>
      <c r="N408" s="103"/>
      <c r="O408" s="103"/>
      <c r="P408" s="103"/>
      <c r="Q408" s="103"/>
      <c r="R408" s="83"/>
      <c r="S408" s="103"/>
      <c r="T408" s="103"/>
      <c r="U408" s="103"/>
    </row>
    <row r="409" customFormat="false" ht="22.5" hidden="false" customHeight="true" outlineLevel="0" collapsed="false">
      <c r="A409" s="99"/>
      <c r="B409" s="99"/>
      <c r="C409" s="99"/>
      <c r="D409" s="121"/>
      <c r="E409" s="99"/>
      <c r="F409" s="124" t="str">
        <f aca="false">IF(E409="CONTADO", 4%, IF(E409="TARJETA / CHEQUE", 3%, IF(OR(E409="FINANCIADO", E409="MCP"), 2.5%, "")))</f>
        <v/>
      </c>
      <c r="G409" s="121" t="str">
        <f aca="false">IF(F409="", "", F409*D409)</f>
        <v/>
      </c>
      <c r="H409" s="132" t="b">
        <f aca="false">FALSE()</f>
        <v>0</v>
      </c>
      <c r="I409" s="132" t="b">
        <f aca="false">FALSE()</f>
        <v>0</v>
      </c>
      <c r="J409" s="126"/>
      <c r="K409" s="99"/>
      <c r="L409" s="83"/>
      <c r="M409" s="103"/>
      <c r="N409" s="103"/>
      <c r="O409" s="103"/>
      <c r="P409" s="103"/>
      <c r="Q409" s="103"/>
      <c r="R409" s="83"/>
      <c r="S409" s="103"/>
      <c r="T409" s="103"/>
      <c r="U409" s="103"/>
    </row>
    <row r="410" customFormat="false" ht="22.5" hidden="false" customHeight="true" outlineLevel="0" collapsed="false">
      <c r="A410" s="110"/>
      <c r="B410" s="110"/>
      <c r="C410" s="110"/>
      <c r="D410" s="122"/>
      <c r="E410" s="110"/>
      <c r="F410" s="128" t="str">
        <f aca="false">IF(E410="CONTADO", 4%, IF(E410="TARJETA / CHEQUE", 3%, IF(OR(E410="FINANCIADO", E410="MCP"), 2.5%, "")))</f>
        <v/>
      </c>
      <c r="G410" s="122" t="str">
        <f aca="false">IF(F410="", "", F410*D410)</f>
        <v/>
      </c>
      <c r="H410" s="131" t="b">
        <f aca="false">FALSE()</f>
        <v>0</v>
      </c>
      <c r="I410" s="131" t="b">
        <f aca="false">FALSE()</f>
        <v>0</v>
      </c>
      <c r="J410" s="130"/>
      <c r="K410" s="110"/>
      <c r="L410" s="83"/>
      <c r="M410" s="103"/>
      <c r="N410" s="103"/>
      <c r="O410" s="103"/>
      <c r="P410" s="103"/>
      <c r="Q410" s="103"/>
      <c r="R410" s="83"/>
      <c r="S410" s="103"/>
      <c r="T410" s="103"/>
      <c r="U410" s="103"/>
    </row>
    <row r="411" customFormat="false" ht="22.5" hidden="false" customHeight="true" outlineLevel="0" collapsed="false">
      <c r="A411" s="99"/>
      <c r="B411" s="99"/>
      <c r="C411" s="99"/>
      <c r="D411" s="121"/>
      <c r="E411" s="99"/>
      <c r="F411" s="124" t="str">
        <f aca="false">IF(E411="CONTADO", 4%, IF(E411="TARJETA / CHEQUE", 3%, IF(OR(E411="FINANCIADO", E411="MCP"), 2.5%, "")))</f>
        <v/>
      </c>
      <c r="G411" s="121" t="str">
        <f aca="false">IF(F411="", "", F411*D411)</f>
        <v/>
      </c>
      <c r="H411" s="132" t="b">
        <f aca="false">FALSE()</f>
        <v>0</v>
      </c>
      <c r="I411" s="132" t="b">
        <f aca="false">FALSE()</f>
        <v>0</v>
      </c>
      <c r="J411" s="126"/>
      <c r="K411" s="99"/>
      <c r="L411" s="83"/>
      <c r="M411" s="103"/>
      <c r="N411" s="103"/>
      <c r="O411" s="103"/>
      <c r="P411" s="103"/>
      <c r="Q411" s="103"/>
      <c r="R411" s="83"/>
      <c r="S411" s="103"/>
      <c r="T411" s="103"/>
      <c r="U411" s="103"/>
    </row>
    <row r="412" customFormat="false" ht="22.5" hidden="false" customHeight="true" outlineLevel="0" collapsed="false">
      <c r="A412" s="110"/>
      <c r="B412" s="110"/>
      <c r="C412" s="110"/>
      <c r="D412" s="122"/>
      <c r="E412" s="110"/>
      <c r="F412" s="128" t="str">
        <f aca="false">IF(E412="CONTADO", 4%, IF(E412="TARJETA / CHEQUE", 3%, IF(OR(E412="FINANCIADO", E412="MCP"), 2.5%, "")))</f>
        <v/>
      </c>
      <c r="G412" s="122" t="str">
        <f aca="false">IF(F412="", "", F412*D412)</f>
        <v/>
      </c>
      <c r="H412" s="131" t="b">
        <f aca="false">FALSE()</f>
        <v>0</v>
      </c>
      <c r="I412" s="131" t="b">
        <f aca="false">FALSE()</f>
        <v>0</v>
      </c>
      <c r="J412" s="130"/>
      <c r="K412" s="110"/>
      <c r="L412" s="83"/>
      <c r="M412" s="103"/>
      <c r="N412" s="103"/>
      <c r="O412" s="103"/>
      <c r="P412" s="103"/>
      <c r="Q412" s="103"/>
      <c r="R412" s="83"/>
      <c r="S412" s="103"/>
      <c r="T412" s="103"/>
      <c r="U412" s="103"/>
    </row>
    <row r="413" customFormat="false" ht="22.5" hidden="false" customHeight="true" outlineLevel="0" collapsed="false">
      <c r="A413" s="99"/>
      <c r="B413" s="99"/>
      <c r="C413" s="99"/>
      <c r="D413" s="121"/>
      <c r="E413" s="99"/>
      <c r="F413" s="124" t="str">
        <f aca="false">IF(E413="CONTADO", 4%, IF(E413="TARJETA / CHEQUE", 3%, IF(OR(E413="FINANCIADO", E413="MCP"), 2.5%, "")))</f>
        <v/>
      </c>
      <c r="G413" s="121" t="str">
        <f aca="false">IF(F413="", "", F413*D413)</f>
        <v/>
      </c>
      <c r="H413" s="132" t="b">
        <f aca="false">FALSE()</f>
        <v>0</v>
      </c>
      <c r="I413" s="132" t="b">
        <f aca="false">FALSE()</f>
        <v>0</v>
      </c>
      <c r="J413" s="126"/>
      <c r="K413" s="99"/>
      <c r="L413" s="83"/>
      <c r="M413" s="103"/>
      <c r="N413" s="103"/>
      <c r="O413" s="103"/>
      <c r="P413" s="103"/>
      <c r="Q413" s="103"/>
      <c r="R413" s="83"/>
      <c r="S413" s="103"/>
      <c r="T413" s="103"/>
      <c r="U413" s="103"/>
    </row>
    <row r="414" customFormat="false" ht="22.5" hidden="false" customHeight="true" outlineLevel="0" collapsed="false">
      <c r="A414" s="110"/>
      <c r="B414" s="110"/>
      <c r="C414" s="110"/>
      <c r="D414" s="122"/>
      <c r="E414" s="110"/>
      <c r="F414" s="128" t="str">
        <f aca="false">IF(E414="CONTADO", 4%, IF(E414="TARJETA / CHEQUE", 3%, IF(OR(E414="FINANCIADO", E414="MCP"), 2.5%, "")))</f>
        <v/>
      </c>
      <c r="G414" s="122" t="str">
        <f aca="false">IF(F414="", "", F414*D414)</f>
        <v/>
      </c>
      <c r="H414" s="131" t="b">
        <f aca="false">FALSE()</f>
        <v>0</v>
      </c>
      <c r="I414" s="131" t="b">
        <f aca="false">FALSE()</f>
        <v>0</v>
      </c>
      <c r="J414" s="130"/>
      <c r="K414" s="110"/>
      <c r="L414" s="83"/>
      <c r="M414" s="103"/>
      <c r="N414" s="103"/>
      <c r="O414" s="103"/>
      <c r="P414" s="103"/>
      <c r="Q414" s="103"/>
      <c r="R414" s="83"/>
      <c r="S414" s="103"/>
      <c r="T414" s="103"/>
      <c r="U414" s="103"/>
    </row>
    <row r="415" customFormat="false" ht="22.5" hidden="false" customHeight="true" outlineLevel="0" collapsed="false">
      <c r="A415" s="99"/>
      <c r="B415" s="99"/>
      <c r="C415" s="99"/>
      <c r="D415" s="121"/>
      <c r="E415" s="99"/>
      <c r="F415" s="124" t="str">
        <f aca="false">IF(E415="CONTADO", 4%, IF(E415="TARJETA / CHEQUE", 3%, IF(OR(E415="FINANCIADO", E415="MCP"), 2.5%, "")))</f>
        <v/>
      </c>
      <c r="G415" s="121" t="str">
        <f aca="false">IF(F415="", "", F415*D415)</f>
        <v/>
      </c>
      <c r="H415" s="132" t="b">
        <f aca="false">FALSE()</f>
        <v>0</v>
      </c>
      <c r="I415" s="132" t="b">
        <f aca="false">FALSE()</f>
        <v>0</v>
      </c>
      <c r="J415" s="126"/>
      <c r="K415" s="99"/>
      <c r="L415" s="83"/>
      <c r="M415" s="103"/>
      <c r="N415" s="103"/>
      <c r="O415" s="103"/>
      <c r="P415" s="103"/>
      <c r="Q415" s="103"/>
      <c r="R415" s="83"/>
      <c r="S415" s="103"/>
      <c r="T415" s="103"/>
      <c r="U415" s="103"/>
    </row>
    <row r="416" customFormat="false" ht="22.5" hidden="false" customHeight="true" outlineLevel="0" collapsed="false">
      <c r="A416" s="110"/>
      <c r="B416" s="110"/>
      <c r="C416" s="110"/>
      <c r="D416" s="122"/>
      <c r="E416" s="110"/>
      <c r="F416" s="128" t="str">
        <f aca="false">IF(E416="CONTADO", 4%, IF(E416="TARJETA / CHEQUE", 3%, IF(OR(E416="FINANCIADO", E416="MCP"), 2.5%, "")))</f>
        <v/>
      </c>
      <c r="G416" s="122" t="str">
        <f aca="false">IF(F416="", "", F416*D416)</f>
        <v/>
      </c>
      <c r="H416" s="131" t="b">
        <f aca="false">FALSE()</f>
        <v>0</v>
      </c>
      <c r="I416" s="131" t="b">
        <f aca="false">FALSE()</f>
        <v>0</v>
      </c>
      <c r="J416" s="130"/>
      <c r="K416" s="110"/>
      <c r="L416" s="83"/>
      <c r="M416" s="103"/>
      <c r="N416" s="103"/>
      <c r="O416" s="103"/>
      <c r="P416" s="103"/>
      <c r="Q416" s="103"/>
      <c r="R416" s="83"/>
      <c r="S416" s="103"/>
      <c r="T416" s="103"/>
      <c r="U416" s="103"/>
    </row>
    <row r="417" customFormat="false" ht="22.5" hidden="false" customHeight="true" outlineLevel="0" collapsed="false">
      <c r="A417" s="99"/>
      <c r="B417" s="99"/>
      <c r="C417" s="99"/>
      <c r="D417" s="121"/>
      <c r="E417" s="99"/>
      <c r="F417" s="124" t="str">
        <f aca="false">IF(E417="CONTADO", 4%, IF(E417="TARJETA / CHEQUE", 3%, IF(OR(E417="FINANCIADO", E417="MCP"), 2.5%, "")))</f>
        <v/>
      </c>
      <c r="G417" s="121" t="str">
        <f aca="false">IF(F417="", "", F417*D417)</f>
        <v/>
      </c>
      <c r="H417" s="132" t="b">
        <f aca="false">FALSE()</f>
        <v>0</v>
      </c>
      <c r="I417" s="132" t="b">
        <f aca="false">FALSE()</f>
        <v>0</v>
      </c>
      <c r="J417" s="126"/>
      <c r="K417" s="99"/>
      <c r="L417" s="83"/>
      <c r="M417" s="103"/>
      <c r="N417" s="103"/>
      <c r="O417" s="103"/>
      <c r="P417" s="103"/>
      <c r="Q417" s="103"/>
      <c r="R417" s="83"/>
      <c r="S417" s="103"/>
      <c r="T417" s="103"/>
      <c r="U417" s="103"/>
    </row>
    <row r="418" customFormat="false" ht="22.5" hidden="false" customHeight="true" outlineLevel="0" collapsed="false">
      <c r="A418" s="110"/>
      <c r="B418" s="110"/>
      <c r="C418" s="110"/>
      <c r="D418" s="122"/>
      <c r="E418" s="110"/>
      <c r="F418" s="128" t="str">
        <f aca="false">IF(E418="CONTADO", 4%, IF(E418="TARJETA / CHEQUE", 3%, IF(OR(E418="FINANCIADO", E418="MCP"), 2.5%, "")))</f>
        <v/>
      </c>
      <c r="G418" s="122" t="str">
        <f aca="false">IF(F418="", "", F418*D418)</f>
        <v/>
      </c>
      <c r="H418" s="131" t="b">
        <f aca="false">FALSE()</f>
        <v>0</v>
      </c>
      <c r="I418" s="131" t="b">
        <f aca="false">FALSE()</f>
        <v>0</v>
      </c>
      <c r="J418" s="130"/>
      <c r="K418" s="110"/>
      <c r="L418" s="83"/>
      <c r="M418" s="103"/>
      <c r="N418" s="103"/>
      <c r="O418" s="103"/>
      <c r="P418" s="103"/>
      <c r="Q418" s="103"/>
      <c r="R418" s="83"/>
      <c r="S418" s="103"/>
      <c r="T418" s="103"/>
      <c r="U418" s="103"/>
    </row>
    <row r="419" customFormat="false" ht="22.5" hidden="false" customHeight="true" outlineLevel="0" collapsed="false">
      <c r="A419" s="99"/>
      <c r="B419" s="99"/>
      <c r="C419" s="99"/>
      <c r="D419" s="121"/>
      <c r="E419" s="99"/>
      <c r="F419" s="124" t="str">
        <f aca="false">IF(E419="CONTADO", 4%, IF(E419="TARJETA / CHEQUE", 3%, IF(OR(E419="FINANCIADO", E419="MCP"), 2.5%, "")))</f>
        <v/>
      </c>
      <c r="G419" s="121" t="str">
        <f aca="false">IF(F419="", "", F419*D419)</f>
        <v/>
      </c>
      <c r="H419" s="132" t="b">
        <f aca="false">FALSE()</f>
        <v>0</v>
      </c>
      <c r="I419" s="132" t="b">
        <f aca="false">FALSE()</f>
        <v>0</v>
      </c>
      <c r="J419" s="126"/>
      <c r="K419" s="99"/>
      <c r="L419" s="83"/>
      <c r="M419" s="103"/>
      <c r="N419" s="103"/>
      <c r="O419" s="103"/>
      <c r="P419" s="103"/>
      <c r="Q419" s="103"/>
      <c r="R419" s="83"/>
      <c r="S419" s="103"/>
      <c r="T419" s="103"/>
      <c r="U419" s="103"/>
    </row>
    <row r="420" customFormat="false" ht="22.5" hidden="false" customHeight="true" outlineLevel="0" collapsed="false">
      <c r="A420" s="110"/>
      <c r="B420" s="110"/>
      <c r="C420" s="110"/>
      <c r="D420" s="122"/>
      <c r="E420" s="110"/>
      <c r="F420" s="128" t="str">
        <f aca="false">IF(E420="CONTADO", 4%, IF(E420="TARJETA / CHEQUE", 3%, IF(OR(E420="FINANCIADO", E420="MCP"), 2.5%, "")))</f>
        <v/>
      </c>
      <c r="G420" s="122" t="str">
        <f aca="false">IF(F420="", "", F420*D420)</f>
        <v/>
      </c>
      <c r="H420" s="131" t="b">
        <f aca="false">FALSE()</f>
        <v>0</v>
      </c>
      <c r="I420" s="131" t="b">
        <f aca="false">FALSE()</f>
        <v>0</v>
      </c>
      <c r="J420" s="130"/>
      <c r="K420" s="110"/>
      <c r="L420" s="83"/>
      <c r="M420" s="103"/>
      <c r="N420" s="103"/>
      <c r="O420" s="103"/>
      <c r="P420" s="103"/>
      <c r="Q420" s="103"/>
      <c r="R420" s="83"/>
      <c r="S420" s="103"/>
      <c r="T420" s="103"/>
      <c r="U420" s="103"/>
    </row>
    <row r="421" customFormat="false" ht="22.5" hidden="false" customHeight="true" outlineLevel="0" collapsed="false">
      <c r="A421" s="99"/>
      <c r="B421" s="99"/>
      <c r="C421" s="99"/>
      <c r="D421" s="121"/>
      <c r="E421" s="99"/>
      <c r="F421" s="124" t="str">
        <f aca="false">IF(E421="CONTADO", 4%, IF(E421="TARJETA / CHEQUE", 3%, IF(OR(E421="FINANCIADO", E421="MCP"), 2.5%, "")))</f>
        <v/>
      </c>
      <c r="G421" s="121" t="str">
        <f aca="false">IF(F421="", "", F421*D421)</f>
        <v/>
      </c>
      <c r="H421" s="132" t="b">
        <f aca="false">FALSE()</f>
        <v>0</v>
      </c>
      <c r="I421" s="132" t="b">
        <f aca="false">FALSE()</f>
        <v>0</v>
      </c>
      <c r="J421" s="126"/>
      <c r="K421" s="99"/>
      <c r="L421" s="83"/>
      <c r="M421" s="103"/>
      <c r="N421" s="103"/>
      <c r="O421" s="103"/>
      <c r="P421" s="103"/>
      <c r="Q421" s="103"/>
      <c r="R421" s="83"/>
      <c r="S421" s="103"/>
      <c r="T421" s="103"/>
      <c r="U421" s="103"/>
    </row>
    <row r="422" customFormat="false" ht="22.5" hidden="false" customHeight="true" outlineLevel="0" collapsed="false">
      <c r="A422" s="110"/>
      <c r="B422" s="110"/>
      <c r="C422" s="110"/>
      <c r="D422" s="122"/>
      <c r="E422" s="110"/>
      <c r="F422" s="128" t="str">
        <f aca="false">IF(E422="CONTADO", 4%, IF(E422="TARJETA / CHEQUE", 3%, IF(OR(E422="FINANCIADO", E422="MCP"), 2.5%, "")))</f>
        <v/>
      </c>
      <c r="G422" s="122" t="str">
        <f aca="false">IF(F422="", "", F422*D422)</f>
        <v/>
      </c>
      <c r="H422" s="131" t="b">
        <f aca="false">FALSE()</f>
        <v>0</v>
      </c>
      <c r="I422" s="131" t="b">
        <f aca="false">FALSE()</f>
        <v>0</v>
      </c>
      <c r="J422" s="130"/>
      <c r="K422" s="110"/>
      <c r="L422" s="83"/>
      <c r="M422" s="103"/>
      <c r="N422" s="103"/>
      <c r="O422" s="103"/>
      <c r="P422" s="103"/>
      <c r="Q422" s="103"/>
      <c r="R422" s="83"/>
      <c r="S422" s="103"/>
      <c r="T422" s="103"/>
      <c r="U422" s="103"/>
    </row>
    <row r="423" customFormat="false" ht="22.5" hidden="false" customHeight="true" outlineLevel="0" collapsed="false">
      <c r="A423" s="99"/>
      <c r="B423" s="99"/>
      <c r="C423" s="99"/>
      <c r="D423" s="121"/>
      <c r="E423" s="99"/>
      <c r="F423" s="124" t="str">
        <f aca="false">IF(E423="CONTADO", 4%, IF(E423="TARJETA / CHEQUE", 3%, IF(OR(E423="FINANCIADO", E423="MCP"), 2.5%, "")))</f>
        <v/>
      </c>
      <c r="G423" s="121" t="str">
        <f aca="false">IF(F423="", "", F423*D423)</f>
        <v/>
      </c>
      <c r="H423" s="132" t="b">
        <f aca="false">FALSE()</f>
        <v>0</v>
      </c>
      <c r="I423" s="132" t="b">
        <f aca="false">FALSE()</f>
        <v>0</v>
      </c>
      <c r="J423" s="126"/>
      <c r="K423" s="99"/>
      <c r="L423" s="83"/>
      <c r="M423" s="103"/>
      <c r="N423" s="103"/>
      <c r="O423" s="103"/>
      <c r="P423" s="103"/>
      <c r="Q423" s="103"/>
      <c r="R423" s="83"/>
      <c r="S423" s="103"/>
      <c r="T423" s="103"/>
      <c r="U423" s="103"/>
    </row>
    <row r="424" customFormat="false" ht="22.5" hidden="false" customHeight="true" outlineLevel="0" collapsed="false">
      <c r="A424" s="110"/>
      <c r="B424" s="110"/>
      <c r="C424" s="110"/>
      <c r="D424" s="122"/>
      <c r="E424" s="110"/>
      <c r="F424" s="128" t="str">
        <f aca="false">IF(E424="CONTADO", 4%, IF(E424="TARJETA / CHEQUE", 3%, IF(OR(E424="FINANCIADO", E424="MCP"), 2.5%, "")))</f>
        <v/>
      </c>
      <c r="G424" s="122" t="str">
        <f aca="false">IF(F424="", "", F424*D424)</f>
        <v/>
      </c>
      <c r="H424" s="131" t="b">
        <f aca="false">FALSE()</f>
        <v>0</v>
      </c>
      <c r="I424" s="131" t="b">
        <f aca="false">FALSE()</f>
        <v>0</v>
      </c>
      <c r="J424" s="130"/>
      <c r="K424" s="110"/>
      <c r="L424" s="83"/>
      <c r="M424" s="103"/>
      <c r="N424" s="103"/>
      <c r="O424" s="103"/>
      <c r="P424" s="103"/>
      <c r="Q424" s="103"/>
      <c r="R424" s="83"/>
      <c r="S424" s="103"/>
      <c r="T424" s="103"/>
      <c r="U424" s="103"/>
    </row>
    <row r="425" customFormat="false" ht="22.5" hidden="false" customHeight="true" outlineLevel="0" collapsed="false">
      <c r="A425" s="99"/>
      <c r="B425" s="99"/>
      <c r="C425" s="99"/>
      <c r="D425" s="121"/>
      <c r="E425" s="99"/>
      <c r="F425" s="124" t="str">
        <f aca="false">IF(E425="CONTADO", 4%, IF(E425="TARJETA / CHEQUE", 3%, IF(OR(E425="FINANCIADO", E425="MCP"), 2.5%, "")))</f>
        <v/>
      </c>
      <c r="G425" s="121" t="str">
        <f aca="false">IF(F425="", "", F425*D425)</f>
        <v/>
      </c>
      <c r="H425" s="132" t="b">
        <f aca="false">FALSE()</f>
        <v>0</v>
      </c>
      <c r="I425" s="132" t="b">
        <f aca="false">FALSE()</f>
        <v>0</v>
      </c>
      <c r="J425" s="126"/>
      <c r="K425" s="99"/>
      <c r="L425" s="83"/>
      <c r="M425" s="103"/>
      <c r="N425" s="103"/>
      <c r="O425" s="103"/>
      <c r="P425" s="103"/>
      <c r="Q425" s="103"/>
      <c r="R425" s="83"/>
      <c r="S425" s="103"/>
      <c r="T425" s="103"/>
      <c r="U425" s="103"/>
    </row>
    <row r="426" customFormat="false" ht="22.5" hidden="false" customHeight="true" outlineLevel="0" collapsed="false">
      <c r="A426" s="110"/>
      <c r="B426" s="110"/>
      <c r="C426" s="110"/>
      <c r="D426" s="122"/>
      <c r="E426" s="110"/>
      <c r="F426" s="128" t="str">
        <f aca="false">IF(E426="CONTADO", 4%, IF(E426="TARJETA / CHEQUE", 3%, IF(OR(E426="FINANCIADO", E426="MCP"), 2.5%, "")))</f>
        <v/>
      </c>
      <c r="G426" s="122" t="str">
        <f aca="false">IF(F426="", "", F426*D426)</f>
        <v/>
      </c>
      <c r="H426" s="131" t="b">
        <f aca="false">FALSE()</f>
        <v>0</v>
      </c>
      <c r="I426" s="131" t="b">
        <f aca="false">FALSE()</f>
        <v>0</v>
      </c>
      <c r="J426" s="130"/>
      <c r="K426" s="110"/>
      <c r="L426" s="83"/>
      <c r="M426" s="103"/>
      <c r="N426" s="103"/>
      <c r="O426" s="103"/>
      <c r="P426" s="103"/>
      <c r="Q426" s="103"/>
      <c r="R426" s="83"/>
      <c r="S426" s="103"/>
      <c r="T426" s="103"/>
      <c r="U426" s="103"/>
    </row>
    <row r="427" customFormat="false" ht="22.5" hidden="false" customHeight="true" outlineLevel="0" collapsed="false">
      <c r="A427" s="99"/>
      <c r="B427" s="99"/>
      <c r="C427" s="99"/>
      <c r="D427" s="121"/>
      <c r="E427" s="99"/>
      <c r="F427" s="124" t="str">
        <f aca="false">IF(E427="CONTADO", 4%, IF(E427="TARJETA / CHEQUE", 3%, IF(OR(E427="FINANCIADO", E427="MCP"), 2.5%, "")))</f>
        <v/>
      </c>
      <c r="G427" s="121" t="str">
        <f aca="false">IF(F427="", "", F427*D427)</f>
        <v/>
      </c>
      <c r="H427" s="132" t="b">
        <f aca="false">FALSE()</f>
        <v>0</v>
      </c>
      <c r="I427" s="132" t="b">
        <f aca="false">FALSE()</f>
        <v>0</v>
      </c>
      <c r="J427" s="126"/>
      <c r="K427" s="99"/>
      <c r="L427" s="83"/>
      <c r="M427" s="103"/>
      <c r="N427" s="103"/>
      <c r="O427" s="103"/>
      <c r="P427" s="103"/>
      <c r="Q427" s="103"/>
      <c r="R427" s="83"/>
      <c r="S427" s="103"/>
      <c r="T427" s="103"/>
      <c r="U427" s="103"/>
    </row>
    <row r="428" customFormat="false" ht="22.5" hidden="false" customHeight="true" outlineLevel="0" collapsed="false">
      <c r="A428" s="110"/>
      <c r="B428" s="110"/>
      <c r="C428" s="110"/>
      <c r="D428" s="122"/>
      <c r="E428" s="110"/>
      <c r="F428" s="128" t="str">
        <f aca="false">IF(E428="CONTADO", 4%, IF(E428="TARJETA / CHEQUE", 3%, IF(OR(E428="FINANCIADO", E428="MCP"), 2.5%, "")))</f>
        <v/>
      </c>
      <c r="G428" s="122" t="str">
        <f aca="false">IF(F428="", "", F428*D428)</f>
        <v/>
      </c>
      <c r="H428" s="131" t="b">
        <f aca="false">FALSE()</f>
        <v>0</v>
      </c>
      <c r="I428" s="131" t="b">
        <f aca="false">FALSE()</f>
        <v>0</v>
      </c>
      <c r="J428" s="130"/>
      <c r="K428" s="110"/>
      <c r="L428" s="83"/>
      <c r="M428" s="103"/>
      <c r="N428" s="103"/>
      <c r="O428" s="103"/>
      <c r="P428" s="103"/>
      <c r="Q428" s="103"/>
      <c r="R428" s="83"/>
      <c r="S428" s="103"/>
      <c r="T428" s="103"/>
      <c r="U428" s="103"/>
    </row>
    <row r="429" customFormat="false" ht="22.5" hidden="false" customHeight="true" outlineLevel="0" collapsed="false">
      <c r="A429" s="99"/>
      <c r="B429" s="99"/>
      <c r="C429" s="99"/>
      <c r="D429" s="121"/>
      <c r="E429" s="99"/>
      <c r="F429" s="124" t="str">
        <f aca="false">IF(E429="CONTADO", 4%, IF(E429="TARJETA / CHEQUE", 3%, IF(OR(E429="FINANCIADO", E429="MCP"), 2.5%, "")))</f>
        <v/>
      </c>
      <c r="G429" s="121" t="str">
        <f aca="false">IF(F429="", "", F429*D429)</f>
        <v/>
      </c>
      <c r="H429" s="132" t="b">
        <f aca="false">FALSE()</f>
        <v>0</v>
      </c>
      <c r="I429" s="132" t="b">
        <f aca="false">FALSE()</f>
        <v>0</v>
      </c>
      <c r="J429" s="126"/>
      <c r="K429" s="99"/>
      <c r="L429" s="83"/>
      <c r="M429" s="103"/>
      <c r="N429" s="103"/>
      <c r="O429" s="103"/>
      <c r="P429" s="103"/>
      <c r="Q429" s="103"/>
      <c r="R429" s="83"/>
      <c r="S429" s="103"/>
      <c r="T429" s="103"/>
      <c r="U429" s="103"/>
    </row>
    <row r="430" customFormat="false" ht="22.5" hidden="false" customHeight="true" outlineLevel="0" collapsed="false">
      <c r="A430" s="110"/>
      <c r="B430" s="110"/>
      <c r="C430" s="110"/>
      <c r="D430" s="122"/>
      <c r="E430" s="110"/>
      <c r="F430" s="128" t="str">
        <f aca="false">IF(E430="CONTADO", 4%, IF(E430="TARJETA / CHEQUE", 3%, IF(OR(E430="FINANCIADO", E430="MCP"), 2.5%, "")))</f>
        <v/>
      </c>
      <c r="G430" s="122" t="str">
        <f aca="false">IF(F430="", "", F430*D430)</f>
        <v/>
      </c>
      <c r="H430" s="131" t="b">
        <f aca="false">FALSE()</f>
        <v>0</v>
      </c>
      <c r="I430" s="131" t="b">
        <f aca="false">FALSE()</f>
        <v>0</v>
      </c>
      <c r="J430" s="130"/>
      <c r="K430" s="110"/>
      <c r="L430" s="83"/>
      <c r="M430" s="103"/>
      <c r="N430" s="103"/>
      <c r="O430" s="103"/>
      <c r="P430" s="103"/>
      <c r="Q430" s="103"/>
      <c r="R430" s="83"/>
      <c r="S430" s="103"/>
      <c r="T430" s="103"/>
      <c r="U430" s="103"/>
    </row>
    <row r="431" customFormat="false" ht="22.5" hidden="false" customHeight="true" outlineLevel="0" collapsed="false">
      <c r="A431" s="99"/>
      <c r="B431" s="99"/>
      <c r="C431" s="99"/>
      <c r="D431" s="121"/>
      <c r="E431" s="99"/>
      <c r="F431" s="124" t="str">
        <f aca="false">IF(E431="CONTADO", 4%, IF(E431="TARJETA / CHEQUE", 3%, IF(OR(E431="FINANCIADO", E431="MCP"), 2.5%, "")))</f>
        <v/>
      </c>
      <c r="G431" s="121" t="str">
        <f aca="false">IF(F431="", "", F431*D431)</f>
        <v/>
      </c>
      <c r="H431" s="132" t="b">
        <f aca="false">FALSE()</f>
        <v>0</v>
      </c>
      <c r="I431" s="132" t="b">
        <f aca="false">FALSE()</f>
        <v>0</v>
      </c>
      <c r="J431" s="126"/>
      <c r="K431" s="99"/>
      <c r="L431" s="83"/>
      <c r="M431" s="103"/>
      <c r="N431" s="103"/>
      <c r="O431" s="103"/>
      <c r="P431" s="103"/>
      <c r="Q431" s="103"/>
      <c r="R431" s="83"/>
      <c r="S431" s="103"/>
      <c r="T431" s="103"/>
      <c r="U431" s="103"/>
    </row>
    <row r="432" customFormat="false" ht="22.5" hidden="false" customHeight="true" outlineLevel="0" collapsed="false">
      <c r="A432" s="110"/>
      <c r="B432" s="110"/>
      <c r="C432" s="110"/>
      <c r="D432" s="122"/>
      <c r="E432" s="110"/>
      <c r="F432" s="128" t="str">
        <f aca="false">IF(E432="CONTADO", 4%, IF(E432="TARJETA / CHEQUE", 3%, IF(OR(E432="FINANCIADO", E432="MCP"), 2.5%, "")))</f>
        <v/>
      </c>
      <c r="G432" s="122" t="str">
        <f aca="false">IF(F432="", "", F432*D432)</f>
        <v/>
      </c>
      <c r="H432" s="131" t="b">
        <f aca="false">FALSE()</f>
        <v>0</v>
      </c>
      <c r="I432" s="131" t="b">
        <f aca="false">FALSE()</f>
        <v>0</v>
      </c>
      <c r="J432" s="130"/>
      <c r="K432" s="110"/>
      <c r="L432" s="83"/>
      <c r="M432" s="103"/>
      <c r="N432" s="103"/>
      <c r="O432" s="103"/>
      <c r="P432" s="103"/>
      <c r="Q432" s="103"/>
      <c r="R432" s="83"/>
      <c r="S432" s="103"/>
      <c r="T432" s="103"/>
      <c r="U432" s="103"/>
    </row>
    <row r="433" customFormat="false" ht="22.5" hidden="false" customHeight="true" outlineLevel="0" collapsed="false">
      <c r="A433" s="99"/>
      <c r="B433" s="99"/>
      <c r="C433" s="99"/>
      <c r="D433" s="121"/>
      <c r="E433" s="99"/>
      <c r="F433" s="124" t="str">
        <f aca="false">IF(E433="CONTADO", 4%, IF(E433="TARJETA / CHEQUE", 3%, IF(OR(E433="FINANCIADO", E433="MCP"), 2.5%, "")))</f>
        <v/>
      </c>
      <c r="G433" s="121" t="str">
        <f aca="false">IF(F433="", "", F433*D433)</f>
        <v/>
      </c>
      <c r="H433" s="132" t="b">
        <f aca="false">FALSE()</f>
        <v>0</v>
      </c>
      <c r="I433" s="132" t="b">
        <f aca="false">FALSE()</f>
        <v>0</v>
      </c>
      <c r="J433" s="126"/>
      <c r="K433" s="99"/>
      <c r="L433" s="83"/>
      <c r="M433" s="103"/>
      <c r="N433" s="103"/>
      <c r="O433" s="103"/>
      <c r="P433" s="103"/>
      <c r="Q433" s="103"/>
      <c r="R433" s="83"/>
      <c r="S433" s="103"/>
      <c r="T433" s="103"/>
      <c r="U433" s="103"/>
    </row>
    <row r="434" customFormat="false" ht="22.5" hidden="false" customHeight="true" outlineLevel="0" collapsed="false">
      <c r="A434" s="110"/>
      <c r="B434" s="110"/>
      <c r="C434" s="110"/>
      <c r="D434" s="122"/>
      <c r="E434" s="110"/>
      <c r="F434" s="128" t="str">
        <f aca="false">IF(E434="CONTADO", 4%, IF(E434="TARJETA / CHEQUE", 3%, IF(OR(E434="FINANCIADO", E434="MCP"), 2.5%, "")))</f>
        <v/>
      </c>
      <c r="G434" s="122" t="str">
        <f aca="false">IF(F434="", "", F434*D434)</f>
        <v/>
      </c>
      <c r="H434" s="131" t="b">
        <f aca="false">FALSE()</f>
        <v>0</v>
      </c>
      <c r="I434" s="131" t="b">
        <f aca="false">FALSE()</f>
        <v>0</v>
      </c>
      <c r="J434" s="130"/>
      <c r="K434" s="110"/>
      <c r="L434" s="83"/>
      <c r="M434" s="103"/>
      <c r="N434" s="103"/>
      <c r="O434" s="103"/>
      <c r="P434" s="103"/>
      <c r="Q434" s="103"/>
      <c r="R434" s="83"/>
      <c r="S434" s="103"/>
      <c r="T434" s="103"/>
      <c r="U434" s="103"/>
    </row>
    <row r="435" customFormat="false" ht="22.5" hidden="false" customHeight="true" outlineLevel="0" collapsed="false">
      <c r="A435" s="99"/>
      <c r="B435" s="99"/>
      <c r="C435" s="99"/>
      <c r="D435" s="121"/>
      <c r="E435" s="99"/>
      <c r="F435" s="124" t="str">
        <f aca="false">IF(E435="CONTADO", 4%, IF(E435="TARJETA / CHEQUE", 3%, IF(OR(E435="FINANCIADO", E435="MCP"), 2.5%, "")))</f>
        <v/>
      </c>
      <c r="G435" s="121" t="str">
        <f aca="false">IF(F435="", "", F435*D435)</f>
        <v/>
      </c>
      <c r="H435" s="132" t="b">
        <f aca="false">FALSE()</f>
        <v>0</v>
      </c>
      <c r="I435" s="132" t="b">
        <f aca="false">FALSE()</f>
        <v>0</v>
      </c>
      <c r="J435" s="126"/>
      <c r="K435" s="99"/>
      <c r="L435" s="83"/>
      <c r="M435" s="103"/>
      <c r="N435" s="103"/>
      <c r="O435" s="103"/>
      <c r="P435" s="103"/>
      <c r="Q435" s="103"/>
      <c r="R435" s="83"/>
      <c r="S435" s="103"/>
      <c r="T435" s="103"/>
      <c r="U435" s="103"/>
    </row>
    <row r="436" customFormat="false" ht="22.5" hidden="false" customHeight="true" outlineLevel="0" collapsed="false">
      <c r="A436" s="110"/>
      <c r="B436" s="110"/>
      <c r="C436" s="110"/>
      <c r="D436" s="122"/>
      <c r="E436" s="110"/>
      <c r="F436" s="128" t="str">
        <f aca="false">IF(E436="CONTADO", 4%, IF(E436="TARJETA / CHEQUE", 3%, IF(OR(E436="FINANCIADO", E436="MCP"), 2.5%, "")))</f>
        <v/>
      </c>
      <c r="G436" s="122" t="str">
        <f aca="false">IF(F436="", "", F436*D436)</f>
        <v/>
      </c>
      <c r="H436" s="131" t="b">
        <f aca="false">FALSE()</f>
        <v>0</v>
      </c>
      <c r="I436" s="131" t="b">
        <f aca="false">FALSE()</f>
        <v>0</v>
      </c>
      <c r="J436" s="130"/>
      <c r="K436" s="110"/>
      <c r="L436" s="83"/>
      <c r="M436" s="103"/>
      <c r="N436" s="103"/>
      <c r="O436" s="103"/>
      <c r="P436" s="103"/>
      <c r="Q436" s="103"/>
      <c r="R436" s="83"/>
      <c r="S436" s="103"/>
      <c r="T436" s="103"/>
      <c r="U436" s="103"/>
    </row>
    <row r="437" customFormat="false" ht="22.5" hidden="false" customHeight="true" outlineLevel="0" collapsed="false">
      <c r="A437" s="99"/>
      <c r="B437" s="99"/>
      <c r="C437" s="99"/>
      <c r="D437" s="121"/>
      <c r="E437" s="99"/>
      <c r="F437" s="124" t="str">
        <f aca="false">IF(E437="CONTADO", 4%, IF(E437="TARJETA / CHEQUE", 3%, IF(OR(E437="FINANCIADO", E437="MCP"), 2.5%, "")))</f>
        <v/>
      </c>
      <c r="G437" s="121" t="str">
        <f aca="false">IF(F437="", "", F437*D437)</f>
        <v/>
      </c>
      <c r="H437" s="132" t="b">
        <f aca="false">FALSE()</f>
        <v>0</v>
      </c>
      <c r="I437" s="132" t="b">
        <f aca="false">FALSE()</f>
        <v>0</v>
      </c>
      <c r="J437" s="126"/>
      <c r="K437" s="99"/>
      <c r="L437" s="83"/>
      <c r="M437" s="103"/>
      <c r="N437" s="103"/>
      <c r="O437" s="103"/>
      <c r="P437" s="103"/>
      <c r="Q437" s="103"/>
      <c r="R437" s="83"/>
      <c r="S437" s="103"/>
      <c r="T437" s="103"/>
      <c r="U437" s="103"/>
    </row>
    <row r="438" customFormat="false" ht="22.5" hidden="false" customHeight="true" outlineLevel="0" collapsed="false">
      <c r="A438" s="110"/>
      <c r="B438" s="110"/>
      <c r="C438" s="110"/>
      <c r="D438" s="122"/>
      <c r="E438" s="110"/>
      <c r="F438" s="128" t="str">
        <f aca="false">IF(E438="CONTADO", 4%, IF(E438="TARJETA / CHEQUE", 3%, IF(OR(E438="FINANCIADO", E438="MCP"), 2.5%, "")))</f>
        <v/>
      </c>
      <c r="G438" s="122" t="str">
        <f aca="false">IF(F438="", "", F438*D438)</f>
        <v/>
      </c>
      <c r="H438" s="131" t="b">
        <f aca="false">FALSE()</f>
        <v>0</v>
      </c>
      <c r="I438" s="131" t="b">
        <f aca="false">FALSE()</f>
        <v>0</v>
      </c>
      <c r="J438" s="130"/>
      <c r="K438" s="110"/>
      <c r="L438" s="83"/>
      <c r="M438" s="103"/>
      <c r="N438" s="103"/>
      <c r="O438" s="103"/>
      <c r="P438" s="103"/>
      <c r="Q438" s="103"/>
      <c r="R438" s="83"/>
      <c r="S438" s="103"/>
      <c r="T438" s="103"/>
      <c r="U438" s="103"/>
    </row>
    <row r="439" customFormat="false" ht="22.5" hidden="false" customHeight="true" outlineLevel="0" collapsed="false">
      <c r="A439" s="99"/>
      <c r="B439" s="99"/>
      <c r="C439" s="99"/>
      <c r="D439" s="121"/>
      <c r="E439" s="99"/>
      <c r="F439" s="124" t="str">
        <f aca="false">IF(E439="CONTADO", 4%, IF(E439="TARJETA / CHEQUE", 3%, IF(OR(E439="FINANCIADO", E439="MCP"), 2.5%, "")))</f>
        <v/>
      </c>
      <c r="G439" s="121" t="str">
        <f aca="false">IF(F439="", "", F439*D439)</f>
        <v/>
      </c>
      <c r="H439" s="132" t="b">
        <f aca="false">FALSE()</f>
        <v>0</v>
      </c>
      <c r="I439" s="132" t="b">
        <f aca="false">FALSE()</f>
        <v>0</v>
      </c>
      <c r="J439" s="126"/>
      <c r="K439" s="99"/>
      <c r="L439" s="83"/>
      <c r="M439" s="103"/>
      <c r="N439" s="103"/>
      <c r="O439" s="103"/>
      <c r="P439" s="103"/>
      <c r="Q439" s="103"/>
      <c r="R439" s="83"/>
      <c r="S439" s="103"/>
      <c r="T439" s="103"/>
      <c r="U439" s="103"/>
    </row>
    <row r="440" customFormat="false" ht="22.5" hidden="false" customHeight="true" outlineLevel="0" collapsed="false">
      <c r="A440" s="110"/>
      <c r="B440" s="110"/>
      <c r="C440" s="110"/>
      <c r="D440" s="122"/>
      <c r="E440" s="110"/>
      <c r="F440" s="128" t="str">
        <f aca="false">IF(E440="CONTADO", 4%, IF(E440="TARJETA / CHEQUE", 3%, IF(OR(E440="FINANCIADO", E440="MCP"), 2.5%, "")))</f>
        <v/>
      </c>
      <c r="G440" s="122" t="str">
        <f aca="false">IF(F440="", "", F440*D440)</f>
        <v/>
      </c>
      <c r="H440" s="131" t="b">
        <f aca="false">FALSE()</f>
        <v>0</v>
      </c>
      <c r="I440" s="131" t="b">
        <f aca="false">FALSE()</f>
        <v>0</v>
      </c>
      <c r="J440" s="130"/>
      <c r="K440" s="110"/>
      <c r="L440" s="83"/>
      <c r="M440" s="103"/>
      <c r="N440" s="103"/>
      <c r="O440" s="103"/>
      <c r="P440" s="103"/>
      <c r="Q440" s="103"/>
      <c r="R440" s="83"/>
      <c r="S440" s="103"/>
      <c r="T440" s="103"/>
      <c r="U440" s="103"/>
    </row>
    <row r="441" customFormat="false" ht="22.5" hidden="false" customHeight="true" outlineLevel="0" collapsed="false">
      <c r="A441" s="99"/>
      <c r="B441" s="99"/>
      <c r="C441" s="99"/>
      <c r="D441" s="121"/>
      <c r="E441" s="99"/>
      <c r="F441" s="124" t="str">
        <f aca="false">IF(E441="CONTADO", 4%, IF(E441="TARJETA / CHEQUE", 3%, IF(OR(E441="FINANCIADO", E441="MCP"), 2.5%, "")))</f>
        <v/>
      </c>
      <c r="G441" s="121" t="str">
        <f aca="false">IF(F441="", "", F441*D441)</f>
        <v/>
      </c>
      <c r="H441" s="132" t="b">
        <f aca="false">FALSE()</f>
        <v>0</v>
      </c>
      <c r="I441" s="132" t="b">
        <f aca="false">FALSE()</f>
        <v>0</v>
      </c>
      <c r="J441" s="126"/>
      <c r="K441" s="99"/>
      <c r="L441" s="83"/>
      <c r="M441" s="103"/>
      <c r="N441" s="103"/>
      <c r="O441" s="103"/>
      <c r="P441" s="103"/>
      <c r="Q441" s="103"/>
      <c r="R441" s="83"/>
      <c r="S441" s="103"/>
      <c r="T441" s="103"/>
      <c r="U441" s="103"/>
    </row>
    <row r="442" customFormat="false" ht="22.5" hidden="false" customHeight="true" outlineLevel="0" collapsed="false">
      <c r="A442" s="110"/>
      <c r="B442" s="110"/>
      <c r="C442" s="110"/>
      <c r="D442" s="122"/>
      <c r="E442" s="110"/>
      <c r="F442" s="128" t="str">
        <f aca="false">IF(E442="CONTADO", 4%, IF(E442="TARJETA / CHEQUE", 3%, IF(OR(E442="FINANCIADO", E442="MCP"), 2.5%, "")))</f>
        <v/>
      </c>
      <c r="G442" s="122" t="str">
        <f aca="false">IF(F442="", "", F442*D442)</f>
        <v/>
      </c>
      <c r="H442" s="131" t="b">
        <f aca="false">FALSE()</f>
        <v>0</v>
      </c>
      <c r="I442" s="131" t="b">
        <f aca="false">FALSE()</f>
        <v>0</v>
      </c>
      <c r="J442" s="130"/>
      <c r="K442" s="110"/>
      <c r="L442" s="83"/>
      <c r="M442" s="103"/>
      <c r="N442" s="103"/>
      <c r="O442" s="103"/>
      <c r="P442" s="103"/>
      <c r="Q442" s="103"/>
      <c r="R442" s="83"/>
      <c r="S442" s="103"/>
      <c r="T442" s="103"/>
      <c r="U442" s="103"/>
    </row>
    <row r="443" customFormat="false" ht="22.5" hidden="false" customHeight="true" outlineLevel="0" collapsed="false">
      <c r="A443" s="99"/>
      <c r="B443" s="99"/>
      <c r="C443" s="99"/>
      <c r="D443" s="121"/>
      <c r="E443" s="99"/>
      <c r="F443" s="124" t="str">
        <f aca="false">IF(E443="CONTADO", 4%, IF(E443="TARJETA / CHEQUE", 3%, IF(OR(E443="FINANCIADO", E443="MCP"), 2.5%, "")))</f>
        <v/>
      </c>
      <c r="G443" s="121" t="str">
        <f aca="false">IF(F443="", "", F443*D443)</f>
        <v/>
      </c>
      <c r="H443" s="132" t="b">
        <f aca="false">FALSE()</f>
        <v>0</v>
      </c>
      <c r="I443" s="132" t="b">
        <f aca="false">FALSE()</f>
        <v>0</v>
      </c>
      <c r="J443" s="126"/>
      <c r="K443" s="99"/>
      <c r="L443" s="83"/>
      <c r="M443" s="103"/>
      <c r="N443" s="103"/>
      <c r="O443" s="103"/>
      <c r="P443" s="103"/>
      <c r="Q443" s="103"/>
      <c r="R443" s="83"/>
      <c r="S443" s="103"/>
      <c r="T443" s="103"/>
      <c r="U443" s="103"/>
    </row>
    <row r="444" customFormat="false" ht="22.5" hidden="false" customHeight="true" outlineLevel="0" collapsed="false">
      <c r="A444" s="110"/>
      <c r="B444" s="110"/>
      <c r="C444" s="110"/>
      <c r="D444" s="122"/>
      <c r="E444" s="110"/>
      <c r="F444" s="128" t="str">
        <f aca="false">IF(E444="CONTADO", 4%, IF(E444="TARJETA / CHEQUE", 3%, IF(OR(E444="FINANCIADO", E444="MCP"), 2.5%, "")))</f>
        <v/>
      </c>
      <c r="G444" s="122" t="str">
        <f aca="false">IF(F444="", "", F444*D444)</f>
        <v/>
      </c>
      <c r="H444" s="131" t="b">
        <f aca="false">FALSE()</f>
        <v>0</v>
      </c>
      <c r="I444" s="131" t="b">
        <f aca="false">FALSE()</f>
        <v>0</v>
      </c>
      <c r="J444" s="130"/>
      <c r="K444" s="110"/>
      <c r="L444" s="83"/>
      <c r="M444" s="103"/>
      <c r="N444" s="103"/>
      <c r="O444" s="103"/>
      <c r="P444" s="103"/>
      <c r="Q444" s="103"/>
      <c r="R444" s="83"/>
      <c r="S444" s="103"/>
      <c r="T444" s="103"/>
      <c r="U444" s="103"/>
    </row>
    <row r="445" customFormat="false" ht="22.5" hidden="false" customHeight="true" outlineLevel="0" collapsed="false">
      <c r="A445" s="99"/>
      <c r="B445" s="99"/>
      <c r="C445" s="99"/>
      <c r="D445" s="121"/>
      <c r="E445" s="99"/>
      <c r="F445" s="124" t="str">
        <f aca="false">IF(E445="CONTADO", 4%, IF(E445="TARJETA / CHEQUE", 3%, IF(OR(E445="FINANCIADO", E445="MCP"), 2.5%, "")))</f>
        <v/>
      </c>
      <c r="G445" s="121" t="str">
        <f aca="false">IF(F445="", "", F445*D445)</f>
        <v/>
      </c>
      <c r="H445" s="132" t="b">
        <f aca="false">FALSE()</f>
        <v>0</v>
      </c>
      <c r="I445" s="132" t="b">
        <f aca="false">FALSE()</f>
        <v>0</v>
      </c>
      <c r="J445" s="126"/>
      <c r="K445" s="99"/>
      <c r="L445" s="83"/>
      <c r="M445" s="103"/>
      <c r="N445" s="103"/>
      <c r="O445" s="103"/>
      <c r="P445" s="103"/>
      <c r="Q445" s="103"/>
      <c r="R445" s="83"/>
      <c r="S445" s="103"/>
      <c r="T445" s="103"/>
      <c r="U445" s="103"/>
    </row>
    <row r="446" customFormat="false" ht="22.5" hidden="false" customHeight="true" outlineLevel="0" collapsed="false">
      <c r="A446" s="110"/>
      <c r="B446" s="110"/>
      <c r="C446" s="110"/>
      <c r="D446" s="122"/>
      <c r="E446" s="110"/>
      <c r="F446" s="128" t="str">
        <f aca="false">IF(E446="CONTADO", 4%, IF(E446="TARJETA / CHEQUE", 3%, IF(OR(E446="FINANCIADO", E446="MCP"), 2.5%, "")))</f>
        <v/>
      </c>
      <c r="G446" s="122" t="str">
        <f aca="false">IF(F446="", "", F446*D446)</f>
        <v/>
      </c>
      <c r="H446" s="131" t="b">
        <f aca="false">FALSE()</f>
        <v>0</v>
      </c>
      <c r="I446" s="131" t="b">
        <f aca="false">FALSE()</f>
        <v>0</v>
      </c>
      <c r="J446" s="130"/>
      <c r="K446" s="110"/>
      <c r="L446" s="83"/>
      <c r="M446" s="103"/>
      <c r="N446" s="103"/>
      <c r="O446" s="103"/>
      <c r="P446" s="103"/>
      <c r="Q446" s="103"/>
      <c r="R446" s="83"/>
      <c r="S446" s="103"/>
      <c r="T446" s="103"/>
      <c r="U446" s="103"/>
    </row>
    <row r="447" customFormat="false" ht="22.5" hidden="false" customHeight="true" outlineLevel="0" collapsed="false">
      <c r="A447" s="99"/>
      <c r="B447" s="99"/>
      <c r="C447" s="99"/>
      <c r="D447" s="121"/>
      <c r="E447" s="99"/>
      <c r="F447" s="124" t="str">
        <f aca="false">IF(E447="CONTADO", 4%, IF(E447="TARJETA / CHEQUE", 3%, IF(OR(E447="FINANCIADO", E447="MCP"), 2.5%, "")))</f>
        <v/>
      </c>
      <c r="G447" s="121" t="str">
        <f aca="false">IF(F447="", "", F447*D447)</f>
        <v/>
      </c>
      <c r="H447" s="132" t="b">
        <f aca="false">FALSE()</f>
        <v>0</v>
      </c>
      <c r="I447" s="132" t="b">
        <f aca="false">FALSE()</f>
        <v>0</v>
      </c>
      <c r="J447" s="126"/>
      <c r="K447" s="99"/>
      <c r="L447" s="83"/>
      <c r="M447" s="103"/>
      <c r="N447" s="103"/>
      <c r="O447" s="103"/>
      <c r="P447" s="103"/>
      <c r="Q447" s="103"/>
      <c r="R447" s="83"/>
      <c r="S447" s="103"/>
      <c r="T447" s="103"/>
      <c r="U447" s="103"/>
    </row>
    <row r="448" customFormat="false" ht="22.5" hidden="false" customHeight="true" outlineLevel="0" collapsed="false">
      <c r="A448" s="110"/>
      <c r="B448" s="110"/>
      <c r="C448" s="110"/>
      <c r="D448" s="122"/>
      <c r="E448" s="110"/>
      <c r="F448" s="128" t="str">
        <f aca="false">IF(E448="CONTADO", 4%, IF(E448="TARJETA / CHEQUE", 3%, IF(OR(E448="FINANCIADO", E448="MCP"), 2.5%, "")))</f>
        <v/>
      </c>
      <c r="G448" s="122" t="str">
        <f aca="false">IF(F448="", "", F448*D448)</f>
        <v/>
      </c>
      <c r="H448" s="131" t="b">
        <f aca="false">FALSE()</f>
        <v>0</v>
      </c>
      <c r="I448" s="131" t="b">
        <f aca="false">FALSE()</f>
        <v>0</v>
      </c>
      <c r="J448" s="130"/>
      <c r="K448" s="110"/>
      <c r="L448" s="83"/>
      <c r="M448" s="103"/>
      <c r="N448" s="103"/>
      <c r="O448" s="103"/>
      <c r="P448" s="103"/>
      <c r="Q448" s="103"/>
      <c r="R448" s="83"/>
      <c r="S448" s="103"/>
      <c r="T448" s="103"/>
      <c r="U448" s="103"/>
    </row>
    <row r="449" customFormat="false" ht="22.5" hidden="false" customHeight="true" outlineLevel="0" collapsed="false">
      <c r="A449" s="99"/>
      <c r="B449" s="99"/>
      <c r="C449" s="99"/>
      <c r="D449" s="121"/>
      <c r="E449" s="99"/>
      <c r="F449" s="124" t="str">
        <f aca="false">IF(E449="CONTADO", 4%, IF(E449="TARJETA / CHEQUE", 3%, IF(OR(E449="FINANCIADO", E449="MCP"), 2.5%, "")))</f>
        <v/>
      </c>
      <c r="G449" s="121" t="str">
        <f aca="false">IF(F449="", "", F449*D449)</f>
        <v/>
      </c>
      <c r="H449" s="132" t="b">
        <f aca="false">FALSE()</f>
        <v>0</v>
      </c>
      <c r="I449" s="132" t="b">
        <f aca="false">FALSE()</f>
        <v>0</v>
      </c>
      <c r="J449" s="126"/>
      <c r="K449" s="99"/>
      <c r="L449" s="83"/>
      <c r="M449" s="103"/>
      <c r="N449" s="103"/>
      <c r="O449" s="103"/>
      <c r="P449" s="103"/>
      <c r="Q449" s="103"/>
      <c r="R449" s="83"/>
      <c r="S449" s="103"/>
      <c r="T449" s="103"/>
      <c r="U449" s="103"/>
    </row>
    <row r="450" customFormat="false" ht="22.5" hidden="false" customHeight="true" outlineLevel="0" collapsed="false">
      <c r="A450" s="110"/>
      <c r="B450" s="110"/>
      <c r="C450" s="110"/>
      <c r="D450" s="122"/>
      <c r="E450" s="110"/>
      <c r="F450" s="128" t="str">
        <f aca="false">IF(E450="CONTADO", 4%, IF(E450="TARJETA / CHEQUE", 3%, IF(OR(E450="FINANCIADO", E450="MCP"), 2.5%, "")))</f>
        <v/>
      </c>
      <c r="G450" s="122" t="str">
        <f aca="false">IF(F450="", "", F450*D450)</f>
        <v/>
      </c>
      <c r="H450" s="131" t="b">
        <f aca="false">FALSE()</f>
        <v>0</v>
      </c>
      <c r="I450" s="131" t="b">
        <f aca="false">FALSE()</f>
        <v>0</v>
      </c>
      <c r="J450" s="130"/>
      <c r="K450" s="110"/>
      <c r="L450" s="83"/>
      <c r="M450" s="103"/>
      <c r="N450" s="103"/>
      <c r="O450" s="103"/>
      <c r="P450" s="103"/>
      <c r="Q450" s="103"/>
      <c r="R450" s="83"/>
      <c r="S450" s="103"/>
      <c r="T450" s="103"/>
      <c r="U450" s="103"/>
    </row>
    <row r="451" customFormat="false" ht="22.5" hidden="false" customHeight="true" outlineLevel="0" collapsed="false">
      <c r="A451" s="99"/>
      <c r="B451" s="99"/>
      <c r="C451" s="99"/>
      <c r="D451" s="121"/>
      <c r="E451" s="99"/>
      <c r="F451" s="124" t="str">
        <f aca="false">IF(E451="CONTADO", 4%, IF(E451="TARJETA / CHEQUE", 3%, IF(OR(E451="FINANCIADO", E451="MCP"), 2.5%, "")))</f>
        <v/>
      </c>
      <c r="G451" s="121" t="str">
        <f aca="false">IF(F451="", "", F451*D451)</f>
        <v/>
      </c>
      <c r="H451" s="132" t="b">
        <f aca="false">FALSE()</f>
        <v>0</v>
      </c>
      <c r="I451" s="132" t="b">
        <f aca="false">FALSE()</f>
        <v>0</v>
      </c>
      <c r="J451" s="126"/>
      <c r="K451" s="99"/>
      <c r="L451" s="83"/>
      <c r="M451" s="103"/>
      <c r="N451" s="103"/>
      <c r="O451" s="103"/>
      <c r="P451" s="103"/>
      <c r="Q451" s="103"/>
      <c r="R451" s="83"/>
      <c r="S451" s="103"/>
      <c r="T451" s="103"/>
      <c r="U451" s="103"/>
    </row>
    <row r="452" customFormat="false" ht="22.5" hidden="false" customHeight="true" outlineLevel="0" collapsed="false">
      <c r="A452" s="110"/>
      <c r="B452" s="110"/>
      <c r="C452" s="110"/>
      <c r="D452" s="122"/>
      <c r="E452" s="110"/>
      <c r="F452" s="128" t="str">
        <f aca="false">IF(E452="CONTADO", 4%, IF(E452="TARJETA / CHEQUE", 3%, IF(OR(E452="FINANCIADO", E452="MCP"), 2.5%, "")))</f>
        <v/>
      </c>
      <c r="G452" s="122" t="str">
        <f aca="false">IF(F452="", "", F452*D452)</f>
        <v/>
      </c>
      <c r="H452" s="131" t="b">
        <f aca="false">FALSE()</f>
        <v>0</v>
      </c>
      <c r="I452" s="131" t="b">
        <f aca="false">FALSE()</f>
        <v>0</v>
      </c>
      <c r="J452" s="130"/>
      <c r="K452" s="110"/>
      <c r="L452" s="83"/>
      <c r="M452" s="103"/>
      <c r="N452" s="103"/>
      <c r="O452" s="103"/>
      <c r="P452" s="103"/>
      <c r="Q452" s="103"/>
      <c r="R452" s="83"/>
      <c r="S452" s="103"/>
      <c r="T452" s="103"/>
      <c r="U452" s="103"/>
    </row>
    <row r="453" customFormat="false" ht="22.5" hidden="false" customHeight="true" outlineLevel="0" collapsed="false">
      <c r="A453" s="99"/>
      <c r="B453" s="99"/>
      <c r="C453" s="99"/>
      <c r="D453" s="121"/>
      <c r="E453" s="99"/>
      <c r="F453" s="124" t="str">
        <f aca="false">IF(E453="CONTADO", 4%, IF(E453="TARJETA / CHEQUE", 3%, IF(OR(E453="FINANCIADO", E453="MCP"), 2.5%, "")))</f>
        <v/>
      </c>
      <c r="G453" s="121" t="str">
        <f aca="false">IF(F453="", "", F453*D453)</f>
        <v/>
      </c>
      <c r="H453" s="132" t="b">
        <f aca="false">FALSE()</f>
        <v>0</v>
      </c>
      <c r="I453" s="132" t="b">
        <f aca="false">FALSE()</f>
        <v>0</v>
      </c>
      <c r="J453" s="126"/>
      <c r="K453" s="99"/>
      <c r="L453" s="83"/>
      <c r="M453" s="103"/>
      <c r="N453" s="103"/>
      <c r="O453" s="103"/>
      <c r="P453" s="103"/>
      <c r="Q453" s="103"/>
      <c r="R453" s="83"/>
      <c r="S453" s="103"/>
      <c r="T453" s="103"/>
      <c r="U453" s="103"/>
    </row>
    <row r="454" customFormat="false" ht="22.5" hidden="false" customHeight="true" outlineLevel="0" collapsed="false">
      <c r="A454" s="110"/>
      <c r="B454" s="110"/>
      <c r="C454" s="110"/>
      <c r="D454" s="122"/>
      <c r="E454" s="110"/>
      <c r="F454" s="128" t="str">
        <f aca="false">IF(E454="CONTADO", 4%, IF(E454="TARJETA / CHEQUE", 3%, IF(OR(E454="FINANCIADO", E454="MCP"), 2.5%, "")))</f>
        <v/>
      </c>
      <c r="G454" s="122" t="str">
        <f aca="false">IF(F454="", "", F454*D454)</f>
        <v/>
      </c>
      <c r="H454" s="131" t="b">
        <f aca="false">FALSE()</f>
        <v>0</v>
      </c>
      <c r="I454" s="131" t="b">
        <f aca="false">FALSE()</f>
        <v>0</v>
      </c>
      <c r="J454" s="130"/>
      <c r="K454" s="110"/>
      <c r="L454" s="83"/>
      <c r="M454" s="103"/>
      <c r="N454" s="103"/>
      <c r="O454" s="103"/>
      <c r="P454" s="103"/>
      <c r="Q454" s="103"/>
      <c r="R454" s="83"/>
      <c r="S454" s="103"/>
      <c r="T454" s="103"/>
      <c r="U454" s="103"/>
    </row>
    <row r="455" customFormat="false" ht="22.5" hidden="false" customHeight="true" outlineLevel="0" collapsed="false">
      <c r="A455" s="99"/>
      <c r="B455" s="99"/>
      <c r="C455" s="99"/>
      <c r="D455" s="121"/>
      <c r="E455" s="99"/>
      <c r="F455" s="124" t="str">
        <f aca="false">IF(E455="CONTADO", 4%, IF(E455="TARJETA / CHEQUE", 3%, IF(OR(E455="FINANCIADO", E455="MCP"), 2.5%, "")))</f>
        <v/>
      </c>
      <c r="G455" s="121" t="str">
        <f aca="false">IF(F455="", "", F455*D455)</f>
        <v/>
      </c>
      <c r="H455" s="132" t="b">
        <f aca="false">FALSE()</f>
        <v>0</v>
      </c>
      <c r="I455" s="132" t="b">
        <f aca="false">FALSE()</f>
        <v>0</v>
      </c>
      <c r="J455" s="126"/>
      <c r="K455" s="99"/>
      <c r="L455" s="83"/>
      <c r="M455" s="103"/>
      <c r="N455" s="103"/>
      <c r="O455" s="103"/>
      <c r="P455" s="103"/>
      <c r="Q455" s="103"/>
      <c r="R455" s="83"/>
      <c r="S455" s="103"/>
      <c r="T455" s="103"/>
      <c r="U455" s="103"/>
    </row>
    <row r="456" customFormat="false" ht="22.5" hidden="false" customHeight="true" outlineLevel="0" collapsed="false">
      <c r="A456" s="110"/>
      <c r="B456" s="110"/>
      <c r="C456" s="110"/>
      <c r="D456" s="122"/>
      <c r="E456" s="110"/>
      <c r="F456" s="128" t="str">
        <f aca="false">IF(E456="CONTADO", 4%, IF(E456="TARJETA / CHEQUE", 3%, IF(OR(E456="FINANCIADO", E456="MCP"), 2.5%, "")))</f>
        <v/>
      </c>
      <c r="G456" s="122" t="str">
        <f aca="false">IF(F456="", "", F456*D456)</f>
        <v/>
      </c>
      <c r="H456" s="131" t="b">
        <f aca="false">FALSE()</f>
        <v>0</v>
      </c>
      <c r="I456" s="131" t="b">
        <f aca="false">FALSE()</f>
        <v>0</v>
      </c>
      <c r="J456" s="130"/>
      <c r="K456" s="110"/>
      <c r="L456" s="83"/>
      <c r="M456" s="103"/>
      <c r="N456" s="103"/>
      <c r="O456" s="103"/>
      <c r="P456" s="103"/>
      <c r="Q456" s="103"/>
      <c r="R456" s="83"/>
      <c r="S456" s="103"/>
      <c r="T456" s="103"/>
      <c r="U456" s="103"/>
    </row>
    <row r="457" customFormat="false" ht="22.5" hidden="false" customHeight="true" outlineLevel="0" collapsed="false">
      <c r="A457" s="99"/>
      <c r="B457" s="99"/>
      <c r="C457" s="99"/>
      <c r="D457" s="121"/>
      <c r="E457" s="99"/>
      <c r="F457" s="124" t="str">
        <f aca="false">IF(E457="CONTADO", 4%, IF(E457="TARJETA / CHEQUE", 3%, IF(OR(E457="FINANCIADO", E457="MCP"), 2.5%, "")))</f>
        <v/>
      </c>
      <c r="G457" s="121" t="str">
        <f aca="false">IF(F457="", "", F457*D457)</f>
        <v/>
      </c>
      <c r="H457" s="132" t="b">
        <f aca="false">FALSE()</f>
        <v>0</v>
      </c>
      <c r="I457" s="132" t="b">
        <f aca="false">FALSE()</f>
        <v>0</v>
      </c>
      <c r="J457" s="126"/>
      <c r="K457" s="99"/>
      <c r="L457" s="83"/>
      <c r="M457" s="103"/>
      <c r="N457" s="103"/>
      <c r="O457" s="103"/>
      <c r="P457" s="103"/>
      <c r="Q457" s="103"/>
      <c r="R457" s="83"/>
      <c r="S457" s="103"/>
      <c r="T457" s="103"/>
      <c r="U457" s="103"/>
    </row>
    <row r="458" customFormat="false" ht="22.5" hidden="false" customHeight="true" outlineLevel="0" collapsed="false">
      <c r="A458" s="110"/>
      <c r="B458" s="110"/>
      <c r="C458" s="110"/>
      <c r="D458" s="122"/>
      <c r="E458" s="110"/>
      <c r="F458" s="128" t="str">
        <f aca="false">IF(E458="CONTADO", 4%, IF(E458="TARJETA / CHEQUE", 3%, IF(OR(E458="FINANCIADO", E458="MCP"), 2.5%, "")))</f>
        <v/>
      </c>
      <c r="G458" s="122" t="str">
        <f aca="false">IF(F458="", "", F458*D458)</f>
        <v/>
      </c>
      <c r="H458" s="131" t="b">
        <f aca="false">FALSE()</f>
        <v>0</v>
      </c>
      <c r="I458" s="131" t="b">
        <f aca="false">FALSE()</f>
        <v>0</v>
      </c>
      <c r="J458" s="130"/>
      <c r="K458" s="110"/>
      <c r="L458" s="83"/>
      <c r="M458" s="103"/>
      <c r="N458" s="103"/>
      <c r="O458" s="103"/>
      <c r="P458" s="103"/>
      <c r="Q458" s="103"/>
      <c r="R458" s="83"/>
      <c r="S458" s="103"/>
      <c r="T458" s="103"/>
      <c r="U458" s="103"/>
    </row>
    <row r="459" customFormat="false" ht="22.5" hidden="false" customHeight="true" outlineLevel="0" collapsed="false">
      <c r="A459" s="99"/>
      <c r="B459" s="99"/>
      <c r="C459" s="99"/>
      <c r="D459" s="121"/>
      <c r="E459" s="99"/>
      <c r="F459" s="124" t="str">
        <f aca="false">IF(E459="CONTADO", 4%, IF(E459="TARJETA / CHEQUE", 3%, IF(OR(E459="FINANCIADO", E459="MCP"), 2.5%, "")))</f>
        <v/>
      </c>
      <c r="G459" s="121" t="str">
        <f aca="false">IF(F459="", "", F459*D459)</f>
        <v/>
      </c>
      <c r="H459" s="132" t="b">
        <f aca="false">FALSE()</f>
        <v>0</v>
      </c>
      <c r="I459" s="132" t="b">
        <f aca="false">FALSE()</f>
        <v>0</v>
      </c>
      <c r="J459" s="126"/>
      <c r="K459" s="99"/>
      <c r="L459" s="83"/>
      <c r="M459" s="103"/>
      <c r="N459" s="103"/>
      <c r="O459" s="103"/>
      <c r="P459" s="103"/>
      <c r="Q459" s="103"/>
      <c r="R459" s="83"/>
      <c r="S459" s="103"/>
      <c r="T459" s="103"/>
      <c r="U459" s="103"/>
    </row>
    <row r="460" customFormat="false" ht="22.5" hidden="false" customHeight="true" outlineLevel="0" collapsed="false">
      <c r="A460" s="110"/>
      <c r="B460" s="110"/>
      <c r="C460" s="110"/>
      <c r="D460" s="122"/>
      <c r="E460" s="110"/>
      <c r="F460" s="128" t="str">
        <f aca="false">IF(E460="CONTADO", 4%, IF(E460="TARJETA / CHEQUE", 3%, IF(OR(E460="FINANCIADO", E460="MCP"), 2.5%, "")))</f>
        <v/>
      </c>
      <c r="G460" s="122" t="str">
        <f aca="false">IF(F460="", "", F460*D460)</f>
        <v/>
      </c>
      <c r="H460" s="131" t="b">
        <f aca="false">FALSE()</f>
        <v>0</v>
      </c>
      <c r="I460" s="131" t="b">
        <f aca="false">FALSE()</f>
        <v>0</v>
      </c>
      <c r="J460" s="130"/>
      <c r="K460" s="110"/>
      <c r="L460" s="83"/>
      <c r="M460" s="103"/>
      <c r="N460" s="103"/>
      <c r="O460" s="103"/>
      <c r="P460" s="103"/>
      <c r="Q460" s="103"/>
      <c r="R460" s="83"/>
      <c r="S460" s="103"/>
      <c r="T460" s="103"/>
      <c r="U460" s="103"/>
    </row>
    <row r="461" customFormat="false" ht="22.5" hidden="false" customHeight="true" outlineLevel="0" collapsed="false">
      <c r="A461" s="99"/>
      <c r="B461" s="99"/>
      <c r="C461" s="99"/>
      <c r="D461" s="121"/>
      <c r="E461" s="99"/>
      <c r="F461" s="124" t="str">
        <f aca="false">IF(E461="CONTADO", 4%, IF(E461="TARJETA / CHEQUE", 3%, IF(OR(E461="FINANCIADO", E461="MCP"), 2.5%, "")))</f>
        <v/>
      </c>
      <c r="G461" s="121" t="str">
        <f aca="false">IF(F461="", "", F461*D461)</f>
        <v/>
      </c>
      <c r="H461" s="132" t="b">
        <f aca="false">FALSE()</f>
        <v>0</v>
      </c>
      <c r="I461" s="132" t="b">
        <f aca="false">FALSE()</f>
        <v>0</v>
      </c>
      <c r="J461" s="126"/>
      <c r="K461" s="99"/>
      <c r="L461" s="83"/>
      <c r="M461" s="103"/>
      <c r="N461" s="103"/>
      <c r="O461" s="103"/>
      <c r="P461" s="103"/>
      <c r="Q461" s="103"/>
      <c r="R461" s="83"/>
      <c r="S461" s="103"/>
      <c r="T461" s="103"/>
      <c r="U461" s="103"/>
    </row>
    <row r="462" customFormat="false" ht="22.5" hidden="false" customHeight="true" outlineLevel="0" collapsed="false">
      <c r="A462" s="110"/>
      <c r="B462" s="110"/>
      <c r="C462" s="110"/>
      <c r="D462" s="122"/>
      <c r="E462" s="110"/>
      <c r="F462" s="128" t="str">
        <f aca="false">IF(E462="CONTADO", 4%, IF(E462="TARJETA / CHEQUE", 3%, IF(OR(E462="FINANCIADO", E462="MCP"), 2.5%, "")))</f>
        <v/>
      </c>
      <c r="G462" s="122" t="str">
        <f aca="false">IF(F462="", "", F462*D462)</f>
        <v/>
      </c>
      <c r="H462" s="131" t="b">
        <f aca="false">FALSE()</f>
        <v>0</v>
      </c>
      <c r="I462" s="131" t="b">
        <f aca="false">FALSE()</f>
        <v>0</v>
      </c>
      <c r="J462" s="130"/>
      <c r="K462" s="110"/>
      <c r="L462" s="83"/>
      <c r="M462" s="103"/>
      <c r="N462" s="103"/>
      <c r="O462" s="103"/>
      <c r="P462" s="103"/>
      <c r="Q462" s="103"/>
      <c r="R462" s="83"/>
      <c r="S462" s="103"/>
      <c r="T462" s="103"/>
      <c r="U462" s="103"/>
    </row>
    <row r="463" customFormat="false" ht="22.5" hidden="false" customHeight="true" outlineLevel="0" collapsed="false">
      <c r="A463" s="99"/>
      <c r="B463" s="99"/>
      <c r="C463" s="99"/>
      <c r="D463" s="121"/>
      <c r="E463" s="99"/>
      <c r="F463" s="124" t="str">
        <f aca="false">IF(E463="CONTADO", 4%, IF(E463="TARJETA / CHEQUE", 3%, IF(OR(E463="FINANCIADO", E463="MCP"), 2.5%, "")))</f>
        <v/>
      </c>
      <c r="G463" s="121" t="str">
        <f aca="false">IF(F463="", "", F463*D463)</f>
        <v/>
      </c>
      <c r="H463" s="132" t="b">
        <f aca="false">FALSE()</f>
        <v>0</v>
      </c>
      <c r="I463" s="132" t="b">
        <f aca="false">FALSE()</f>
        <v>0</v>
      </c>
      <c r="J463" s="126"/>
      <c r="K463" s="99"/>
      <c r="L463" s="83"/>
      <c r="M463" s="103"/>
      <c r="N463" s="103"/>
      <c r="O463" s="103"/>
      <c r="P463" s="103"/>
      <c r="Q463" s="103"/>
      <c r="R463" s="83"/>
      <c r="S463" s="103"/>
      <c r="T463" s="103"/>
      <c r="U463" s="103"/>
    </row>
    <row r="464" customFormat="false" ht="22.5" hidden="false" customHeight="true" outlineLevel="0" collapsed="false">
      <c r="A464" s="110"/>
      <c r="B464" s="110"/>
      <c r="C464" s="110"/>
      <c r="D464" s="122"/>
      <c r="E464" s="110"/>
      <c r="F464" s="128" t="str">
        <f aca="false">IF(E464="CONTADO", 4%, IF(E464="TARJETA / CHEQUE", 3%, IF(OR(E464="FINANCIADO", E464="MCP"), 2.5%, "")))</f>
        <v/>
      </c>
      <c r="G464" s="122" t="str">
        <f aca="false">IF(F464="", "", F464*D464)</f>
        <v/>
      </c>
      <c r="H464" s="131" t="b">
        <f aca="false">FALSE()</f>
        <v>0</v>
      </c>
      <c r="I464" s="131" t="b">
        <f aca="false">FALSE()</f>
        <v>0</v>
      </c>
      <c r="J464" s="130"/>
      <c r="K464" s="110"/>
      <c r="L464" s="83"/>
      <c r="M464" s="103"/>
      <c r="N464" s="103"/>
      <c r="O464" s="103"/>
      <c r="P464" s="103"/>
      <c r="Q464" s="103"/>
      <c r="R464" s="83"/>
      <c r="S464" s="103"/>
      <c r="T464" s="103"/>
      <c r="U464" s="103"/>
    </row>
    <row r="465" customFormat="false" ht="22.5" hidden="false" customHeight="true" outlineLevel="0" collapsed="false">
      <c r="A465" s="99"/>
      <c r="B465" s="99"/>
      <c r="C465" s="99"/>
      <c r="D465" s="121"/>
      <c r="E465" s="99"/>
      <c r="F465" s="124" t="str">
        <f aca="false">IF(E465="CONTADO", 4%, IF(E465="TARJETA / CHEQUE", 3%, IF(OR(E465="FINANCIADO", E465="MCP"), 2.5%, "")))</f>
        <v/>
      </c>
      <c r="G465" s="121" t="str">
        <f aca="false">IF(F465="", "", F465*D465)</f>
        <v/>
      </c>
      <c r="H465" s="132" t="b">
        <f aca="false">FALSE()</f>
        <v>0</v>
      </c>
      <c r="I465" s="132" t="b">
        <f aca="false">FALSE()</f>
        <v>0</v>
      </c>
      <c r="J465" s="126"/>
      <c r="K465" s="99"/>
      <c r="L465" s="83"/>
      <c r="M465" s="103"/>
      <c r="N465" s="103"/>
      <c r="O465" s="103"/>
      <c r="P465" s="103"/>
      <c r="Q465" s="103"/>
      <c r="R465" s="83"/>
      <c r="S465" s="103"/>
      <c r="T465" s="103"/>
      <c r="U465" s="103"/>
    </row>
    <row r="466" customFormat="false" ht="22.5" hidden="false" customHeight="true" outlineLevel="0" collapsed="false">
      <c r="A466" s="110"/>
      <c r="B466" s="110"/>
      <c r="C466" s="110"/>
      <c r="D466" s="122"/>
      <c r="E466" s="110"/>
      <c r="F466" s="128" t="str">
        <f aca="false">IF(E466="CONTADO", 4%, IF(E466="TARJETA / CHEQUE", 3%, IF(OR(E466="FINANCIADO", E466="MCP"), 2.5%, "")))</f>
        <v/>
      </c>
      <c r="G466" s="122" t="str">
        <f aca="false">IF(F466="", "", F466*D466)</f>
        <v/>
      </c>
      <c r="H466" s="131" t="b">
        <f aca="false">FALSE()</f>
        <v>0</v>
      </c>
      <c r="I466" s="131" t="b">
        <f aca="false">FALSE()</f>
        <v>0</v>
      </c>
      <c r="J466" s="130"/>
      <c r="K466" s="110"/>
      <c r="L466" s="83"/>
      <c r="M466" s="103"/>
      <c r="N466" s="103"/>
      <c r="O466" s="103"/>
      <c r="P466" s="103"/>
      <c r="Q466" s="103"/>
      <c r="R466" s="83"/>
      <c r="S466" s="103"/>
      <c r="T466" s="103"/>
      <c r="U466" s="103"/>
    </row>
    <row r="467" customFormat="false" ht="22.5" hidden="false" customHeight="true" outlineLevel="0" collapsed="false">
      <c r="A467" s="99"/>
      <c r="B467" s="99"/>
      <c r="C467" s="99"/>
      <c r="D467" s="121"/>
      <c r="E467" s="99"/>
      <c r="F467" s="124" t="str">
        <f aca="false">IF(E467="CONTADO", 4%, IF(E467="TARJETA / CHEQUE", 3%, IF(OR(E467="FINANCIADO", E467="MCP"), 2.5%, "")))</f>
        <v/>
      </c>
      <c r="G467" s="121" t="str">
        <f aca="false">IF(F467="", "", F467*D467)</f>
        <v/>
      </c>
      <c r="H467" s="132" t="b">
        <f aca="false">FALSE()</f>
        <v>0</v>
      </c>
      <c r="I467" s="132" t="b">
        <f aca="false">FALSE()</f>
        <v>0</v>
      </c>
      <c r="J467" s="126"/>
      <c r="K467" s="99"/>
      <c r="L467" s="83"/>
      <c r="M467" s="103"/>
      <c r="N467" s="103"/>
      <c r="O467" s="103"/>
      <c r="P467" s="103"/>
      <c r="Q467" s="103"/>
      <c r="R467" s="83"/>
      <c r="S467" s="103"/>
      <c r="T467" s="103"/>
      <c r="U467" s="103"/>
    </row>
    <row r="468" customFormat="false" ht="22.5" hidden="false" customHeight="true" outlineLevel="0" collapsed="false">
      <c r="A468" s="110"/>
      <c r="B468" s="110"/>
      <c r="C468" s="110"/>
      <c r="D468" s="122"/>
      <c r="E468" s="110"/>
      <c r="F468" s="128" t="str">
        <f aca="false">IF(E468="CONTADO", 4%, IF(E468="TARJETA / CHEQUE", 3%, IF(OR(E468="FINANCIADO", E468="MCP"), 2.5%, "")))</f>
        <v/>
      </c>
      <c r="G468" s="122" t="str">
        <f aca="false">IF(F468="", "", F468*D468)</f>
        <v/>
      </c>
      <c r="H468" s="131" t="b">
        <f aca="false">FALSE()</f>
        <v>0</v>
      </c>
      <c r="I468" s="131" t="b">
        <f aca="false">FALSE()</f>
        <v>0</v>
      </c>
      <c r="J468" s="130"/>
      <c r="K468" s="110"/>
      <c r="L468" s="83"/>
      <c r="M468" s="103"/>
      <c r="N468" s="103"/>
      <c r="O468" s="103"/>
      <c r="P468" s="103"/>
      <c r="Q468" s="103"/>
      <c r="R468" s="83"/>
      <c r="S468" s="103"/>
      <c r="T468" s="103"/>
      <c r="U468" s="103"/>
    </row>
    <row r="469" customFormat="false" ht="22.5" hidden="false" customHeight="true" outlineLevel="0" collapsed="false">
      <c r="A469" s="99"/>
      <c r="B469" s="99"/>
      <c r="C469" s="99"/>
      <c r="D469" s="121"/>
      <c r="E469" s="99"/>
      <c r="F469" s="124" t="str">
        <f aca="false">IF(E469="CONTADO", 4%, IF(E469="TARJETA / CHEQUE", 3%, IF(OR(E469="FINANCIADO", E469="MCP"), 2.5%, "")))</f>
        <v/>
      </c>
      <c r="G469" s="121" t="str">
        <f aca="false">IF(F469="", "", F469*D469)</f>
        <v/>
      </c>
      <c r="H469" s="132" t="b">
        <f aca="false">FALSE()</f>
        <v>0</v>
      </c>
      <c r="I469" s="132" t="b">
        <f aca="false">FALSE()</f>
        <v>0</v>
      </c>
      <c r="J469" s="126"/>
      <c r="K469" s="99"/>
      <c r="L469" s="83"/>
      <c r="M469" s="103"/>
      <c r="N469" s="103"/>
      <c r="O469" s="103"/>
      <c r="P469" s="103"/>
      <c r="Q469" s="103"/>
      <c r="R469" s="83"/>
      <c r="S469" s="103"/>
      <c r="T469" s="103"/>
      <c r="U469" s="103"/>
    </row>
    <row r="470" customFormat="false" ht="22.5" hidden="false" customHeight="true" outlineLevel="0" collapsed="false">
      <c r="A470" s="110"/>
      <c r="B470" s="110"/>
      <c r="C470" s="110"/>
      <c r="D470" s="122"/>
      <c r="E470" s="110"/>
      <c r="F470" s="128" t="str">
        <f aca="false">IF(E470="CONTADO", 4%, IF(E470="TARJETA / CHEQUE", 3%, IF(OR(E470="FINANCIADO", E470="MCP"), 2.5%, "")))</f>
        <v/>
      </c>
      <c r="G470" s="122" t="str">
        <f aca="false">IF(F470="", "", F470*D470)</f>
        <v/>
      </c>
      <c r="H470" s="131" t="b">
        <f aca="false">FALSE()</f>
        <v>0</v>
      </c>
      <c r="I470" s="131" t="b">
        <f aca="false">FALSE()</f>
        <v>0</v>
      </c>
      <c r="J470" s="130"/>
      <c r="K470" s="110"/>
      <c r="L470" s="83"/>
      <c r="M470" s="103"/>
      <c r="N470" s="103"/>
      <c r="O470" s="103"/>
      <c r="P470" s="103"/>
      <c r="Q470" s="103"/>
      <c r="R470" s="83"/>
      <c r="S470" s="103"/>
      <c r="T470" s="103"/>
      <c r="U470" s="103"/>
    </row>
    <row r="471" customFormat="false" ht="22.5" hidden="false" customHeight="true" outlineLevel="0" collapsed="false">
      <c r="A471" s="99"/>
      <c r="B471" s="99"/>
      <c r="C471" s="99"/>
      <c r="D471" s="121"/>
      <c r="E471" s="99"/>
      <c r="F471" s="124" t="str">
        <f aca="false">IF(E471="CONTADO", 4%, IF(E471="TARJETA / CHEQUE", 3%, IF(OR(E471="FINANCIADO", E471="MCP"), 2.5%, "")))</f>
        <v/>
      </c>
      <c r="G471" s="121" t="str">
        <f aca="false">IF(F471="", "", F471*D471)</f>
        <v/>
      </c>
      <c r="H471" s="132" t="b">
        <f aca="false">FALSE()</f>
        <v>0</v>
      </c>
      <c r="I471" s="132" t="b">
        <f aca="false">FALSE()</f>
        <v>0</v>
      </c>
      <c r="J471" s="126"/>
      <c r="K471" s="99"/>
      <c r="L471" s="83"/>
      <c r="M471" s="103"/>
      <c r="N471" s="103"/>
      <c r="O471" s="103"/>
      <c r="P471" s="103"/>
      <c r="Q471" s="103"/>
      <c r="R471" s="83"/>
      <c r="S471" s="103"/>
      <c r="T471" s="103"/>
      <c r="U471" s="103"/>
    </row>
    <row r="472" customFormat="false" ht="22.5" hidden="false" customHeight="true" outlineLevel="0" collapsed="false">
      <c r="A472" s="110"/>
      <c r="B472" s="110"/>
      <c r="C472" s="110"/>
      <c r="D472" s="122"/>
      <c r="E472" s="110"/>
      <c r="F472" s="128" t="str">
        <f aca="false">IF(E472="CONTADO", 4%, IF(E472="TARJETA / CHEQUE", 3%, IF(OR(E472="FINANCIADO", E472="MCP"), 2.5%, "")))</f>
        <v/>
      </c>
      <c r="G472" s="122" t="str">
        <f aca="false">IF(F472="", "", F472*D472)</f>
        <v/>
      </c>
      <c r="H472" s="131" t="b">
        <f aca="false">FALSE()</f>
        <v>0</v>
      </c>
      <c r="I472" s="131" t="b">
        <f aca="false">FALSE()</f>
        <v>0</v>
      </c>
      <c r="J472" s="130"/>
      <c r="K472" s="110"/>
      <c r="L472" s="83"/>
      <c r="M472" s="103"/>
      <c r="N472" s="103"/>
      <c r="O472" s="103"/>
      <c r="P472" s="103"/>
      <c r="Q472" s="103"/>
      <c r="R472" s="83"/>
      <c r="S472" s="103"/>
      <c r="T472" s="103"/>
      <c r="U472" s="103"/>
    </row>
    <row r="473" customFormat="false" ht="22.5" hidden="false" customHeight="true" outlineLevel="0" collapsed="false">
      <c r="A473" s="99"/>
      <c r="B473" s="99"/>
      <c r="C473" s="99"/>
      <c r="D473" s="121"/>
      <c r="E473" s="99"/>
      <c r="F473" s="124" t="str">
        <f aca="false">IF(E473="CONTADO", 4%, IF(E473="TARJETA / CHEQUE", 3%, IF(OR(E473="FINANCIADO", E473="MCP"), 2.5%, "")))</f>
        <v/>
      </c>
      <c r="G473" s="121" t="str">
        <f aca="false">IF(F473="", "", F473*D473)</f>
        <v/>
      </c>
      <c r="H473" s="132" t="b">
        <f aca="false">FALSE()</f>
        <v>0</v>
      </c>
      <c r="I473" s="132" t="b">
        <f aca="false">FALSE()</f>
        <v>0</v>
      </c>
      <c r="J473" s="126"/>
      <c r="K473" s="99"/>
      <c r="L473" s="83"/>
      <c r="M473" s="103"/>
      <c r="N473" s="103"/>
      <c r="O473" s="103"/>
      <c r="P473" s="103"/>
      <c r="Q473" s="103"/>
      <c r="R473" s="83"/>
      <c r="S473" s="103"/>
      <c r="T473" s="103"/>
      <c r="U473" s="103"/>
    </row>
    <row r="474" customFormat="false" ht="22.5" hidden="false" customHeight="true" outlineLevel="0" collapsed="false">
      <c r="A474" s="110"/>
      <c r="B474" s="110"/>
      <c r="C474" s="110"/>
      <c r="D474" s="122"/>
      <c r="E474" s="110"/>
      <c r="F474" s="128" t="str">
        <f aca="false">IF(E474="CONTADO", 4%, IF(E474="TARJETA / CHEQUE", 3%, IF(OR(E474="FINANCIADO", E474="MCP"), 2.5%, "")))</f>
        <v/>
      </c>
      <c r="G474" s="122" t="str">
        <f aca="false">IF(F474="", "", F474*D474)</f>
        <v/>
      </c>
      <c r="H474" s="131" t="b">
        <f aca="false">FALSE()</f>
        <v>0</v>
      </c>
      <c r="I474" s="131" t="b">
        <f aca="false">FALSE()</f>
        <v>0</v>
      </c>
      <c r="J474" s="130"/>
      <c r="K474" s="110"/>
      <c r="L474" s="83"/>
      <c r="M474" s="103"/>
      <c r="N474" s="103"/>
      <c r="O474" s="103"/>
      <c r="P474" s="103"/>
      <c r="Q474" s="103"/>
      <c r="R474" s="83"/>
      <c r="S474" s="103"/>
      <c r="T474" s="103"/>
      <c r="U474" s="103"/>
    </row>
    <row r="475" customFormat="false" ht="22.5" hidden="false" customHeight="true" outlineLevel="0" collapsed="false">
      <c r="A475" s="99"/>
      <c r="B475" s="99"/>
      <c r="C475" s="99"/>
      <c r="D475" s="121"/>
      <c r="E475" s="99"/>
      <c r="F475" s="124" t="str">
        <f aca="false">IF(E475="CONTADO", 4%, IF(E475="TARJETA / CHEQUE", 3%, IF(OR(E475="FINANCIADO", E475="MCP"), 2.5%, "")))</f>
        <v/>
      </c>
      <c r="G475" s="121" t="str">
        <f aca="false">IF(F475="", "", F475*D475)</f>
        <v/>
      </c>
      <c r="H475" s="132" t="b">
        <f aca="false">FALSE()</f>
        <v>0</v>
      </c>
      <c r="I475" s="132" t="b">
        <f aca="false">FALSE()</f>
        <v>0</v>
      </c>
      <c r="J475" s="126"/>
      <c r="K475" s="99"/>
      <c r="L475" s="83"/>
      <c r="M475" s="103"/>
      <c r="N475" s="103"/>
      <c r="O475" s="103"/>
      <c r="P475" s="103"/>
      <c r="Q475" s="103"/>
      <c r="R475" s="83"/>
      <c r="S475" s="103"/>
      <c r="T475" s="103"/>
      <c r="U475" s="103"/>
    </row>
    <row r="476" customFormat="false" ht="22.5" hidden="false" customHeight="true" outlineLevel="0" collapsed="false">
      <c r="A476" s="110"/>
      <c r="B476" s="110"/>
      <c r="C476" s="110"/>
      <c r="D476" s="122"/>
      <c r="E476" s="110"/>
      <c r="F476" s="128" t="str">
        <f aca="false">IF(E476="CONTADO", 4%, IF(E476="TARJETA / CHEQUE", 3%, IF(OR(E476="FINANCIADO", E476="MCP"), 2.5%, "")))</f>
        <v/>
      </c>
      <c r="G476" s="122" t="str">
        <f aca="false">IF(F476="", "", F476*D476)</f>
        <v/>
      </c>
      <c r="H476" s="131" t="b">
        <f aca="false">FALSE()</f>
        <v>0</v>
      </c>
      <c r="I476" s="131" t="b">
        <f aca="false">FALSE()</f>
        <v>0</v>
      </c>
      <c r="J476" s="130"/>
      <c r="K476" s="110"/>
      <c r="L476" s="83"/>
      <c r="M476" s="103"/>
      <c r="N476" s="103"/>
      <c r="O476" s="103"/>
      <c r="P476" s="103"/>
      <c r="Q476" s="103"/>
      <c r="R476" s="83"/>
      <c r="S476" s="103"/>
      <c r="T476" s="103"/>
      <c r="U476" s="103"/>
    </row>
    <row r="477" customFormat="false" ht="22.5" hidden="false" customHeight="true" outlineLevel="0" collapsed="false">
      <c r="A477" s="99"/>
      <c r="B477" s="99"/>
      <c r="C477" s="99"/>
      <c r="D477" s="121"/>
      <c r="E477" s="99"/>
      <c r="F477" s="124" t="str">
        <f aca="false">IF(E477="CONTADO", 4%, IF(E477="TARJETA / CHEQUE", 3%, IF(OR(E477="FINANCIADO", E477="MCP"), 2.5%, "")))</f>
        <v/>
      </c>
      <c r="G477" s="121" t="str">
        <f aca="false">IF(F477="", "", F477*D477)</f>
        <v/>
      </c>
      <c r="H477" s="132" t="b">
        <f aca="false">FALSE()</f>
        <v>0</v>
      </c>
      <c r="I477" s="132" t="b">
        <f aca="false">FALSE()</f>
        <v>0</v>
      </c>
      <c r="J477" s="126"/>
      <c r="K477" s="99"/>
      <c r="L477" s="83"/>
      <c r="M477" s="103"/>
      <c r="N477" s="103"/>
      <c r="O477" s="103"/>
      <c r="P477" s="103"/>
      <c r="Q477" s="103"/>
      <c r="R477" s="83"/>
      <c r="S477" s="103"/>
      <c r="T477" s="103"/>
      <c r="U477" s="103"/>
    </row>
    <row r="478" customFormat="false" ht="22.5" hidden="false" customHeight="true" outlineLevel="0" collapsed="false">
      <c r="A478" s="110"/>
      <c r="B478" s="110"/>
      <c r="C478" s="110"/>
      <c r="D478" s="122"/>
      <c r="E478" s="110"/>
      <c r="F478" s="128" t="str">
        <f aca="false">IF(E478="CONTADO", 4%, IF(E478="TARJETA / CHEQUE", 3%, IF(OR(E478="FINANCIADO", E478="MCP"), 2.5%, "")))</f>
        <v/>
      </c>
      <c r="G478" s="122" t="str">
        <f aca="false">IF(F478="", "", F478*D478)</f>
        <v/>
      </c>
      <c r="H478" s="131" t="b">
        <f aca="false">FALSE()</f>
        <v>0</v>
      </c>
      <c r="I478" s="131" t="b">
        <f aca="false">FALSE()</f>
        <v>0</v>
      </c>
      <c r="J478" s="130"/>
      <c r="K478" s="110"/>
      <c r="L478" s="83"/>
      <c r="M478" s="103"/>
      <c r="N478" s="103"/>
      <c r="O478" s="103"/>
      <c r="P478" s="103"/>
      <c r="Q478" s="103"/>
      <c r="R478" s="83"/>
      <c r="S478" s="103"/>
      <c r="T478" s="103"/>
      <c r="U478" s="103"/>
    </row>
    <row r="479" customFormat="false" ht="22.5" hidden="false" customHeight="true" outlineLevel="0" collapsed="false">
      <c r="A479" s="99"/>
      <c r="B479" s="99"/>
      <c r="C479" s="99"/>
      <c r="D479" s="121"/>
      <c r="E479" s="99"/>
      <c r="F479" s="124" t="str">
        <f aca="false">IF(E479="CONTADO", 4%, IF(E479="TARJETA / CHEQUE", 3%, IF(OR(E479="FINANCIADO", E479="MCP"), 2.5%, "")))</f>
        <v/>
      </c>
      <c r="G479" s="121" t="str">
        <f aca="false">IF(F479="", "", F479*D479)</f>
        <v/>
      </c>
      <c r="H479" s="132" t="b">
        <f aca="false">FALSE()</f>
        <v>0</v>
      </c>
      <c r="I479" s="132" t="b">
        <f aca="false">FALSE()</f>
        <v>0</v>
      </c>
      <c r="J479" s="126"/>
      <c r="K479" s="99"/>
      <c r="L479" s="83"/>
      <c r="M479" s="103"/>
      <c r="N479" s="103"/>
      <c r="O479" s="103"/>
      <c r="P479" s="103"/>
      <c r="Q479" s="103"/>
      <c r="R479" s="83"/>
      <c r="S479" s="103"/>
      <c r="T479" s="103"/>
      <c r="U479" s="103"/>
    </row>
    <row r="480" customFormat="false" ht="22.5" hidden="false" customHeight="true" outlineLevel="0" collapsed="false">
      <c r="A480" s="110"/>
      <c r="B480" s="110"/>
      <c r="C480" s="110"/>
      <c r="D480" s="122"/>
      <c r="E480" s="110"/>
      <c r="F480" s="128" t="str">
        <f aca="false">IF(E480="CONTADO", 4%, IF(E480="TARJETA / CHEQUE", 3%, IF(OR(E480="FINANCIADO", E480="MCP"), 2.5%, "")))</f>
        <v/>
      </c>
      <c r="G480" s="122" t="str">
        <f aca="false">IF(F480="", "", F480*D480)</f>
        <v/>
      </c>
      <c r="H480" s="131" t="b">
        <f aca="false">FALSE()</f>
        <v>0</v>
      </c>
      <c r="I480" s="131" t="b">
        <f aca="false">FALSE()</f>
        <v>0</v>
      </c>
      <c r="J480" s="130"/>
      <c r="K480" s="110"/>
      <c r="L480" s="83"/>
      <c r="M480" s="103"/>
      <c r="N480" s="103"/>
      <c r="O480" s="103"/>
      <c r="P480" s="103"/>
      <c r="Q480" s="103"/>
      <c r="R480" s="83"/>
      <c r="S480" s="103"/>
      <c r="T480" s="103"/>
      <c r="U480" s="103"/>
    </row>
    <row r="481" customFormat="false" ht="22.5" hidden="false" customHeight="true" outlineLevel="0" collapsed="false">
      <c r="A481" s="99"/>
      <c r="B481" s="99"/>
      <c r="C481" s="99"/>
      <c r="D481" s="121"/>
      <c r="E481" s="99"/>
      <c r="F481" s="124" t="str">
        <f aca="false">IF(E481="CONTADO", 4%, IF(E481="TARJETA / CHEQUE", 3%, IF(OR(E481="FINANCIADO", E481="MCP"), 2.5%, "")))</f>
        <v/>
      </c>
      <c r="G481" s="121" t="str">
        <f aca="false">IF(F481="", "", F481*D481)</f>
        <v/>
      </c>
      <c r="H481" s="132" t="b">
        <f aca="false">FALSE()</f>
        <v>0</v>
      </c>
      <c r="I481" s="132" t="b">
        <f aca="false">FALSE()</f>
        <v>0</v>
      </c>
      <c r="J481" s="126"/>
      <c r="K481" s="99"/>
      <c r="L481" s="83"/>
      <c r="M481" s="103"/>
      <c r="N481" s="103"/>
      <c r="O481" s="103"/>
      <c r="P481" s="103"/>
      <c r="Q481" s="103"/>
      <c r="R481" s="83"/>
      <c r="S481" s="103"/>
      <c r="T481" s="103"/>
      <c r="U481" s="103"/>
    </row>
    <row r="482" customFormat="false" ht="22.5" hidden="false" customHeight="true" outlineLevel="0" collapsed="false">
      <c r="A482" s="110"/>
      <c r="B482" s="110"/>
      <c r="C482" s="110"/>
      <c r="D482" s="122"/>
      <c r="E482" s="110"/>
      <c r="F482" s="128" t="str">
        <f aca="false">IF(E482="CONTADO", 4%, IF(E482="TARJETA / CHEQUE", 3%, IF(OR(E482="FINANCIADO", E482="MCP"), 2.5%, "")))</f>
        <v/>
      </c>
      <c r="G482" s="122" t="str">
        <f aca="false">IF(F482="", "", F482*D482)</f>
        <v/>
      </c>
      <c r="H482" s="131" t="b">
        <f aca="false">FALSE()</f>
        <v>0</v>
      </c>
      <c r="I482" s="131" t="b">
        <f aca="false">FALSE()</f>
        <v>0</v>
      </c>
      <c r="J482" s="130"/>
      <c r="K482" s="110"/>
      <c r="L482" s="83"/>
      <c r="M482" s="103"/>
      <c r="N482" s="103"/>
      <c r="O482" s="103"/>
      <c r="P482" s="103"/>
      <c r="Q482" s="103"/>
      <c r="R482" s="83"/>
      <c r="S482" s="103"/>
      <c r="T482" s="103"/>
      <c r="U482" s="103"/>
    </row>
    <row r="483" customFormat="false" ht="22.5" hidden="false" customHeight="true" outlineLevel="0" collapsed="false">
      <c r="A483" s="99"/>
      <c r="B483" s="99"/>
      <c r="C483" s="99"/>
      <c r="D483" s="121"/>
      <c r="E483" s="99"/>
      <c r="F483" s="124" t="str">
        <f aca="false">IF(E483="CONTADO", 4%, IF(E483="TARJETA / CHEQUE", 3%, IF(OR(E483="FINANCIADO", E483="MCP"), 2.5%, "")))</f>
        <v/>
      </c>
      <c r="G483" s="121" t="str">
        <f aca="false">IF(F483="", "", F483*D483)</f>
        <v/>
      </c>
      <c r="H483" s="132" t="b">
        <f aca="false">FALSE()</f>
        <v>0</v>
      </c>
      <c r="I483" s="132" t="b">
        <f aca="false">FALSE()</f>
        <v>0</v>
      </c>
      <c r="J483" s="126"/>
      <c r="K483" s="99"/>
      <c r="L483" s="83"/>
      <c r="M483" s="103"/>
      <c r="N483" s="103"/>
      <c r="O483" s="103"/>
      <c r="P483" s="103"/>
      <c r="Q483" s="103"/>
      <c r="R483" s="83"/>
      <c r="S483" s="103"/>
      <c r="T483" s="103"/>
      <c r="U483" s="103"/>
    </row>
    <row r="484" customFormat="false" ht="22.5" hidden="false" customHeight="true" outlineLevel="0" collapsed="false">
      <c r="A484" s="110"/>
      <c r="B484" s="110"/>
      <c r="C484" s="110"/>
      <c r="D484" s="122"/>
      <c r="E484" s="110"/>
      <c r="F484" s="128" t="str">
        <f aca="false">IF(E484="CONTADO", 4%, IF(E484="TARJETA / CHEQUE", 3%, IF(OR(E484="FINANCIADO", E484="MCP"), 2.5%, "")))</f>
        <v/>
      </c>
      <c r="G484" s="122" t="str">
        <f aca="false">IF(F484="", "", F484*D484)</f>
        <v/>
      </c>
      <c r="H484" s="131" t="b">
        <f aca="false">FALSE()</f>
        <v>0</v>
      </c>
      <c r="I484" s="131" t="b">
        <f aca="false">FALSE()</f>
        <v>0</v>
      </c>
      <c r="J484" s="130"/>
      <c r="K484" s="110"/>
      <c r="L484" s="83"/>
      <c r="M484" s="103"/>
      <c r="N484" s="103"/>
      <c r="O484" s="103"/>
      <c r="P484" s="103"/>
      <c r="Q484" s="103"/>
      <c r="R484" s="83"/>
      <c r="S484" s="103"/>
      <c r="T484" s="103"/>
      <c r="U484" s="103"/>
    </row>
    <row r="485" customFormat="false" ht="22.5" hidden="false" customHeight="true" outlineLevel="0" collapsed="false">
      <c r="A485" s="99"/>
      <c r="B485" s="99"/>
      <c r="C485" s="99"/>
      <c r="D485" s="121"/>
      <c r="E485" s="99"/>
      <c r="F485" s="124" t="str">
        <f aca="false">IF(E485="CONTADO", 4%, IF(E485="TARJETA / CHEQUE", 3%, IF(OR(E485="FINANCIADO", E485="MCP"), 2.5%, "")))</f>
        <v/>
      </c>
      <c r="G485" s="121" t="str">
        <f aca="false">IF(F485="", "", F485*D485)</f>
        <v/>
      </c>
      <c r="H485" s="132" t="b">
        <f aca="false">FALSE()</f>
        <v>0</v>
      </c>
      <c r="I485" s="132" t="b">
        <f aca="false">FALSE()</f>
        <v>0</v>
      </c>
      <c r="J485" s="126"/>
      <c r="K485" s="99"/>
      <c r="L485" s="83"/>
      <c r="M485" s="103"/>
      <c r="N485" s="103"/>
      <c r="O485" s="103"/>
      <c r="P485" s="103"/>
      <c r="Q485" s="103"/>
      <c r="R485" s="83"/>
      <c r="S485" s="103"/>
      <c r="T485" s="103"/>
      <c r="U485" s="103"/>
    </row>
    <row r="486" customFormat="false" ht="22.5" hidden="false" customHeight="true" outlineLevel="0" collapsed="false">
      <c r="A486" s="110"/>
      <c r="B486" s="110"/>
      <c r="C486" s="110"/>
      <c r="D486" s="122"/>
      <c r="E486" s="110"/>
      <c r="F486" s="128" t="str">
        <f aca="false">IF(E486="CONTADO", 4%, IF(E486="TARJETA / CHEQUE", 3%, IF(OR(E486="FINANCIADO", E486="MCP"), 2.5%, "")))</f>
        <v/>
      </c>
      <c r="G486" s="122" t="str">
        <f aca="false">IF(F486="", "", F486*D486)</f>
        <v/>
      </c>
      <c r="H486" s="131" t="b">
        <f aca="false">FALSE()</f>
        <v>0</v>
      </c>
      <c r="I486" s="131" t="b">
        <f aca="false">FALSE()</f>
        <v>0</v>
      </c>
      <c r="J486" s="130"/>
      <c r="K486" s="110"/>
      <c r="L486" s="83"/>
      <c r="M486" s="103"/>
      <c r="N486" s="103"/>
      <c r="O486" s="103"/>
      <c r="P486" s="103"/>
      <c r="Q486" s="103"/>
      <c r="R486" s="83"/>
      <c r="S486" s="103"/>
      <c r="T486" s="103"/>
      <c r="U486" s="103"/>
    </row>
    <row r="487" customFormat="false" ht="22.5" hidden="false" customHeight="true" outlineLevel="0" collapsed="false">
      <c r="A487" s="99"/>
      <c r="B487" s="99"/>
      <c r="C487" s="99"/>
      <c r="D487" s="121"/>
      <c r="E487" s="99"/>
      <c r="F487" s="124" t="str">
        <f aca="false">IF(E487="CONTADO", 4%, IF(E487="TARJETA / CHEQUE", 3%, IF(OR(E487="FINANCIADO", E487="MCP"), 2.5%, "")))</f>
        <v/>
      </c>
      <c r="G487" s="121" t="str">
        <f aca="false">IF(F487="", "", F487*D487)</f>
        <v/>
      </c>
      <c r="H487" s="132" t="b">
        <f aca="false">FALSE()</f>
        <v>0</v>
      </c>
      <c r="I487" s="132" t="b">
        <f aca="false">FALSE()</f>
        <v>0</v>
      </c>
      <c r="J487" s="126"/>
      <c r="K487" s="99"/>
      <c r="L487" s="83"/>
      <c r="M487" s="103"/>
      <c r="N487" s="103"/>
      <c r="O487" s="103"/>
      <c r="P487" s="103"/>
      <c r="Q487" s="103"/>
      <c r="R487" s="83"/>
      <c r="S487" s="103"/>
      <c r="T487" s="103"/>
      <c r="U487" s="103"/>
    </row>
    <row r="488" customFormat="false" ht="22.5" hidden="false" customHeight="true" outlineLevel="0" collapsed="false">
      <c r="A488" s="110"/>
      <c r="B488" s="110"/>
      <c r="C488" s="110"/>
      <c r="D488" s="122"/>
      <c r="E488" s="110"/>
      <c r="F488" s="128" t="str">
        <f aca="false">IF(E488="CONTADO", 4%, IF(E488="TARJETA / CHEQUE", 3%, IF(OR(E488="FINANCIADO", E488="MCP"), 2.5%, "")))</f>
        <v/>
      </c>
      <c r="G488" s="122" t="str">
        <f aca="false">IF(F488="", "", F488*D488)</f>
        <v/>
      </c>
      <c r="H488" s="131" t="b">
        <f aca="false">FALSE()</f>
        <v>0</v>
      </c>
      <c r="I488" s="131" t="b">
        <f aca="false">FALSE()</f>
        <v>0</v>
      </c>
      <c r="J488" s="130"/>
      <c r="K488" s="110"/>
      <c r="L488" s="83"/>
      <c r="M488" s="103"/>
      <c r="N488" s="103"/>
      <c r="O488" s="103"/>
      <c r="P488" s="103"/>
      <c r="Q488" s="103"/>
      <c r="R488" s="83"/>
      <c r="S488" s="103"/>
      <c r="T488" s="103"/>
      <c r="U488" s="103"/>
    </row>
    <row r="489" customFormat="false" ht="22.5" hidden="false" customHeight="true" outlineLevel="0" collapsed="false">
      <c r="A489" s="99"/>
      <c r="B489" s="99"/>
      <c r="C489" s="99"/>
      <c r="D489" s="121"/>
      <c r="E489" s="99"/>
      <c r="F489" s="124" t="str">
        <f aca="false">IF(E489="CONTADO", 4%, IF(E489="TARJETA / CHEQUE", 3%, IF(OR(E489="FINANCIADO", E489="MCP"), 2.5%, "")))</f>
        <v/>
      </c>
      <c r="G489" s="121" t="str">
        <f aca="false">IF(F489="", "", F489*D489)</f>
        <v/>
      </c>
      <c r="H489" s="132" t="b">
        <f aca="false">FALSE()</f>
        <v>0</v>
      </c>
      <c r="I489" s="132" t="b">
        <f aca="false">FALSE()</f>
        <v>0</v>
      </c>
      <c r="J489" s="126"/>
      <c r="K489" s="99"/>
      <c r="L489" s="83"/>
      <c r="M489" s="103"/>
      <c r="N489" s="103"/>
      <c r="O489" s="103"/>
      <c r="P489" s="103"/>
      <c r="Q489" s="103"/>
      <c r="R489" s="83"/>
      <c r="S489" s="103"/>
      <c r="T489" s="103"/>
      <c r="U489" s="103"/>
    </row>
    <row r="490" customFormat="false" ht="22.5" hidden="false" customHeight="true" outlineLevel="0" collapsed="false">
      <c r="A490" s="110"/>
      <c r="B490" s="110"/>
      <c r="C490" s="110"/>
      <c r="D490" s="122"/>
      <c r="E490" s="110"/>
      <c r="F490" s="128" t="str">
        <f aca="false">IF(E490="CONTADO", 4%, IF(E490="TARJETA / CHEQUE", 3%, IF(OR(E490="FINANCIADO", E490="MCP"), 2.5%, "")))</f>
        <v/>
      </c>
      <c r="G490" s="122" t="str">
        <f aca="false">IF(F490="", "", F490*D490)</f>
        <v/>
      </c>
      <c r="H490" s="131" t="b">
        <f aca="false">FALSE()</f>
        <v>0</v>
      </c>
      <c r="I490" s="131" t="b">
        <f aca="false">FALSE()</f>
        <v>0</v>
      </c>
      <c r="J490" s="130"/>
      <c r="K490" s="110"/>
      <c r="L490" s="83"/>
      <c r="M490" s="103"/>
      <c r="N490" s="103"/>
      <c r="O490" s="103"/>
      <c r="P490" s="103"/>
      <c r="Q490" s="103"/>
      <c r="R490" s="83"/>
      <c r="S490" s="103"/>
      <c r="T490" s="103"/>
      <c r="U490" s="103"/>
    </row>
    <row r="491" customFormat="false" ht="22.5" hidden="false" customHeight="true" outlineLevel="0" collapsed="false">
      <c r="A491" s="99"/>
      <c r="B491" s="99"/>
      <c r="C491" s="99"/>
      <c r="D491" s="121"/>
      <c r="E491" s="99"/>
      <c r="F491" s="124" t="str">
        <f aca="false">IF(E491="CONTADO", 4%, IF(E491="TARJETA / CHEQUE", 3%, IF(OR(E491="FINANCIADO", E491="MCP"), 2.5%, "")))</f>
        <v/>
      </c>
      <c r="G491" s="121" t="str">
        <f aca="false">IF(F491="", "", F491*D491)</f>
        <v/>
      </c>
      <c r="H491" s="132" t="b">
        <f aca="false">FALSE()</f>
        <v>0</v>
      </c>
      <c r="I491" s="132" t="b">
        <f aca="false">FALSE()</f>
        <v>0</v>
      </c>
      <c r="J491" s="126"/>
      <c r="K491" s="99"/>
      <c r="L491" s="83"/>
      <c r="M491" s="103"/>
      <c r="N491" s="103"/>
      <c r="O491" s="103"/>
      <c r="P491" s="103"/>
      <c r="Q491" s="103"/>
      <c r="R491" s="83"/>
      <c r="S491" s="103"/>
      <c r="T491" s="103"/>
      <c r="U491" s="103"/>
    </row>
    <row r="492" customFormat="false" ht="22.5" hidden="false" customHeight="true" outlineLevel="0" collapsed="false">
      <c r="A492" s="110"/>
      <c r="B492" s="110"/>
      <c r="C492" s="110"/>
      <c r="D492" s="122"/>
      <c r="E492" s="110"/>
      <c r="F492" s="128" t="str">
        <f aca="false">IF(E492="CONTADO", 4%, IF(E492="TARJETA / CHEQUE", 3%, IF(OR(E492="FINANCIADO", E492="MCP"), 2.5%, "")))</f>
        <v/>
      </c>
      <c r="G492" s="122" t="str">
        <f aca="false">IF(F492="", "", F492*D492)</f>
        <v/>
      </c>
      <c r="H492" s="131" t="b">
        <f aca="false">FALSE()</f>
        <v>0</v>
      </c>
      <c r="I492" s="131" t="b">
        <f aca="false">FALSE()</f>
        <v>0</v>
      </c>
      <c r="J492" s="130"/>
      <c r="K492" s="110"/>
      <c r="L492" s="83"/>
      <c r="M492" s="103"/>
      <c r="N492" s="103"/>
      <c r="O492" s="103"/>
      <c r="P492" s="103"/>
      <c r="Q492" s="103"/>
      <c r="R492" s="83"/>
      <c r="S492" s="103"/>
      <c r="T492" s="103"/>
      <c r="U492" s="103"/>
    </row>
    <row r="493" customFormat="false" ht="22.5" hidden="false" customHeight="true" outlineLevel="0" collapsed="false">
      <c r="A493" s="99"/>
      <c r="B493" s="99"/>
      <c r="C493" s="99"/>
      <c r="D493" s="121"/>
      <c r="E493" s="99"/>
      <c r="F493" s="124" t="str">
        <f aca="false">IF(E493="CONTADO", 4%, IF(E493="TARJETA / CHEQUE", 3%, IF(OR(E493="FINANCIADO", E493="MCP"), 2.5%, "")))</f>
        <v/>
      </c>
      <c r="G493" s="121" t="str">
        <f aca="false">IF(F493="", "", F493*D493)</f>
        <v/>
      </c>
      <c r="H493" s="132" t="b">
        <f aca="false">FALSE()</f>
        <v>0</v>
      </c>
      <c r="I493" s="132" t="b">
        <f aca="false">FALSE()</f>
        <v>0</v>
      </c>
      <c r="J493" s="126"/>
      <c r="K493" s="99"/>
      <c r="L493" s="83"/>
      <c r="M493" s="103"/>
      <c r="N493" s="103"/>
      <c r="O493" s="103"/>
      <c r="P493" s="103"/>
      <c r="Q493" s="103"/>
      <c r="R493" s="83"/>
      <c r="S493" s="103"/>
      <c r="T493" s="103"/>
      <c r="U493" s="103"/>
    </row>
    <row r="494" customFormat="false" ht="22.5" hidden="false" customHeight="true" outlineLevel="0" collapsed="false">
      <c r="A494" s="110"/>
      <c r="B494" s="110"/>
      <c r="C494" s="110"/>
      <c r="D494" s="122"/>
      <c r="E494" s="110"/>
      <c r="F494" s="128" t="str">
        <f aca="false">IF(E494="CONTADO", 4%, IF(E494="TARJETA / CHEQUE", 3%, IF(OR(E494="FINANCIADO", E494="MCP"), 2.5%, "")))</f>
        <v/>
      </c>
      <c r="G494" s="122" t="str">
        <f aca="false">IF(F494="", "", F494*D494)</f>
        <v/>
      </c>
      <c r="H494" s="131" t="b">
        <f aca="false">FALSE()</f>
        <v>0</v>
      </c>
      <c r="I494" s="131" t="b">
        <f aca="false">FALSE()</f>
        <v>0</v>
      </c>
      <c r="J494" s="130"/>
      <c r="K494" s="110"/>
      <c r="L494" s="83"/>
      <c r="M494" s="103"/>
      <c r="N494" s="103"/>
      <c r="O494" s="103"/>
      <c r="P494" s="103"/>
      <c r="Q494" s="103"/>
      <c r="R494" s="83"/>
      <c r="S494" s="103"/>
      <c r="T494" s="103"/>
      <c r="U494" s="103"/>
    </row>
    <row r="495" customFormat="false" ht="22.5" hidden="false" customHeight="true" outlineLevel="0" collapsed="false">
      <c r="A495" s="99"/>
      <c r="B495" s="99"/>
      <c r="C495" s="99"/>
      <c r="D495" s="121"/>
      <c r="E495" s="99"/>
      <c r="F495" s="124" t="str">
        <f aca="false">IF(E495="CONTADO", 4%, IF(E495="TARJETA / CHEQUE", 3%, IF(OR(E495="FINANCIADO", E495="MCP"), 2.5%, "")))</f>
        <v/>
      </c>
      <c r="G495" s="121" t="str">
        <f aca="false">IF(F495="", "", F495*D495)</f>
        <v/>
      </c>
      <c r="H495" s="132" t="b">
        <f aca="false">FALSE()</f>
        <v>0</v>
      </c>
      <c r="I495" s="132" t="b">
        <f aca="false">FALSE()</f>
        <v>0</v>
      </c>
      <c r="J495" s="126"/>
      <c r="K495" s="99"/>
      <c r="L495" s="83"/>
      <c r="M495" s="103"/>
      <c r="N495" s="103"/>
      <c r="O495" s="103"/>
      <c r="P495" s="103"/>
      <c r="Q495" s="103"/>
      <c r="R495" s="83"/>
      <c r="S495" s="103"/>
      <c r="T495" s="103"/>
      <c r="U495" s="103"/>
    </row>
    <row r="496" customFormat="false" ht="22.5" hidden="false" customHeight="true" outlineLevel="0" collapsed="false">
      <c r="A496" s="110"/>
      <c r="B496" s="110"/>
      <c r="C496" s="110"/>
      <c r="D496" s="122"/>
      <c r="E496" s="110"/>
      <c r="F496" s="128" t="str">
        <f aca="false">IF(E496="CONTADO", 4%, IF(E496="TARJETA / CHEQUE", 3%, IF(OR(E496="FINANCIADO", E496="MCP"), 2.5%, "")))</f>
        <v/>
      </c>
      <c r="G496" s="122" t="str">
        <f aca="false">IF(F496="", "", F496*D496)</f>
        <v/>
      </c>
      <c r="H496" s="131" t="b">
        <f aca="false">FALSE()</f>
        <v>0</v>
      </c>
      <c r="I496" s="131" t="b">
        <f aca="false">FALSE()</f>
        <v>0</v>
      </c>
      <c r="J496" s="130"/>
      <c r="K496" s="110"/>
      <c r="L496" s="83"/>
      <c r="M496" s="103"/>
      <c r="N496" s="103"/>
      <c r="O496" s="103"/>
      <c r="P496" s="103"/>
      <c r="Q496" s="103"/>
      <c r="R496" s="83"/>
      <c r="S496" s="103"/>
      <c r="T496" s="103"/>
      <c r="U496" s="103"/>
    </row>
    <row r="497" customFormat="false" ht="22.5" hidden="false" customHeight="true" outlineLevel="0" collapsed="false">
      <c r="A497" s="99"/>
      <c r="B497" s="99"/>
      <c r="C497" s="99"/>
      <c r="D497" s="121"/>
      <c r="E497" s="99"/>
      <c r="F497" s="124" t="str">
        <f aca="false">IF(E497="CONTADO", 4%, IF(E497="TARJETA / CHEQUE", 3%, IF(OR(E497="FINANCIADO", E497="MCP"), 2.5%, "")))</f>
        <v/>
      </c>
      <c r="G497" s="121" t="str">
        <f aca="false">IF(F497="", "", F497*D497)</f>
        <v/>
      </c>
      <c r="H497" s="132" t="b">
        <f aca="false">FALSE()</f>
        <v>0</v>
      </c>
      <c r="I497" s="132" t="b">
        <f aca="false">FALSE()</f>
        <v>0</v>
      </c>
      <c r="J497" s="126"/>
      <c r="K497" s="99"/>
      <c r="L497" s="83"/>
      <c r="M497" s="103"/>
      <c r="N497" s="103"/>
      <c r="O497" s="103"/>
      <c r="P497" s="103"/>
      <c r="Q497" s="103"/>
      <c r="R497" s="83"/>
      <c r="S497" s="103"/>
      <c r="T497" s="103"/>
      <c r="U497" s="103"/>
    </row>
    <row r="498" customFormat="false" ht="22.5" hidden="false" customHeight="true" outlineLevel="0" collapsed="false">
      <c r="A498" s="110"/>
      <c r="B498" s="110"/>
      <c r="C498" s="110"/>
      <c r="D498" s="122"/>
      <c r="E498" s="110"/>
      <c r="F498" s="128" t="str">
        <f aca="false">IF(E498="CONTADO", 4%, IF(E498="TARJETA / CHEQUE", 3%, IF(OR(E498="FINANCIADO", E498="MCP"), 2.5%, "")))</f>
        <v/>
      </c>
      <c r="G498" s="122" t="str">
        <f aca="false">IF(F498="", "", F498*D498)</f>
        <v/>
      </c>
      <c r="H498" s="131" t="b">
        <f aca="false">FALSE()</f>
        <v>0</v>
      </c>
      <c r="I498" s="131" t="b">
        <f aca="false">FALSE()</f>
        <v>0</v>
      </c>
      <c r="J498" s="130"/>
      <c r="K498" s="110"/>
      <c r="L498" s="83"/>
      <c r="M498" s="103"/>
      <c r="N498" s="103"/>
      <c r="O498" s="103"/>
      <c r="P498" s="103"/>
      <c r="Q498" s="103"/>
      <c r="R498" s="83"/>
      <c r="S498" s="103"/>
      <c r="T498" s="103"/>
      <c r="U498" s="103"/>
    </row>
    <row r="499" customFormat="false" ht="22.5" hidden="false" customHeight="true" outlineLevel="0" collapsed="false">
      <c r="A499" s="99"/>
      <c r="B499" s="99"/>
      <c r="C499" s="99"/>
      <c r="D499" s="121"/>
      <c r="E499" s="99"/>
      <c r="F499" s="124" t="str">
        <f aca="false">IF(E499="CONTADO", 4%, IF(E499="TARJETA / CHEQUE", 3%, IF(OR(E499="FINANCIADO", E499="MCP"), 2.5%, "")))</f>
        <v/>
      </c>
      <c r="G499" s="121" t="str">
        <f aca="false">IF(F499="", "", F499*D499)</f>
        <v/>
      </c>
      <c r="H499" s="132" t="b">
        <f aca="false">FALSE()</f>
        <v>0</v>
      </c>
      <c r="I499" s="132" t="b">
        <f aca="false">FALSE()</f>
        <v>0</v>
      </c>
      <c r="J499" s="126"/>
      <c r="K499" s="99"/>
      <c r="L499" s="83"/>
      <c r="M499" s="103"/>
      <c r="N499" s="103"/>
      <c r="O499" s="103"/>
      <c r="P499" s="103"/>
      <c r="Q499" s="103"/>
      <c r="R499" s="83"/>
      <c r="S499" s="103"/>
      <c r="T499" s="103"/>
      <c r="U499" s="103"/>
    </row>
    <row r="500" customFormat="false" ht="22.5" hidden="false" customHeight="true" outlineLevel="0" collapsed="false">
      <c r="A500" s="110"/>
      <c r="B500" s="110"/>
      <c r="C500" s="110"/>
      <c r="D500" s="122"/>
      <c r="E500" s="110"/>
      <c r="F500" s="128" t="str">
        <f aca="false">IF(E500="CONTADO", 4%, IF(E500="TARJETA / CHEQUE", 3%, IF(OR(E500="FINANCIADO", E500="MCP"), 2.5%, "")))</f>
        <v/>
      </c>
      <c r="G500" s="122" t="str">
        <f aca="false">IF(F500="", "", F500*D500)</f>
        <v/>
      </c>
      <c r="H500" s="131" t="b">
        <f aca="false">FALSE()</f>
        <v>0</v>
      </c>
      <c r="I500" s="131" t="b">
        <f aca="false">FALSE()</f>
        <v>0</v>
      </c>
      <c r="J500" s="130"/>
      <c r="K500" s="110"/>
      <c r="L500" s="83"/>
      <c r="M500" s="103"/>
      <c r="N500" s="103"/>
      <c r="O500" s="103"/>
      <c r="P500" s="103"/>
      <c r="Q500" s="103"/>
      <c r="R500" s="83"/>
      <c r="S500" s="103"/>
      <c r="T500" s="103"/>
      <c r="U500" s="103"/>
    </row>
    <row r="501" customFormat="false" ht="22.5" hidden="false" customHeight="true" outlineLevel="0" collapsed="false">
      <c r="A501" s="99"/>
      <c r="B501" s="99"/>
      <c r="C501" s="99"/>
      <c r="D501" s="121"/>
      <c r="E501" s="99"/>
      <c r="F501" s="124" t="str">
        <f aca="false">IF(E501="CONTADO", 4%, IF(E501="TARJETA / CHEQUE", 3%, IF(OR(E501="FINANCIADO", E501="MCP"), 2.5%, "")))</f>
        <v/>
      </c>
      <c r="G501" s="121" t="str">
        <f aca="false">IF(F501="", "", F501*D501)</f>
        <v/>
      </c>
      <c r="H501" s="132" t="b">
        <f aca="false">FALSE()</f>
        <v>0</v>
      </c>
      <c r="I501" s="132" t="b">
        <f aca="false">FALSE()</f>
        <v>0</v>
      </c>
      <c r="J501" s="126"/>
      <c r="K501" s="99"/>
      <c r="L501" s="83"/>
      <c r="M501" s="103"/>
      <c r="N501" s="103"/>
      <c r="O501" s="103"/>
      <c r="P501" s="103"/>
      <c r="Q501" s="103"/>
      <c r="R501" s="83"/>
      <c r="S501" s="103"/>
      <c r="T501" s="103"/>
      <c r="U501" s="103"/>
    </row>
    <row r="502" customFormat="false" ht="22.5" hidden="false" customHeight="true" outlineLevel="0" collapsed="false">
      <c r="A502" s="110"/>
      <c r="B502" s="110"/>
      <c r="C502" s="110"/>
      <c r="D502" s="122"/>
      <c r="E502" s="110"/>
      <c r="F502" s="128" t="str">
        <f aca="false">IF(E502="CONTADO", 4%, IF(E502="TARJETA / CHEQUE", 3%, IF(OR(E502="FINANCIADO", E502="MCP"), 2.5%, "")))</f>
        <v/>
      </c>
      <c r="G502" s="122" t="str">
        <f aca="false">IF(F502="", "", F502*D502)</f>
        <v/>
      </c>
      <c r="H502" s="131" t="b">
        <f aca="false">FALSE()</f>
        <v>0</v>
      </c>
      <c r="I502" s="131" t="b">
        <f aca="false">FALSE()</f>
        <v>0</v>
      </c>
      <c r="J502" s="130"/>
      <c r="K502" s="110"/>
      <c r="L502" s="83"/>
      <c r="M502" s="103"/>
      <c r="N502" s="103"/>
      <c r="O502" s="103"/>
      <c r="P502" s="103"/>
      <c r="Q502" s="103"/>
      <c r="R502" s="83"/>
      <c r="S502" s="103"/>
      <c r="T502" s="103"/>
      <c r="U502" s="103"/>
    </row>
    <row r="503" customFormat="false" ht="22.5" hidden="false" customHeight="true" outlineLevel="0" collapsed="false">
      <c r="A503" s="99"/>
      <c r="B503" s="99"/>
      <c r="C503" s="99"/>
      <c r="D503" s="121"/>
      <c r="E503" s="99"/>
      <c r="F503" s="124" t="str">
        <f aca="false">IF(E503="CONTADO", 4%, IF(E503="TARJETA / CHEQUE", 3%, IF(OR(E503="FINANCIADO", E503="MCP"), 2.5%, "")))</f>
        <v/>
      </c>
      <c r="G503" s="121" t="str">
        <f aca="false">IF(F503="", "", F503*D503)</f>
        <v/>
      </c>
      <c r="H503" s="132" t="b">
        <f aca="false">FALSE()</f>
        <v>0</v>
      </c>
      <c r="I503" s="132" t="b">
        <f aca="false">FALSE()</f>
        <v>0</v>
      </c>
      <c r="J503" s="126"/>
      <c r="K503" s="99"/>
      <c r="L503" s="83"/>
      <c r="M503" s="103"/>
      <c r="N503" s="103"/>
      <c r="O503" s="103"/>
      <c r="P503" s="103"/>
      <c r="Q503" s="103"/>
      <c r="R503" s="83"/>
      <c r="S503" s="103"/>
      <c r="T503" s="103"/>
      <c r="U503" s="103"/>
    </row>
    <row r="504" customFormat="false" ht="22.5" hidden="false" customHeight="true" outlineLevel="0" collapsed="false">
      <c r="A504" s="110"/>
      <c r="B504" s="110"/>
      <c r="C504" s="110"/>
      <c r="D504" s="122"/>
      <c r="E504" s="110"/>
      <c r="F504" s="128" t="str">
        <f aca="false">IF(E504="CONTADO", 4%, IF(E504="TARJETA / CHEQUE", 3%, IF(OR(E504="FINANCIADO", E504="MCP"), 2.5%, "")))</f>
        <v/>
      </c>
      <c r="G504" s="122" t="str">
        <f aca="false">IF(F504="", "", F504*D504)</f>
        <v/>
      </c>
      <c r="H504" s="131" t="b">
        <f aca="false">FALSE()</f>
        <v>0</v>
      </c>
      <c r="I504" s="131" t="b">
        <f aca="false">FALSE()</f>
        <v>0</v>
      </c>
      <c r="J504" s="130"/>
      <c r="K504" s="110"/>
      <c r="L504" s="83"/>
      <c r="M504" s="103"/>
      <c r="N504" s="103"/>
      <c r="O504" s="103"/>
      <c r="P504" s="103"/>
      <c r="Q504" s="103"/>
      <c r="R504" s="83"/>
      <c r="S504" s="103"/>
      <c r="T504" s="103"/>
      <c r="U504" s="103"/>
    </row>
    <row r="505" customFormat="false" ht="22.5" hidden="false" customHeight="true" outlineLevel="0" collapsed="false">
      <c r="A505" s="99"/>
      <c r="B505" s="99"/>
      <c r="C505" s="99"/>
      <c r="D505" s="121"/>
      <c r="E505" s="99"/>
      <c r="F505" s="124" t="str">
        <f aca="false">IF(E505="CONTADO", 4%, IF(E505="TARJETA / CHEQUE", 3%, IF(OR(E505="FINANCIADO", E505="MCP"), 2.5%, "")))</f>
        <v/>
      </c>
      <c r="G505" s="121" t="str">
        <f aca="false">IF(F505="", "", F505*D505)</f>
        <v/>
      </c>
      <c r="H505" s="132" t="b">
        <f aca="false">FALSE()</f>
        <v>0</v>
      </c>
      <c r="I505" s="132" t="b">
        <f aca="false">FALSE()</f>
        <v>0</v>
      </c>
      <c r="J505" s="126"/>
      <c r="K505" s="99"/>
      <c r="L505" s="83"/>
      <c r="M505" s="103"/>
      <c r="N505" s="103"/>
      <c r="O505" s="103"/>
      <c r="P505" s="103"/>
      <c r="Q505" s="103"/>
      <c r="R505" s="83"/>
      <c r="S505" s="103"/>
      <c r="T505" s="103"/>
      <c r="U505" s="103"/>
    </row>
    <row r="506" customFormat="false" ht="22.5" hidden="false" customHeight="true" outlineLevel="0" collapsed="false">
      <c r="A506" s="110"/>
      <c r="B506" s="110"/>
      <c r="C506" s="110"/>
      <c r="D506" s="122"/>
      <c r="E506" s="110"/>
      <c r="F506" s="128" t="str">
        <f aca="false">IF(E506="CONTADO", 4%, IF(E506="TARJETA / CHEQUE", 3%, IF(OR(E506="FINANCIADO", E506="MCP"), 2.5%, "")))</f>
        <v/>
      </c>
      <c r="G506" s="122" t="str">
        <f aca="false">IF(F506="", "", F506*D506)</f>
        <v/>
      </c>
      <c r="H506" s="131" t="b">
        <f aca="false">FALSE()</f>
        <v>0</v>
      </c>
      <c r="I506" s="131" t="b">
        <f aca="false">FALSE()</f>
        <v>0</v>
      </c>
      <c r="J506" s="130"/>
      <c r="K506" s="110"/>
      <c r="L506" s="83"/>
      <c r="M506" s="103"/>
      <c r="N506" s="103"/>
      <c r="O506" s="103"/>
      <c r="P506" s="103"/>
      <c r="Q506" s="103"/>
      <c r="R506" s="83"/>
      <c r="S506" s="103"/>
      <c r="T506" s="103"/>
      <c r="U506" s="103"/>
    </row>
    <row r="507" customFormat="false" ht="22.5" hidden="false" customHeight="true" outlineLevel="0" collapsed="false">
      <c r="A507" s="99"/>
      <c r="B507" s="99"/>
      <c r="C507" s="99"/>
      <c r="D507" s="121"/>
      <c r="E507" s="99"/>
      <c r="F507" s="124" t="str">
        <f aca="false">IF(E507="CONTADO", 4%, IF(E507="TARJETA / CHEQUE", 3%, IF(OR(E507="FINANCIADO", E507="MCP"), 2.5%, "")))</f>
        <v/>
      </c>
      <c r="G507" s="121" t="str">
        <f aca="false">IF(F507="", "", F507*D507)</f>
        <v/>
      </c>
      <c r="H507" s="132" t="b">
        <f aca="false">FALSE()</f>
        <v>0</v>
      </c>
      <c r="I507" s="132" t="b">
        <f aca="false">FALSE()</f>
        <v>0</v>
      </c>
      <c r="J507" s="126"/>
      <c r="K507" s="99"/>
      <c r="L507" s="83"/>
      <c r="M507" s="103"/>
      <c r="N507" s="103"/>
      <c r="O507" s="103"/>
      <c r="P507" s="103"/>
      <c r="Q507" s="103"/>
      <c r="R507" s="83"/>
      <c r="S507" s="103"/>
      <c r="T507" s="103"/>
      <c r="U507" s="103"/>
    </row>
    <row r="508" customFormat="false" ht="22.5" hidden="false" customHeight="true" outlineLevel="0" collapsed="false">
      <c r="A508" s="110"/>
      <c r="B508" s="110"/>
      <c r="C508" s="110"/>
      <c r="D508" s="122"/>
      <c r="E508" s="110"/>
      <c r="F508" s="128" t="str">
        <f aca="false">IF(E508="CONTADO", 4%, IF(E508="TARJETA / CHEQUE", 3%, IF(OR(E508="FINANCIADO", E508="MCP"), 2.5%, "")))</f>
        <v/>
      </c>
      <c r="G508" s="122" t="str">
        <f aca="false">IF(F508="", "", F508*D508)</f>
        <v/>
      </c>
      <c r="H508" s="131" t="b">
        <f aca="false">FALSE()</f>
        <v>0</v>
      </c>
      <c r="I508" s="131" t="b">
        <f aca="false">FALSE()</f>
        <v>0</v>
      </c>
      <c r="J508" s="130"/>
      <c r="K508" s="110"/>
      <c r="L508" s="83"/>
      <c r="M508" s="103"/>
      <c r="N508" s="103"/>
      <c r="O508" s="103"/>
      <c r="P508" s="103"/>
      <c r="Q508" s="103"/>
      <c r="R508" s="83"/>
      <c r="S508" s="103"/>
      <c r="T508" s="103"/>
      <c r="U508" s="103"/>
    </row>
    <row r="509" customFormat="false" ht="22.5" hidden="false" customHeight="true" outlineLevel="0" collapsed="false">
      <c r="A509" s="99"/>
      <c r="B509" s="99"/>
      <c r="C509" s="99"/>
      <c r="D509" s="121"/>
      <c r="E509" s="99"/>
      <c r="F509" s="124" t="str">
        <f aca="false">IF(E509="CONTADO", 4%, IF(E509="TARJETA / CHEQUE", 3%, IF(OR(E509="FINANCIADO", E509="MCP"), 2.5%, "")))</f>
        <v/>
      </c>
      <c r="G509" s="121" t="str">
        <f aca="false">IF(F509="", "", F509*D509)</f>
        <v/>
      </c>
      <c r="H509" s="132" t="b">
        <f aca="false">FALSE()</f>
        <v>0</v>
      </c>
      <c r="I509" s="132" t="b">
        <f aca="false">FALSE()</f>
        <v>0</v>
      </c>
      <c r="J509" s="126"/>
      <c r="K509" s="99"/>
      <c r="L509" s="83"/>
      <c r="M509" s="103"/>
      <c r="N509" s="103"/>
      <c r="O509" s="103"/>
      <c r="P509" s="103"/>
      <c r="Q509" s="103"/>
      <c r="R509" s="83"/>
      <c r="S509" s="103"/>
      <c r="T509" s="103"/>
      <c r="U509" s="103"/>
    </row>
    <row r="510" customFormat="false" ht="22.5" hidden="false" customHeight="true" outlineLevel="0" collapsed="false">
      <c r="A510" s="110"/>
      <c r="B510" s="110"/>
      <c r="C510" s="110"/>
      <c r="D510" s="122"/>
      <c r="E510" s="110"/>
      <c r="F510" s="128" t="str">
        <f aca="false">IF(E510="CONTADO", 4%, IF(E510="TARJETA / CHEQUE", 3%, IF(OR(E510="FINANCIADO", E510="MCP"), 2.5%, "")))</f>
        <v/>
      </c>
      <c r="G510" s="122" t="str">
        <f aca="false">IF(F510="", "", F510*D510)</f>
        <v/>
      </c>
      <c r="H510" s="131" t="b">
        <f aca="false">FALSE()</f>
        <v>0</v>
      </c>
      <c r="I510" s="131" t="b">
        <f aca="false">FALSE()</f>
        <v>0</v>
      </c>
      <c r="J510" s="130"/>
      <c r="K510" s="110"/>
      <c r="L510" s="83"/>
      <c r="M510" s="103"/>
      <c r="N510" s="103"/>
      <c r="O510" s="103"/>
      <c r="P510" s="103"/>
      <c r="Q510" s="103"/>
      <c r="R510" s="83"/>
      <c r="S510" s="103"/>
      <c r="T510" s="103"/>
      <c r="U510" s="103"/>
    </row>
    <row r="511" customFormat="false" ht="22.5" hidden="false" customHeight="true" outlineLevel="0" collapsed="false">
      <c r="A511" s="99"/>
      <c r="B511" s="99"/>
      <c r="C511" s="99"/>
      <c r="D511" s="121"/>
      <c r="E511" s="99"/>
      <c r="F511" s="124" t="str">
        <f aca="false">IF(E511="CONTADO", 4%, IF(E511="TARJETA / CHEQUE", 3%, IF(OR(E511="FINANCIADO", E511="MCP"), 2.5%, "")))</f>
        <v/>
      </c>
      <c r="G511" s="121" t="str">
        <f aca="false">IF(F511="", "", F511*D511)</f>
        <v/>
      </c>
      <c r="H511" s="132" t="b">
        <f aca="false">FALSE()</f>
        <v>0</v>
      </c>
      <c r="I511" s="132" t="b">
        <f aca="false">FALSE()</f>
        <v>0</v>
      </c>
      <c r="J511" s="126"/>
      <c r="K511" s="99"/>
      <c r="L511" s="83"/>
      <c r="M511" s="103"/>
      <c r="N511" s="103"/>
      <c r="O511" s="103"/>
      <c r="P511" s="103"/>
      <c r="Q511" s="103"/>
      <c r="R511" s="83"/>
      <c r="S511" s="103"/>
      <c r="T511" s="103"/>
      <c r="U511" s="103"/>
    </row>
    <row r="512" customFormat="false" ht="22.5" hidden="false" customHeight="true" outlineLevel="0" collapsed="false">
      <c r="A512" s="110"/>
      <c r="B512" s="110"/>
      <c r="C512" s="110"/>
      <c r="D512" s="122"/>
      <c r="E512" s="110"/>
      <c r="F512" s="128" t="str">
        <f aca="false">IF(E512="CONTADO", 4%, IF(E512="TARJETA / CHEQUE", 3%, IF(OR(E512="FINANCIADO", E512="MCP"), 2.5%, "")))</f>
        <v/>
      </c>
      <c r="G512" s="122" t="str">
        <f aca="false">IF(F512="", "", F512*D512)</f>
        <v/>
      </c>
      <c r="H512" s="131" t="b">
        <f aca="false">FALSE()</f>
        <v>0</v>
      </c>
      <c r="I512" s="131" t="b">
        <f aca="false">FALSE()</f>
        <v>0</v>
      </c>
      <c r="J512" s="130"/>
      <c r="K512" s="110"/>
      <c r="L512" s="83"/>
      <c r="M512" s="103"/>
      <c r="N512" s="103"/>
      <c r="O512" s="103"/>
      <c r="P512" s="103"/>
      <c r="Q512" s="103"/>
      <c r="R512" s="83"/>
      <c r="S512" s="103"/>
      <c r="T512" s="103"/>
      <c r="U512" s="103"/>
    </row>
    <row r="513" customFormat="false" ht="22.5" hidden="false" customHeight="true" outlineLevel="0" collapsed="false">
      <c r="A513" s="99"/>
      <c r="B513" s="99"/>
      <c r="C513" s="99"/>
      <c r="D513" s="121"/>
      <c r="E513" s="99"/>
      <c r="F513" s="124" t="str">
        <f aca="false">IF(E513="CONTADO", 4%, IF(E513="TARJETA / CHEQUE", 3%, IF(OR(E513="FINANCIADO", E513="MCP"), 2.5%, "")))</f>
        <v/>
      </c>
      <c r="G513" s="121" t="str">
        <f aca="false">IF(F513="", "", F513*D513)</f>
        <v/>
      </c>
      <c r="H513" s="132" t="b">
        <f aca="false">FALSE()</f>
        <v>0</v>
      </c>
      <c r="I513" s="132" t="b">
        <f aca="false">FALSE()</f>
        <v>0</v>
      </c>
      <c r="J513" s="126"/>
      <c r="K513" s="99"/>
      <c r="L513" s="83"/>
      <c r="M513" s="103"/>
      <c r="N513" s="103"/>
      <c r="O513" s="103"/>
      <c r="P513" s="103"/>
      <c r="Q513" s="103"/>
      <c r="R513" s="83"/>
      <c r="S513" s="103"/>
      <c r="T513" s="103"/>
      <c r="U513" s="103"/>
    </row>
    <row r="514" customFormat="false" ht="22.5" hidden="false" customHeight="true" outlineLevel="0" collapsed="false">
      <c r="A514" s="110"/>
      <c r="B514" s="110"/>
      <c r="C514" s="110"/>
      <c r="D514" s="122"/>
      <c r="E514" s="110"/>
      <c r="F514" s="128" t="str">
        <f aca="false">IF(E514="CONTADO", 4%, IF(E514="TARJETA / CHEQUE", 3%, IF(OR(E514="FINANCIADO", E514="MCP"), 2.5%, "")))</f>
        <v/>
      </c>
      <c r="G514" s="122" t="str">
        <f aca="false">IF(F514="", "", F514*D514)</f>
        <v/>
      </c>
      <c r="H514" s="131" t="b">
        <f aca="false">FALSE()</f>
        <v>0</v>
      </c>
      <c r="I514" s="131" t="b">
        <f aca="false">FALSE()</f>
        <v>0</v>
      </c>
      <c r="J514" s="130"/>
      <c r="K514" s="110"/>
      <c r="L514" s="83"/>
      <c r="M514" s="103"/>
      <c r="N514" s="103"/>
      <c r="O514" s="103"/>
      <c r="P514" s="103"/>
      <c r="Q514" s="103"/>
      <c r="R514" s="83"/>
      <c r="S514" s="103"/>
      <c r="T514" s="103"/>
      <c r="U514" s="103"/>
    </row>
    <row r="515" customFormat="false" ht="22.5" hidden="false" customHeight="true" outlineLevel="0" collapsed="false">
      <c r="A515" s="99"/>
      <c r="B515" s="99"/>
      <c r="C515" s="99"/>
      <c r="D515" s="121"/>
      <c r="E515" s="99"/>
      <c r="F515" s="124" t="str">
        <f aca="false">IF(E515="CONTADO", 4%, IF(E515="TARJETA / CHEQUE", 3%, IF(OR(E515="FINANCIADO", E515="MCP"), 2.5%, "")))</f>
        <v/>
      </c>
      <c r="G515" s="121" t="str">
        <f aca="false">IF(F515="", "", F515*D515)</f>
        <v/>
      </c>
      <c r="H515" s="132" t="b">
        <f aca="false">FALSE()</f>
        <v>0</v>
      </c>
      <c r="I515" s="132" t="b">
        <f aca="false">FALSE()</f>
        <v>0</v>
      </c>
      <c r="J515" s="126"/>
      <c r="K515" s="99"/>
      <c r="L515" s="83"/>
      <c r="M515" s="103"/>
      <c r="N515" s="103"/>
      <c r="O515" s="103"/>
      <c r="P515" s="103"/>
      <c r="Q515" s="103"/>
      <c r="R515" s="83"/>
      <c r="S515" s="103"/>
      <c r="T515" s="103"/>
      <c r="U515" s="103"/>
    </row>
    <row r="516" customFormat="false" ht="22.5" hidden="false" customHeight="true" outlineLevel="0" collapsed="false">
      <c r="A516" s="110"/>
      <c r="B516" s="110"/>
      <c r="C516" s="110"/>
      <c r="D516" s="122"/>
      <c r="E516" s="110"/>
      <c r="F516" s="128" t="str">
        <f aca="false">IF(E516="CONTADO", 4%, IF(E516="TARJETA / CHEQUE", 3%, IF(OR(E516="FINANCIADO", E516="MCP"), 2.5%, "")))</f>
        <v/>
      </c>
      <c r="G516" s="122" t="str">
        <f aca="false">IF(F516="", "", F516*D516)</f>
        <v/>
      </c>
      <c r="H516" s="131" t="b">
        <f aca="false">FALSE()</f>
        <v>0</v>
      </c>
      <c r="I516" s="131" t="b">
        <f aca="false">FALSE()</f>
        <v>0</v>
      </c>
      <c r="J516" s="130"/>
      <c r="K516" s="110"/>
      <c r="L516" s="83"/>
      <c r="M516" s="103"/>
      <c r="N516" s="103"/>
      <c r="O516" s="103"/>
      <c r="P516" s="103"/>
      <c r="Q516" s="103"/>
      <c r="R516" s="83"/>
      <c r="S516" s="103"/>
      <c r="T516" s="103"/>
      <c r="U516" s="103"/>
    </row>
    <row r="517" customFormat="false" ht="22.5" hidden="false" customHeight="true" outlineLevel="0" collapsed="false">
      <c r="A517" s="99"/>
      <c r="B517" s="99"/>
      <c r="C517" s="99"/>
      <c r="D517" s="121"/>
      <c r="E517" s="99"/>
      <c r="F517" s="124" t="str">
        <f aca="false">IF(E517="CONTADO", 4%, IF(E517="TARJETA / CHEQUE", 3%, IF(OR(E517="FINANCIADO", E517="MCP"), 2.5%, "")))</f>
        <v/>
      </c>
      <c r="G517" s="121" t="str">
        <f aca="false">IF(F517="", "", F517*D517)</f>
        <v/>
      </c>
      <c r="H517" s="132" t="b">
        <f aca="false">FALSE()</f>
        <v>0</v>
      </c>
      <c r="I517" s="132" t="b">
        <f aca="false">FALSE()</f>
        <v>0</v>
      </c>
      <c r="J517" s="126"/>
      <c r="K517" s="99"/>
      <c r="L517" s="83"/>
      <c r="M517" s="103"/>
      <c r="N517" s="103"/>
      <c r="O517" s="103"/>
      <c r="P517" s="103"/>
      <c r="Q517" s="103"/>
      <c r="R517" s="83"/>
      <c r="S517" s="103"/>
      <c r="T517" s="103"/>
      <c r="U517" s="103"/>
    </row>
    <row r="518" customFormat="false" ht="22.5" hidden="false" customHeight="true" outlineLevel="0" collapsed="false">
      <c r="A518" s="110"/>
      <c r="B518" s="110"/>
      <c r="C518" s="110"/>
      <c r="D518" s="122"/>
      <c r="E518" s="110"/>
      <c r="F518" s="128" t="str">
        <f aca="false">IF(E518="CONTADO", 4%, IF(E518="TARJETA / CHEQUE", 3%, IF(OR(E518="FINANCIADO", E518="MCP"), 2.5%, "")))</f>
        <v/>
      </c>
      <c r="G518" s="122" t="str">
        <f aca="false">IF(F518="", "", F518*D518)</f>
        <v/>
      </c>
      <c r="H518" s="131" t="b">
        <f aca="false">FALSE()</f>
        <v>0</v>
      </c>
      <c r="I518" s="131" t="b">
        <f aca="false">FALSE()</f>
        <v>0</v>
      </c>
      <c r="J518" s="130"/>
      <c r="K518" s="110"/>
      <c r="L518" s="83"/>
      <c r="M518" s="103"/>
      <c r="N518" s="103"/>
      <c r="O518" s="103"/>
      <c r="P518" s="103"/>
      <c r="Q518" s="103"/>
      <c r="R518" s="83"/>
      <c r="S518" s="103"/>
      <c r="T518" s="103"/>
      <c r="U518" s="103"/>
    </row>
    <row r="519" customFormat="false" ht="22.5" hidden="false" customHeight="true" outlineLevel="0" collapsed="false">
      <c r="A519" s="99"/>
      <c r="B519" s="99"/>
      <c r="C519" s="99"/>
      <c r="D519" s="121"/>
      <c r="E519" s="99"/>
      <c r="F519" s="124" t="str">
        <f aca="false">IF(E519="CONTADO", 4%, IF(E519="TARJETA / CHEQUE", 3%, IF(OR(E519="FINANCIADO", E519="MCP"), 2.5%, "")))</f>
        <v/>
      </c>
      <c r="G519" s="121" t="str">
        <f aca="false">IF(F519="", "", F519*D519)</f>
        <v/>
      </c>
      <c r="H519" s="132" t="b">
        <f aca="false">FALSE()</f>
        <v>0</v>
      </c>
      <c r="I519" s="132" t="b">
        <f aca="false">FALSE()</f>
        <v>0</v>
      </c>
      <c r="J519" s="126"/>
      <c r="K519" s="99"/>
      <c r="L519" s="83"/>
      <c r="M519" s="103"/>
      <c r="N519" s="103"/>
      <c r="O519" s="103"/>
      <c r="P519" s="103"/>
      <c r="Q519" s="103"/>
      <c r="R519" s="83"/>
      <c r="S519" s="103"/>
      <c r="T519" s="103"/>
      <c r="U519" s="103"/>
    </row>
    <row r="520" customFormat="false" ht="22.5" hidden="false" customHeight="true" outlineLevel="0" collapsed="false">
      <c r="A520" s="110"/>
      <c r="B520" s="110"/>
      <c r="C520" s="110"/>
      <c r="D520" s="122"/>
      <c r="E520" s="110"/>
      <c r="F520" s="128" t="str">
        <f aca="false">IF(E520="CONTADO", 4%, IF(E520="TARJETA / CHEQUE", 3%, IF(OR(E520="FINANCIADO", E520="MCP"), 2.5%, "")))</f>
        <v/>
      </c>
      <c r="G520" s="122" t="str">
        <f aca="false">IF(F520="", "", F520*D520)</f>
        <v/>
      </c>
      <c r="H520" s="131" t="b">
        <f aca="false">FALSE()</f>
        <v>0</v>
      </c>
      <c r="I520" s="131" t="b">
        <f aca="false">FALSE()</f>
        <v>0</v>
      </c>
      <c r="J520" s="130"/>
      <c r="K520" s="110"/>
      <c r="L520" s="83"/>
      <c r="M520" s="103"/>
      <c r="N520" s="103"/>
      <c r="O520" s="103"/>
      <c r="P520" s="103"/>
      <c r="Q520" s="103"/>
      <c r="R520" s="83"/>
      <c r="S520" s="103"/>
      <c r="T520" s="103"/>
      <c r="U520" s="103"/>
    </row>
    <row r="521" customFormat="false" ht="22.5" hidden="false" customHeight="true" outlineLevel="0" collapsed="false">
      <c r="A521" s="99"/>
      <c r="B521" s="99"/>
      <c r="C521" s="99"/>
      <c r="D521" s="121"/>
      <c r="E521" s="99"/>
      <c r="F521" s="124" t="str">
        <f aca="false">IF(E521="CONTADO", 4%, IF(E521="TARJETA / CHEQUE", 3%, IF(OR(E521="FINANCIADO", E521="MCP"), 2.5%, "")))</f>
        <v/>
      </c>
      <c r="G521" s="121" t="str">
        <f aca="false">IF(F521="", "", F521*D521)</f>
        <v/>
      </c>
      <c r="H521" s="132" t="b">
        <f aca="false">FALSE()</f>
        <v>0</v>
      </c>
      <c r="I521" s="132" t="b">
        <f aca="false">FALSE()</f>
        <v>0</v>
      </c>
      <c r="J521" s="126"/>
      <c r="K521" s="99"/>
      <c r="L521" s="83"/>
      <c r="M521" s="103"/>
      <c r="N521" s="103"/>
      <c r="O521" s="103"/>
      <c r="P521" s="103"/>
      <c r="Q521" s="103"/>
      <c r="R521" s="83"/>
      <c r="S521" s="103"/>
      <c r="T521" s="103"/>
      <c r="U521" s="103"/>
    </row>
    <row r="522" customFormat="false" ht="22.5" hidden="false" customHeight="true" outlineLevel="0" collapsed="false">
      <c r="A522" s="110"/>
      <c r="B522" s="110"/>
      <c r="C522" s="110"/>
      <c r="D522" s="122"/>
      <c r="E522" s="110"/>
      <c r="F522" s="128" t="str">
        <f aca="false">IF(E522="CONTADO", 4%, IF(E522="TARJETA / CHEQUE", 3%, IF(OR(E522="FINANCIADO", E522="MCP"), 2.5%, "")))</f>
        <v/>
      </c>
      <c r="G522" s="122" t="str">
        <f aca="false">IF(F522="", "", F522*D522)</f>
        <v/>
      </c>
      <c r="H522" s="131" t="b">
        <f aca="false">FALSE()</f>
        <v>0</v>
      </c>
      <c r="I522" s="131" t="b">
        <f aca="false">FALSE()</f>
        <v>0</v>
      </c>
      <c r="J522" s="130"/>
      <c r="K522" s="110"/>
      <c r="L522" s="83"/>
      <c r="M522" s="103"/>
      <c r="N522" s="103"/>
      <c r="O522" s="103"/>
      <c r="P522" s="103"/>
      <c r="Q522" s="103"/>
      <c r="R522" s="83"/>
      <c r="S522" s="103"/>
      <c r="T522" s="103"/>
      <c r="U522" s="103"/>
    </row>
    <row r="523" customFormat="false" ht="22.5" hidden="false" customHeight="true" outlineLevel="0" collapsed="false">
      <c r="A523" s="99"/>
      <c r="B523" s="99"/>
      <c r="C523" s="99"/>
      <c r="D523" s="121"/>
      <c r="E523" s="99"/>
      <c r="F523" s="124" t="str">
        <f aca="false">IF(E523="CONTADO", 4%, IF(E523="TARJETA / CHEQUE", 3%, IF(OR(E523="FINANCIADO", E523="MCP"), 2.5%, "")))</f>
        <v/>
      </c>
      <c r="G523" s="121" t="str">
        <f aca="false">IF(F523="", "", F523*D523)</f>
        <v/>
      </c>
      <c r="H523" s="132" t="b">
        <f aca="false">FALSE()</f>
        <v>0</v>
      </c>
      <c r="I523" s="132" t="b">
        <f aca="false">FALSE()</f>
        <v>0</v>
      </c>
      <c r="J523" s="126"/>
      <c r="K523" s="99"/>
      <c r="L523" s="83"/>
      <c r="M523" s="103"/>
      <c r="N523" s="103"/>
      <c r="O523" s="103"/>
      <c r="P523" s="103"/>
      <c r="Q523" s="103"/>
      <c r="R523" s="83"/>
      <c r="S523" s="103"/>
      <c r="T523" s="103"/>
      <c r="U523" s="103"/>
    </row>
    <row r="524" customFormat="false" ht="22.5" hidden="false" customHeight="true" outlineLevel="0" collapsed="false">
      <c r="A524" s="110"/>
      <c r="B524" s="110"/>
      <c r="C524" s="110"/>
      <c r="D524" s="122"/>
      <c r="E524" s="110"/>
      <c r="F524" s="128" t="str">
        <f aca="false">IF(E524="CONTADO", 4%, IF(E524="TARJETA / CHEQUE", 3%, IF(OR(E524="FINANCIADO", E524="MCP"), 2.5%, "")))</f>
        <v/>
      </c>
      <c r="G524" s="122" t="str">
        <f aca="false">IF(F524="", "", F524*D524)</f>
        <v/>
      </c>
      <c r="H524" s="131" t="b">
        <f aca="false">FALSE()</f>
        <v>0</v>
      </c>
      <c r="I524" s="131" t="b">
        <f aca="false">FALSE()</f>
        <v>0</v>
      </c>
      <c r="J524" s="130"/>
      <c r="K524" s="110"/>
      <c r="L524" s="83"/>
      <c r="M524" s="103"/>
      <c r="N524" s="103"/>
      <c r="O524" s="103"/>
      <c r="P524" s="103"/>
      <c r="Q524" s="103"/>
      <c r="R524" s="83"/>
      <c r="S524" s="103"/>
      <c r="T524" s="103"/>
      <c r="U524" s="103"/>
    </row>
    <row r="525" customFormat="false" ht="22.5" hidden="false" customHeight="true" outlineLevel="0" collapsed="false">
      <c r="A525" s="99"/>
      <c r="B525" s="99"/>
      <c r="C525" s="99"/>
      <c r="D525" s="121"/>
      <c r="E525" s="99"/>
      <c r="F525" s="124" t="str">
        <f aca="false">IF(E525="CONTADO", 4%, IF(E525="TARJETA / CHEQUE", 3%, IF(OR(E525="FINANCIADO", E525="MCP"), 2.5%, "")))</f>
        <v/>
      </c>
      <c r="G525" s="121" t="str">
        <f aca="false">IF(F525="", "", F525*D525)</f>
        <v/>
      </c>
      <c r="H525" s="132" t="b">
        <f aca="false">FALSE()</f>
        <v>0</v>
      </c>
      <c r="I525" s="132" t="b">
        <f aca="false">FALSE()</f>
        <v>0</v>
      </c>
      <c r="J525" s="126"/>
      <c r="K525" s="99"/>
      <c r="L525" s="83"/>
      <c r="M525" s="103"/>
      <c r="N525" s="103"/>
      <c r="O525" s="103"/>
      <c r="P525" s="103"/>
      <c r="Q525" s="103"/>
      <c r="R525" s="83"/>
      <c r="S525" s="103"/>
      <c r="T525" s="103"/>
      <c r="U525" s="103"/>
    </row>
    <row r="526" customFormat="false" ht="22.5" hidden="false" customHeight="true" outlineLevel="0" collapsed="false">
      <c r="A526" s="110"/>
      <c r="B526" s="110"/>
      <c r="C526" s="110"/>
      <c r="D526" s="122"/>
      <c r="E526" s="110"/>
      <c r="F526" s="128" t="str">
        <f aca="false">IF(E526="CONTADO", 4%, IF(E526="TARJETA / CHEQUE", 3%, IF(OR(E526="FINANCIADO", E526="MCP"), 2.5%, "")))</f>
        <v/>
      </c>
      <c r="G526" s="122" t="str">
        <f aca="false">IF(F526="", "", F526*D526)</f>
        <v/>
      </c>
      <c r="H526" s="131" t="b">
        <f aca="false">FALSE()</f>
        <v>0</v>
      </c>
      <c r="I526" s="131" t="b">
        <f aca="false">FALSE()</f>
        <v>0</v>
      </c>
      <c r="J526" s="130"/>
      <c r="K526" s="110"/>
      <c r="L526" s="83"/>
      <c r="M526" s="103"/>
      <c r="N526" s="103"/>
      <c r="O526" s="103"/>
      <c r="P526" s="103"/>
      <c r="Q526" s="103"/>
      <c r="R526" s="83"/>
      <c r="S526" s="103"/>
      <c r="T526" s="103"/>
      <c r="U526" s="103"/>
    </row>
    <row r="527" customFormat="false" ht="22.5" hidden="false" customHeight="true" outlineLevel="0" collapsed="false">
      <c r="A527" s="99"/>
      <c r="B527" s="99"/>
      <c r="C527" s="99"/>
      <c r="D527" s="121"/>
      <c r="E527" s="99"/>
      <c r="F527" s="124" t="str">
        <f aca="false">IF(E527="CONTADO", 4%, IF(E527="TARJETA / CHEQUE", 3%, IF(OR(E527="FINANCIADO", E527="MCP"), 2.5%, "")))</f>
        <v/>
      </c>
      <c r="G527" s="121" t="str">
        <f aca="false">IF(F527="", "", F527*D527)</f>
        <v/>
      </c>
      <c r="H527" s="132" t="b">
        <f aca="false">FALSE()</f>
        <v>0</v>
      </c>
      <c r="I527" s="132" t="b">
        <f aca="false">FALSE()</f>
        <v>0</v>
      </c>
      <c r="J527" s="126"/>
      <c r="K527" s="99"/>
      <c r="L527" s="83"/>
      <c r="M527" s="103"/>
      <c r="N527" s="103"/>
      <c r="O527" s="103"/>
      <c r="P527" s="103"/>
      <c r="Q527" s="103"/>
      <c r="R527" s="83"/>
      <c r="S527" s="103"/>
      <c r="T527" s="103"/>
      <c r="U527" s="103"/>
    </row>
    <row r="528" customFormat="false" ht="22.5" hidden="false" customHeight="true" outlineLevel="0" collapsed="false">
      <c r="A528" s="110"/>
      <c r="B528" s="110"/>
      <c r="C528" s="110"/>
      <c r="D528" s="122"/>
      <c r="E528" s="110"/>
      <c r="F528" s="128" t="str">
        <f aca="false">IF(E528="CONTADO", 4%, IF(E528="TARJETA / CHEQUE", 3%, IF(OR(E528="FINANCIADO", E528="MCP"), 2.5%, "")))</f>
        <v/>
      </c>
      <c r="G528" s="122" t="str">
        <f aca="false">IF(F528="", "", F528*D528)</f>
        <v/>
      </c>
      <c r="H528" s="131" t="b">
        <f aca="false">FALSE()</f>
        <v>0</v>
      </c>
      <c r="I528" s="131" t="b">
        <f aca="false">FALSE()</f>
        <v>0</v>
      </c>
      <c r="J528" s="130"/>
      <c r="K528" s="110"/>
      <c r="L528" s="83"/>
      <c r="M528" s="103"/>
      <c r="N528" s="103"/>
      <c r="O528" s="103"/>
      <c r="P528" s="103"/>
      <c r="Q528" s="103"/>
      <c r="R528" s="83"/>
      <c r="S528" s="103"/>
      <c r="T528" s="103"/>
      <c r="U528" s="103"/>
    </row>
    <row r="529" customFormat="false" ht="22.5" hidden="false" customHeight="true" outlineLevel="0" collapsed="false">
      <c r="A529" s="99"/>
      <c r="B529" s="99"/>
      <c r="C529" s="99"/>
      <c r="D529" s="121"/>
      <c r="E529" s="99"/>
      <c r="F529" s="124" t="str">
        <f aca="false">IF(E529="CONTADO", 4%, IF(E529="TARJETA / CHEQUE", 3%, IF(OR(E529="FINANCIADO", E529="MCP"), 2.5%, "")))</f>
        <v/>
      </c>
      <c r="G529" s="121" t="str">
        <f aca="false">IF(F529="", "", F529*D529)</f>
        <v/>
      </c>
      <c r="H529" s="132" t="b">
        <f aca="false">FALSE()</f>
        <v>0</v>
      </c>
      <c r="I529" s="132" t="b">
        <f aca="false">FALSE()</f>
        <v>0</v>
      </c>
      <c r="J529" s="126"/>
      <c r="K529" s="99"/>
      <c r="L529" s="83"/>
      <c r="M529" s="103"/>
      <c r="N529" s="103"/>
      <c r="O529" s="103"/>
      <c r="P529" s="103"/>
      <c r="Q529" s="103"/>
      <c r="R529" s="83"/>
      <c r="S529" s="103"/>
      <c r="T529" s="103"/>
      <c r="U529" s="103"/>
    </row>
    <row r="530" customFormat="false" ht="22.5" hidden="false" customHeight="true" outlineLevel="0" collapsed="false">
      <c r="A530" s="110"/>
      <c r="B530" s="110"/>
      <c r="C530" s="110"/>
      <c r="D530" s="122"/>
      <c r="E530" s="110"/>
      <c r="F530" s="128" t="str">
        <f aca="false">IF(E530="CONTADO", 4%, IF(E530="TARJETA / CHEQUE", 3%, IF(OR(E530="FINANCIADO", E530="MCP"), 2.5%, "")))</f>
        <v/>
      </c>
      <c r="G530" s="122" t="str">
        <f aca="false">IF(F530="", "", F530*D530)</f>
        <v/>
      </c>
      <c r="H530" s="131" t="b">
        <f aca="false">FALSE()</f>
        <v>0</v>
      </c>
      <c r="I530" s="131" t="b">
        <f aca="false">FALSE()</f>
        <v>0</v>
      </c>
      <c r="J530" s="130"/>
      <c r="K530" s="110"/>
      <c r="L530" s="83"/>
      <c r="M530" s="103"/>
      <c r="N530" s="103"/>
      <c r="O530" s="103"/>
      <c r="P530" s="103"/>
      <c r="Q530" s="103"/>
      <c r="R530" s="83"/>
      <c r="S530" s="103"/>
      <c r="T530" s="103"/>
      <c r="U530" s="103"/>
    </row>
    <row r="531" customFormat="false" ht="22.5" hidden="false" customHeight="true" outlineLevel="0" collapsed="false">
      <c r="A531" s="99"/>
      <c r="B531" s="99"/>
      <c r="C531" s="99"/>
      <c r="D531" s="121"/>
      <c r="E531" s="99"/>
      <c r="F531" s="124" t="str">
        <f aca="false">IF(E531="CONTADO", 4%, IF(E531="TARJETA / CHEQUE", 3%, IF(OR(E531="FINANCIADO", E531="MCP"), 2.5%, "")))</f>
        <v/>
      </c>
      <c r="G531" s="121" t="str">
        <f aca="false">IF(F531="", "", F531*D531)</f>
        <v/>
      </c>
      <c r="H531" s="132" t="b">
        <f aca="false">FALSE()</f>
        <v>0</v>
      </c>
      <c r="I531" s="132" t="b">
        <f aca="false">FALSE()</f>
        <v>0</v>
      </c>
      <c r="J531" s="126"/>
      <c r="K531" s="99"/>
      <c r="L531" s="83"/>
      <c r="M531" s="103"/>
      <c r="N531" s="103"/>
      <c r="O531" s="103"/>
      <c r="P531" s="103"/>
      <c r="Q531" s="103"/>
      <c r="R531" s="83"/>
      <c r="S531" s="103"/>
      <c r="T531" s="103"/>
      <c r="U531" s="103"/>
    </row>
    <row r="532" customFormat="false" ht="22.5" hidden="false" customHeight="true" outlineLevel="0" collapsed="false">
      <c r="A532" s="110"/>
      <c r="B532" s="110"/>
      <c r="C532" s="110"/>
      <c r="D532" s="122"/>
      <c r="E532" s="110"/>
      <c r="F532" s="128" t="str">
        <f aca="false">IF(E532="CONTADO", 4%, IF(E532="TARJETA / CHEQUE", 3%, IF(OR(E532="FINANCIADO", E532="MCP"), 2.5%, "")))</f>
        <v/>
      </c>
      <c r="G532" s="122" t="str">
        <f aca="false">IF(F532="", "", F532*D532)</f>
        <v/>
      </c>
      <c r="H532" s="131" t="b">
        <f aca="false">FALSE()</f>
        <v>0</v>
      </c>
      <c r="I532" s="131" t="b">
        <f aca="false">FALSE()</f>
        <v>0</v>
      </c>
      <c r="J532" s="130"/>
      <c r="K532" s="110"/>
      <c r="L532" s="83"/>
      <c r="M532" s="103"/>
      <c r="N532" s="103"/>
      <c r="O532" s="103"/>
      <c r="P532" s="103"/>
      <c r="Q532" s="103"/>
      <c r="R532" s="83"/>
      <c r="S532" s="103"/>
      <c r="T532" s="103"/>
      <c r="U532" s="103"/>
    </row>
    <row r="533" customFormat="false" ht="22.5" hidden="false" customHeight="true" outlineLevel="0" collapsed="false">
      <c r="A533" s="99"/>
      <c r="B533" s="99"/>
      <c r="C533" s="99"/>
      <c r="D533" s="121"/>
      <c r="E533" s="99"/>
      <c r="F533" s="124" t="str">
        <f aca="false">IF(E533="CONTADO", 4%, IF(E533="TARJETA / CHEQUE", 3%, IF(OR(E533="FINANCIADO", E533="MCP"), 2.5%, "")))</f>
        <v/>
      </c>
      <c r="G533" s="121" t="str">
        <f aca="false">IF(F533="", "", F533*D533)</f>
        <v/>
      </c>
      <c r="H533" s="132" t="b">
        <f aca="false">FALSE()</f>
        <v>0</v>
      </c>
      <c r="I533" s="132" t="b">
        <f aca="false">FALSE()</f>
        <v>0</v>
      </c>
      <c r="J533" s="126"/>
      <c r="K533" s="99"/>
      <c r="L533" s="83"/>
      <c r="M533" s="103"/>
      <c r="N533" s="103"/>
      <c r="O533" s="103"/>
      <c r="P533" s="103"/>
      <c r="Q533" s="103"/>
      <c r="R533" s="83"/>
      <c r="S533" s="103"/>
      <c r="T533" s="103"/>
      <c r="U533" s="103"/>
    </row>
    <row r="534" customFormat="false" ht="22.5" hidden="false" customHeight="true" outlineLevel="0" collapsed="false">
      <c r="A534" s="110"/>
      <c r="B534" s="110"/>
      <c r="C534" s="110"/>
      <c r="D534" s="122"/>
      <c r="E534" s="110"/>
      <c r="F534" s="128" t="str">
        <f aca="false">IF(E534="CONTADO", 4%, IF(E534="TARJETA / CHEQUE", 3%, IF(OR(E534="FINANCIADO", E534="MCP"), 2.5%, "")))</f>
        <v/>
      </c>
      <c r="G534" s="122" t="str">
        <f aca="false">IF(F534="", "", F534*D534)</f>
        <v/>
      </c>
      <c r="H534" s="131" t="b">
        <f aca="false">FALSE()</f>
        <v>0</v>
      </c>
      <c r="I534" s="131" t="b">
        <f aca="false">FALSE()</f>
        <v>0</v>
      </c>
      <c r="J534" s="130"/>
      <c r="K534" s="110"/>
      <c r="L534" s="83"/>
      <c r="M534" s="103"/>
      <c r="N534" s="103"/>
      <c r="O534" s="103"/>
      <c r="P534" s="103"/>
      <c r="Q534" s="103"/>
      <c r="R534" s="83"/>
      <c r="S534" s="103"/>
      <c r="T534" s="103"/>
      <c r="U534" s="103"/>
    </row>
    <row r="535" customFormat="false" ht="22.5" hidden="false" customHeight="true" outlineLevel="0" collapsed="false">
      <c r="A535" s="99"/>
      <c r="B535" s="99"/>
      <c r="C535" s="99"/>
      <c r="D535" s="121"/>
      <c r="E535" s="99"/>
      <c r="F535" s="124" t="str">
        <f aca="false">IF(E535="CONTADO", 4%, IF(E535="TARJETA / CHEQUE", 3%, IF(OR(E535="FINANCIADO", E535="MCP"), 2.5%, "")))</f>
        <v/>
      </c>
      <c r="G535" s="121" t="str">
        <f aca="false">IF(F535="", "", F535*D535)</f>
        <v/>
      </c>
      <c r="H535" s="132" t="b">
        <f aca="false">FALSE()</f>
        <v>0</v>
      </c>
      <c r="I535" s="132" t="b">
        <f aca="false">FALSE()</f>
        <v>0</v>
      </c>
      <c r="J535" s="126"/>
      <c r="K535" s="99"/>
      <c r="L535" s="83"/>
      <c r="M535" s="103"/>
      <c r="N535" s="103"/>
      <c r="O535" s="103"/>
      <c r="P535" s="103"/>
      <c r="Q535" s="103"/>
      <c r="R535" s="83"/>
      <c r="S535" s="103"/>
      <c r="T535" s="103"/>
      <c r="U535" s="103"/>
    </row>
    <row r="536" customFormat="false" ht="22.5" hidden="false" customHeight="true" outlineLevel="0" collapsed="false">
      <c r="A536" s="110"/>
      <c r="B536" s="110"/>
      <c r="C536" s="110"/>
      <c r="D536" s="122"/>
      <c r="E536" s="110"/>
      <c r="F536" s="128" t="str">
        <f aca="false">IF(E536="CONTADO", 4%, IF(E536="TARJETA / CHEQUE", 3%, IF(OR(E536="FINANCIADO", E536="MCP"), 2.5%, "")))</f>
        <v/>
      </c>
      <c r="G536" s="122" t="str">
        <f aca="false">IF(F536="", "", F536*D536)</f>
        <v/>
      </c>
      <c r="H536" s="131" t="b">
        <f aca="false">FALSE()</f>
        <v>0</v>
      </c>
      <c r="I536" s="131" t="b">
        <f aca="false">FALSE()</f>
        <v>0</v>
      </c>
      <c r="J536" s="130"/>
      <c r="K536" s="110"/>
      <c r="L536" s="83"/>
      <c r="M536" s="103"/>
      <c r="N536" s="103"/>
      <c r="O536" s="103"/>
      <c r="P536" s="103"/>
      <c r="Q536" s="103"/>
      <c r="R536" s="83"/>
      <c r="S536" s="103"/>
      <c r="T536" s="103"/>
      <c r="U536" s="103"/>
    </row>
    <row r="537" customFormat="false" ht="22.5" hidden="false" customHeight="true" outlineLevel="0" collapsed="false">
      <c r="A537" s="99"/>
      <c r="B537" s="99"/>
      <c r="C537" s="99"/>
      <c r="D537" s="121"/>
      <c r="E537" s="99"/>
      <c r="F537" s="124" t="str">
        <f aca="false">IF(E537="CONTADO", 4%, IF(E537="TARJETA / CHEQUE", 3%, IF(OR(E537="FINANCIADO", E537="MCP"), 2.5%, "")))</f>
        <v/>
      </c>
      <c r="G537" s="121" t="str">
        <f aca="false">IF(F537="", "", F537*D537)</f>
        <v/>
      </c>
      <c r="H537" s="132" t="b">
        <f aca="false">FALSE()</f>
        <v>0</v>
      </c>
      <c r="I537" s="132" t="b">
        <f aca="false">FALSE()</f>
        <v>0</v>
      </c>
      <c r="J537" s="126"/>
      <c r="K537" s="99"/>
      <c r="L537" s="83"/>
      <c r="M537" s="103"/>
      <c r="N537" s="103"/>
      <c r="O537" s="103"/>
      <c r="P537" s="103"/>
      <c r="Q537" s="103"/>
      <c r="R537" s="83"/>
      <c r="S537" s="103"/>
      <c r="T537" s="103"/>
      <c r="U537" s="103"/>
    </row>
    <row r="538" customFormat="false" ht="22.5" hidden="false" customHeight="true" outlineLevel="0" collapsed="false">
      <c r="A538" s="110"/>
      <c r="B538" s="110"/>
      <c r="C538" s="110"/>
      <c r="D538" s="122"/>
      <c r="E538" s="110"/>
      <c r="F538" s="128" t="str">
        <f aca="false">IF(E538="CONTADO", 4%, IF(E538="TARJETA / CHEQUE", 3%, IF(OR(E538="FINANCIADO", E538="MCP"), 2.5%, "")))</f>
        <v/>
      </c>
      <c r="G538" s="122" t="str">
        <f aca="false">IF(F538="", "", F538*D538)</f>
        <v/>
      </c>
      <c r="H538" s="131" t="b">
        <f aca="false">FALSE()</f>
        <v>0</v>
      </c>
      <c r="I538" s="131" t="b">
        <f aca="false">FALSE()</f>
        <v>0</v>
      </c>
      <c r="J538" s="130"/>
      <c r="K538" s="110"/>
      <c r="L538" s="83"/>
      <c r="M538" s="103"/>
      <c r="N538" s="103"/>
      <c r="O538" s="103"/>
      <c r="P538" s="103"/>
      <c r="Q538" s="103"/>
      <c r="R538" s="83"/>
      <c r="S538" s="103"/>
      <c r="T538" s="103"/>
      <c r="U538" s="103"/>
    </row>
    <row r="539" customFormat="false" ht="22.5" hidden="false" customHeight="true" outlineLevel="0" collapsed="false">
      <c r="A539" s="99"/>
      <c r="B539" s="99"/>
      <c r="C539" s="99"/>
      <c r="D539" s="121"/>
      <c r="E539" s="99"/>
      <c r="F539" s="124" t="str">
        <f aca="false">IF(E539="CONTADO", 4%, IF(E539="TARJETA / CHEQUE", 3%, IF(OR(E539="FINANCIADO", E539="MCP"), 2.5%, "")))</f>
        <v/>
      </c>
      <c r="G539" s="121" t="str">
        <f aca="false">IF(F539="", "", F539*D539)</f>
        <v/>
      </c>
      <c r="H539" s="132" t="b">
        <f aca="false">FALSE()</f>
        <v>0</v>
      </c>
      <c r="I539" s="132" t="b">
        <f aca="false">FALSE()</f>
        <v>0</v>
      </c>
      <c r="J539" s="126"/>
      <c r="K539" s="99"/>
      <c r="L539" s="83"/>
      <c r="M539" s="103"/>
      <c r="N539" s="103"/>
      <c r="O539" s="103"/>
      <c r="P539" s="103"/>
      <c r="Q539" s="103"/>
      <c r="R539" s="83"/>
      <c r="S539" s="103"/>
      <c r="T539" s="103"/>
      <c r="U539" s="103"/>
    </row>
    <row r="540" customFormat="false" ht="22.5" hidden="false" customHeight="true" outlineLevel="0" collapsed="false">
      <c r="A540" s="110"/>
      <c r="B540" s="110"/>
      <c r="C540" s="110"/>
      <c r="D540" s="122"/>
      <c r="E540" s="110"/>
      <c r="F540" s="128" t="str">
        <f aca="false">IF(E540="CONTADO", 4%, IF(E540="TARJETA / CHEQUE", 3%, IF(OR(E540="FINANCIADO", E540="MCP"), 2.5%, "")))</f>
        <v/>
      </c>
      <c r="G540" s="122" t="str">
        <f aca="false">IF(F540="", "", F540*D540)</f>
        <v/>
      </c>
      <c r="H540" s="131" t="b">
        <f aca="false">FALSE()</f>
        <v>0</v>
      </c>
      <c r="I540" s="131" t="b">
        <f aca="false">FALSE()</f>
        <v>0</v>
      </c>
      <c r="J540" s="130"/>
      <c r="K540" s="110"/>
      <c r="L540" s="83"/>
      <c r="M540" s="103"/>
      <c r="N540" s="103"/>
      <c r="O540" s="103"/>
      <c r="P540" s="103"/>
      <c r="Q540" s="103"/>
      <c r="R540" s="83"/>
      <c r="S540" s="103"/>
      <c r="T540" s="103"/>
      <c r="U540" s="103"/>
    </row>
    <row r="541" customFormat="false" ht="22.5" hidden="false" customHeight="true" outlineLevel="0" collapsed="false">
      <c r="A541" s="99"/>
      <c r="B541" s="99"/>
      <c r="C541" s="99"/>
      <c r="D541" s="121"/>
      <c r="E541" s="99"/>
      <c r="F541" s="124" t="str">
        <f aca="false">IF(E541="CONTADO", 4%, IF(E541="TARJETA / CHEQUE", 3%, IF(OR(E541="FINANCIADO", E541="MCP"), 2.5%, "")))</f>
        <v/>
      </c>
      <c r="G541" s="121" t="str">
        <f aca="false">IF(F541="", "", F541*D541)</f>
        <v/>
      </c>
      <c r="H541" s="132" t="b">
        <f aca="false">FALSE()</f>
        <v>0</v>
      </c>
      <c r="I541" s="132" t="b">
        <f aca="false">FALSE()</f>
        <v>0</v>
      </c>
      <c r="J541" s="126"/>
      <c r="K541" s="99"/>
      <c r="L541" s="83"/>
      <c r="M541" s="103"/>
      <c r="N541" s="103"/>
      <c r="O541" s="103"/>
      <c r="P541" s="103"/>
      <c r="Q541" s="103"/>
      <c r="R541" s="83"/>
      <c r="S541" s="103"/>
      <c r="T541" s="103"/>
      <c r="U541" s="103"/>
    </row>
    <row r="542" customFormat="false" ht="22.5" hidden="false" customHeight="true" outlineLevel="0" collapsed="false">
      <c r="A542" s="110"/>
      <c r="B542" s="110"/>
      <c r="C542" s="110"/>
      <c r="D542" s="122"/>
      <c r="E542" s="110"/>
      <c r="F542" s="128" t="str">
        <f aca="false">IF(E542="CONTADO", 4%, IF(E542="TARJETA / CHEQUE", 3%, IF(OR(E542="FINANCIADO", E542="MCP"), 2.5%, "")))</f>
        <v/>
      </c>
      <c r="G542" s="122" t="str">
        <f aca="false">IF(F542="", "", F542*D542)</f>
        <v/>
      </c>
      <c r="H542" s="131" t="b">
        <f aca="false">FALSE()</f>
        <v>0</v>
      </c>
      <c r="I542" s="131" t="b">
        <f aca="false">FALSE()</f>
        <v>0</v>
      </c>
      <c r="J542" s="130"/>
      <c r="K542" s="110"/>
      <c r="L542" s="83"/>
      <c r="M542" s="103"/>
      <c r="N542" s="103"/>
      <c r="O542" s="103"/>
      <c r="P542" s="103"/>
      <c r="Q542" s="103"/>
      <c r="R542" s="83"/>
      <c r="S542" s="103"/>
      <c r="T542" s="103"/>
      <c r="U542" s="103"/>
    </row>
    <row r="543" customFormat="false" ht="22.5" hidden="false" customHeight="true" outlineLevel="0" collapsed="false">
      <c r="A543" s="99"/>
      <c r="B543" s="99"/>
      <c r="C543" s="99"/>
      <c r="D543" s="121"/>
      <c r="E543" s="99"/>
      <c r="F543" s="124" t="str">
        <f aca="false">IF(E543="CONTADO", 4%, IF(E543="TARJETA / CHEQUE", 3%, IF(OR(E543="FINANCIADO", E543="MCP"), 2.5%, "")))</f>
        <v/>
      </c>
      <c r="G543" s="121" t="str">
        <f aca="false">IF(F543="", "", F543*D543)</f>
        <v/>
      </c>
      <c r="H543" s="132" t="b">
        <f aca="false">FALSE()</f>
        <v>0</v>
      </c>
      <c r="I543" s="132" t="b">
        <f aca="false">FALSE()</f>
        <v>0</v>
      </c>
      <c r="J543" s="126"/>
      <c r="K543" s="99"/>
      <c r="L543" s="83"/>
      <c r="M543" s="103"/>
      <c r="N543" s="103"/>
      <c r="O543" s="103"/>
      <c r="P543" s="103"/>
      <c r="Q543" s="103"/>
      <c r="R543" s="83"/>
      <c r="S543" s="103"/>
      <c r="T543" s="103"/>
      <c r="U543" s="103"/>
    </row>
    <row r="544" customFormat="false" ht="22.5" hidden="false" customHeight="true" outlineLevel="0" collapsed="false">
      <c r="A544" s="110"/>
      <c r="B544" s="110"/>
      <c r="C544" s="110"/>
      <c r="D544" s="122"/>
      <c r="E544" s="110"/>
      <c r="F544" s="128" t="str">
        <f aca="false">IF(E544="CONTADO", 4%, IF(E544="TARJETA / CHEQUE", 3%, IF(OR(E544="FINANCIADO", E544="MCP"), 2.5%, "")))</f>
        <v/>
      </c>
      <c r="G544" s="122" t="str">
        <f aca="false">IF(F544="", "", F544*D544)</f>
        <v/>
      </c>
      <c r="H544" s="131" t="b">
        <f aca="false">FALSE()</f>
        <v>0</v>
      </c>
      <c r="I544" s="131" t="b">
        <f aca="false">FALSE()</f>
        <v>0</v>
      </c>
      <c r="J544" s="130"/>
      <c r="K544" s="110"/>
      <c r="L544" s="83"/>
      <c r="M544" s="103"/>
      <c r="N544" s="103"/>
      <c r="O544" s="103"/>
      <c r="P544" s="103"/>
      <c r="Q544" s="103"/>
      <c r="R544" s="83"/>
      <c r="S544" s="103"/>
      <c r="T544" s="103"/>
      <c r="U544" s="103"/>
    </row>
    <row r="545" customFormat="false" ht="22.5" hidden="false" customHeight="true" outlineLevel="0" collapsed="false">
      <c r="A545" s="99"/>
      <c r="B545" s="99"/>
      <c r="C545" s="99"/>
      <c r="D545" s="121"/>
      <c r="E545" s="99"/>
      <c r="F545" s="124" t="str">
        <f aca="false">IF(E545="CONTADO", 4%, IF(E545="TARJETA / CHEQUE", 3%, IF(OR(E545="FINANCIADO", E545="MCP"), 2.5%, "")))</f>
        <v/>
      </c>
      <c r="G545" s="121" t="str">
        <f aca="false">IF(F545="", "", F545*D545)</f>
        <v/>
      </c>
      <c r="H545" s="132" t="b">
        <f aca="false">FALSE()</f>
        <v>0</v>
      </c>
      <c r="I545" s="132" t="b">
        <f aca="false">FALSE()</f>
        <v>0</v>
      </c>
      <c r="J545" s="126"/>
      <c r="K545" s="99"/>
      <c r="L545" s="83"/>
      <c r="M545" s="103"/>
      <c r="N545" s="103"/>
      <c r="O545" s="103"/>
      <c r="P545" s="103"/>
      <c r="Q545" s="103"/>
      <c r="R545" s="83"/>
      <c r="S545" s="103"/>
      <c r="T545" s="103"/>
      <c r="U545" s="103"/>
    </row>
    <row r="546" customFormat="false" ht="22.5" hidden="false" customHeight="true" outlineLevel="0" collapsed="false">
      <c r="A546" s="110"/>
      <c r="B546" s="110"/>
      <c r="C546" s="110"/>
      <c r="D546" s="122"/>
      <c r="E546" s="110"/>
      <c r="F546" s="128" t="str">
        <f aca="false">IF(E546="CONTADO", 4%, IF(E546="TARJETA / CHEQUE", 3%, IF(OR(E546="FINANCIADO", E546="MCP"), 2.5%, "")))</f>
        <v/>
      </c>
      <c r="G546" s="122" t="str">
        <f aca="false">IF(F546="", "", F546*D546)</f>
        <v/>
      </c>
      <c r="H546" s="131" t="b">
        <f aca="false">FALSE()</f>
        <v>0</v>
      </c>
      <c r="I546" s="131" t="b">
        <f aca="false">FALSE()</f>
        <v>0</v>
      </c>
      <c r="J546" s="130"/>
      <c r="K546" s="110"/>
      <c r="L546" s="83"/>
      <c r="M546" s="103"/>
      <c r="N546" s="103"/>
      <c r="O546" s="103"/>
      <c r="P546" s="103"/>
      <c r="Q546" s="103"/>
      <c r="R546" s="83"/>
      <c r="S546" s="103"/>
      <c r="T546" s="103"/>
      <c r="U546" s="103"/>
    </row>
    <row r="547" customFormat="false" ht="22.5" hidden="false" customHeight="true" outlineLevel="0" collapsed="false">
      <c r="A547" s="99"/>
      <c r="B547" s="99"/>
      <c r="C547" s="99"/>
      <c r="D547" s="121"/>
      <c r="E547" s="99"/>
      <c r="F547" s="124" t="str">
        <f aca="false">IF(E547="CONTADO", 4%, IF(E547="TARJETA / CHEQUE", 3%, IF(OR(E547="FINANCIADO", E547="MCP"), 2.5%, "")))</f>
        <v/>
      </c>
      <c r="G547" s="121" t="str">
        <f aca="false">IF(F547="", "", F547*D547)</f>
        <v/>
      </c>
      <c r="H547" s="132" t="b">
        <f aca="false">FALSE()</f>
        <v>0</v>
      </c>
      <c r="I547" s="132" t="b">
        <f aca="false">FALSE()</f>
        <v>0</v>
      </c>
      <c r="J547" s="126"/>
      <c r="K547" s="99"/>
      <c r="L547" s="83"/>
      <c r="M547" s="103"/>
      <c r="N547" s="103"/>
      <c r="O547" s="103"/>
      <c r="P547" s="103"/>
      <c r="Q547" s="103"/>
      <c r="R547" s="83"/>
      <c r="S547" s="103"/>
      <c r="T547" s="103"/>
      <c r="U547" s="103"/>
    </row>
    <row r="548" customFormat="false" ht="22.5" hidden="false" customHeight="true" outlineLevel="0" collapsed="false">
      <c r="A548" s="110"/>
      <c r="B548" s="110"/>
      <c r="C548" s="110"/>
      <c r="D548" s="122"/>
      <c r="E548" s="110"/>
      <c r="F548" s="128" t="str">
        <f aca="false">IF(E548="CONTADO", 4%, IF(E548="TARJETA / CHEQUE", 3%, IF(OR(E548="FINANCIADO", E548="MCP"), 2.5%, "")))</f>
        <v/>
      </c>
      <c r="G548" s="122" t="str">
        <f aca="false">IF(F548="", "", F548*D548)</f>
        <v/>
      </c>
      <c r="H548" s="131" t="b">
        <f aca="false">FALSE()</f>
        <v>0</v>
      </c>
      <c r="I548" s="131" t="b">
        <f aca="false">FALSE()</f>
        <v>0</v>
      </c>
      <c r="J548" s="130"/>
      <c r="K548" s="110"/>
      <c r="L548" s="83"/>
      <c r="M548" s="103"/>
      <c r="N548" s="103"/>
      <c r="O548" s="103"/>
      <c r="P548" s="103"/>
      <c r="Q548" s="103"/>
      <c r="R548" s="83"/>
      <c r="S548" s="103"/>
      <c r="T548" s="103"/>
      <c r="U548" s="103"/>
    </row>
    <row r="549" customFormat="false" ht="22.5" hidden="false" customHeight="true" outlineLevel="0" collapsed="false">
      <c r="A549" s="99"/>
      <c r="B549" s="99"/>
      <c r="C549" s="99"/>
      <c r="D549" s="121"/>
      <c r="E549" s="99"/>
      <c r="F549" s="124" t="str">
        <f aca="false">IF(E549="CONTADO", 4%, IF(E549="TARJETA / CHEQUE", 3%, IF(OR(E549="FINANCIADO", E549="MCP"), 2.5%, "")))</f>
        <v/>
      </c>
      <c r="G549" s="121" t="str">
        <f aca="false">IF(F549="", "", F549*D549)</f>
        <v/>
      </c>
      <c r="H549" s="132" t="b">
        <f aca="false">FALSE()</f>
        <v>0</v>
      </c>
      <c r="I549" s="132" t="b">
        <f aca="false">FALSE()</f>
        <v>0</v>
      </c>
      <c r="J549" s="126"/>
      <c r="K549" s="99"/>
      <c r="L549" s="83"/>
      <c r="M549" s="103"/>
      <c r="N549" s="103"/>
      <c r="O549" s="103"/>
      <c r="P549" s="103"/>
      <c r="Q549" s="103"/>
      <c r="R549" s="83"/>
      <c r="S549" s="103"/>
      <c r="T549" s="103"/>
      <c r="U549" s="103"/>
    </row>
    <row r="550" customFormat="false" ht="22.5" hidden="false" customHeight="true" outlineLevel="0" collapsed="false">
      <c r="A550" s="110"/>
      <c r="B550" s="110"/>
      <c r="C550" s="110"/>
      <c r="D550" s="122"/>
      <c r="E550" s="110"/>
      <c r="F550" s="128" t="str">
        <f aca="false">IF(E550="CONTADO", 4%, IF(E550="TARJETA / CHEQUE", 3%, IF(OR(E550="FINANCIADO", E550="MCP"), 2.5%, "")))</f>
        <v/>
      </c>
      <c r="G550" s="122" t="str">
        <f aca="false">IF(F550="", "", F550*D550)</f>
        <v/>
      </c>
      <c r="H550" s="131" t="b">
        <f aca="false">FALSE()</f>
        <v>0</v>
      </c>
      <c r="I550" s="131" t="b">
        <f aca="false">FALSE()</f>
        <v>0</v>
      </c>
      <c r="J550" s="130"/>
      <c r="K550" s="110"/>
      <c r="L550" s="83"/>
      <c r="M550" s="103"/>
      <c r="N550" s="103"/>
      <c r="O550" s="103"/>
      <c r="P550" s="103"/>
      <c r="Q550" s="103"/>
      <c r="R550" s="83"/>
      <c r="S550" s="103"/>
      <c r="T550" s="103"/>
      <c r="U550" s="103"/>
    </row>
    <row r="551" customFormat="false" ht="22.5" hidden="false" customHeight="true" outlineLevel="0" collapsed="false">
      <c r="A551" s="99"/>
      <c r="B551" s="99"/>
      <c r="C551" s="99"/>
      <c r="D551" s="121"/>
      <c r="E551" s="99"/>
      <c r="F551" s="124" t="str">
        <f aca="false">IF(E551="CONTADO", 4%, IF(E551="TARJETA / CHEQUE", 3%, IF(OR(E551="FINANCIADO", E551="MCP"), 2.5%, "")))</f>
        <v/>
      </c>
      <c r="G551" s="121" t="str">
        <f aca="false">IF(F551="", "", F551*D551)</f>
        <v/>
      </c>
      <c r="H551" s="132" t="b">
        <f aca="false">FALSE()</f>
        <v>0</v>
      </c>
      <c r="I551" s="132" t="b">
        <f aca="false">FALSE()</f>
        <v>0</v>
      </c>
      <c r="J551" s="126"/>
      <c r="K551" s="99"/>
      <c r="L551" s="83"/>
      <c r="M551" s="103"/>
      <c r="N551" s="103"/>
      <c r="O551" s="103"/>
      <c r="P551" s="103"/>
      <c r="Q551" s="103"/>
      <c r="R551" s="83"/>
      <c r="S551" s="103"/>
      <c r="T551" s="103"/>
      <c r="U551" s="103"/>
    </row>
    <row r="552" customFormat="false" ht="22.5" hidden="false" customHeight="true" outlineLevel="0" collapsed="false">
      <c r="A552" s="110"/>
      <c r="B552" s="110"/>
      <c r="C552" s="110"/>
      <c r="D552" s="122"/>
      <c r="E552" s="110"/>
      <c r="F552" s="128" t="str">
        <f aca="false">IF(E552="CONTADO", 4%, IF(E552="TARJETA / CHEQUE", 3%, IF(OR(E552="FINANCIADO", E552="MCP"), 2.5%, "")))</f>
        <v/>
      </c>
      <c r="G552" s="122" t="str">
        <f aca="false">IF(F552="", "", F552*D552)</f>
        <v/>
      </c>
      <c r="H552" s="131" t="b">
        <f aca="false">FALSE()</f>
        <v>0</v>
      </c>
      <c r="I552" s="131" t="b">
        <f aca="false">FALSE()</f>
        <v>0</v>
      </c>
      <c r="J552" s="130"/>
      <c r="K552" s="110"/>
      <c r="L552" s="83"/>
      <c r="M552" s="103"/>
      <c r="N552" s="103"/>
      <c r="O552" s="103"/>
      <c r="P552" s="103"/>
      <c r="Q552" s="103"/>
      <c r="R552" s="83"/>
      <c r="S552" s="103"/>
      <c r="T552" s="103"/>
      <c r="U552" s="103"/>
    </row>
    <row r="553" customFormat="false" ht="22.5" hidden="false" customHeight="true" outlineLevel="0" collapsed="false">
      <c r="A553" s="99"/>
      <c r="B553" s="99"/>
      <c r="C553" s="99"/>
      <c r="D553" s="121"/>
      <c r="E553" s="99"/>
      <c r="F553" s="124" t="str">
        <f aca="false">IF(E553="CONTADO", 4%, IF(E553="TARJETA / CHEQUE", 3%, IF(OR(E553="FINANCIADO", E553="MCP"), 2.5%, "")))</f>
        <v/>
      </c>
      <c r="G553" s="121" t="str">
        <f aca="false">IF(F553="", "", F553*D553)</f>
        <v/>
      </c>
      <c r="H553" s="132" t="b">
        <f aca="false">FALSE()</f>
        <v>0</v>
      </c>
      <c r="I553" s="132" t="b">
        <f aca="false">FALSE()</f>
        <v>0</v>
      </c>
      <c r="J553" s="126"/>
      <c r="K553" s="99"/>
      <c r="L553" s="83"/>
      <c r="M553" s="103"/>
      <c r="N553" s="103"/>
      <c r="O553" s="103"/>
      <c r="P553" s="103"/>
      <c r="Q553" s="103"/>
      <c r="R553" s="83"/>
      <c r="S553" s="103"/>
      <c r="T553" s="103"/>
      <c r="U553" s="103"/>
    </row>
    <row r="554" customFormat="false" ht="22.5" hidden="false" customHeight="true" outlineLevel="0" collapsed="false">
      <c r="A554" s="110"/>
      <c r="B554" s="110"/>
      <c r="C554" s="110"/>
      <c r="D554" s="122"/>
      <c r="E554" s="110"/>
      <c r="F554" s="128" t="str">
        <f aca="false">IF(E554="CONTADO", 4%, IF(E554="TARJETA / CHEQUE", 3%, IF(OR(E554="FINANCIADO", E554="MCP"), 2.5%, "")))</f>
        <v/>
      </c>
      <c r="G554" s="122" t="str">
        <f aca="false">IF(F554="", "", F554*D554)</f>
        <v/>
      </c>
      <c r="H554" s="131" t="b">
        <f aca="false">FALSE()</f>
        <v>0</v>
      </c>
      <c r="I554" s="131" t="b">
        <f aca="false">FALSE()</f>
        <v>0</v>
      </c>
      <c r="J554" s="130"/>
      <c r="K554" s="110"/>
      <c r="L554" s="83"/>
      <c r="M554" s="103"/>
      <c r="N554" s="103"/>
      <c r="O554" s="103"/>
      <c r="P554" s="103"/>
      <c r="Q554" s="103"/>
      <c r="R554" s="83"/>
      <c r="S554" s="103"/>
      <c r="T554" s="103"/>
      <c r="U554" s="103"/>
    </row>
    <row r="555" customFormat="false" ht="22.5" hidden="false" customHeight="true" outlineLevel="0" collapsed="false">
      <c r="A555" s="99"/>
      <c r="B555" s="99"/>
      <c r="C555" s="99"/>
      <c r="D555" s="121"/>
      <c r="E555" s="99"/>
      <c r="F555" s="124" t="str">
        <f aca="false">IF(E555="CONTADO", 4%, IF(E555="TARJETA / CHEQUE", 3%, IF(OR(E555="FINANCIADO", E555="MCP"), 2.5%, "")))</f>
        <v/>
      </c>
      <c r="G555" s="121" t="str">
        <f aca="false">IF(F555="", "", F555*D555)</f>
        <v/>
      </c>
      <c r="H555" s="132" t="b">
        <f aca="false">FALSE()</f>
        <v>0</v>
      </c>
      <c r="I555" s="132" t="b">
        <f aca="false">FALSE()</f>
        <v>0</v>
      </c>
      <c r="J555" s="126"/>
      <c r="K555" s="99"/>
      <c r="L555" s="83"/>
      <c r="M555" s="103"/>
      <c r="N555" s="103"/>
      <c r="O555" s="103"/>
      <c r="P555" s="103"/>
      <c r="Q555" s="103"/>
      <c r="R555" s="83"/>
      <c r="S555" s="103"/>
      <c r="T555" s="103"/>
      <c r="U555" s="103"/>
    </row>
    <row r="556" customFormat="false" ht="22.5" hidden="false" customHeight="true" outlineLevel="0" collapsed="false">
      <c r="A556" s="110"/>
      <c r="B556" s="110"/>
      <c r="C556" s="110"/>
      <c r="D556" s="122"/>
      <c r="E556" s="110"/>
      <c r="F556" s="128" t="str">
        <f aca="false">IF(E556="CONTADO", 4%, IF(E556="TARJETA / CHEQUE", 3%, IF(OR(E556="FINANCIADO", E556="MCP"), 2.5%, "")))</f>
        <v/>
      </c>
      <c r="G556" s="122" t="str">
        <f aca="false">IF(F556="", "", F556*D556)</f>
        <v/>
      </c>
      <c r="H556" s="131" t="b">
        <f aca="false">FALSE()</f>
        <v>0</v>
      </c>
      <c r="I556" s="131" t="b">
        <f aca="false">FALSE()</f>
        <v>0</v>
      </c>
      <c r="J556" s="130"/>
      <c r="K556" s="110"/>
      <c r="L556" s="83"/>
      <c r="M556" s="103"/>
      <c r="N556" s="103"/>
      <c r="O556" s="103"/>
      <c r="P556" s="103"/>
      <c r="Q556" s="103"/>
      <c r="R556" s="83"/>
      <c r="S556" s="103"/>
      <c r="T556" s="103"/>
      <c r="U556" s="103"/>
    </row>
    <row r="557" customFormat="false" ht="22.5" hidden="false" customHeight="true" outlineLevel="0" collapsed="false">
      <c r="A557" s="99"/>
      <c r="B557" s="99"/>
      <c r="C557" s="99"/>
      <c r="D557" s="121"/>
      <c r="E557" s="99"/>
      <c r="F557" s="124" t="str">
        <f aca="false">IF(E557="CONTADO", 4%, IF(E557="TARJETA / CHEQUE", 3%, IF(OR(E557="FINANCIADO", E557="MCP"), 2.5%, "")))</f>
        <v/>
      </c>
      <c r="G557" s="121" t="str">
        <f aca="false">IF(F557="", "", F557*D557)</f>
        <v/>
      </c>
      <c r="H557" s="132" t="b">
        <f aca="false">FALSE()</f>
        <v>0</v>
      </c>
      <c r="I557" s="132" t="b">
        <f aca="false">FALSE()</f>
        <v>0</v>
      </c>
      <c r="J557" s="126"/>
      <c r="K557" s="99"/>
      <c r="L557" s="83"/>
      <c r="M557" s="103"/>
      <c r="N557" s="103"/>
      <c r="O557" s="103"/>
      <c r="P557" s="103"/>
      <c r="Q557" s="103"/>
      <c r="R557" s="83"/>
      <c r="S557" s="103"/>
      <c r="T557" s="103"/>
      <c r="U557" s="103"/>
    </row>
    <row r="558" customFormat="false" ht="22.5" hidden="false" customHeight="true" outlineLevel="0" collapsed="false">
      <c r="A558" s="110"/>
      <c r="B558" s="110"/>
      <c r="C558" s="110"/>
      <c r="D558" s="122"/>
      <c r="E558" s="110"/>
      <c r="F558" s="128" t="str">
        <f aca="false">IF(E558="CONTADO", 4%, IF(E558="TARJETA / CHEQUE", 3%, IF(OR(E558="FINANCIADO", E558="MCP"), 2.5%, "")))</f>
        <v/>
      </c>
      <c r="G558" s="122" t="str">
        <f aca="false">IF(F558="", "", F558*D558)</f>
        <v/>
      </c>
      <c r="H558" s="131" t="b">
        <f aca="false">FALSE()</f>
        <v>0</v>
      </c>
      <c r="I558" s="131" t="b">
        <f aca="false">FALSE()</f>
        <v>0</v>
      </c>
      <c r="J558" s="130"/>
      <c r="K558" s="110"/>
      <c r="L558" s="83"/>
      <c r="M558" s="103"/>
      <c r="N558" s="103"/>
      <c r="O558" s="103"/>
      <c r="P558" s="103"/>
      <c r="Q558" s="103"/>
      <c r="R558" s="83"/>
      <c r="S558" s="103"/>
      <c r="T558" s="103"/>
      <c r="U558" s="103"/>
    </row>
    <row r="559" customFormat="false" ht="22.5" hidden="false" customHeight="true" outlineLevel="0" collapsed="false">
      <c r="A559" s="99"/>
      <c r="B559" s="99"/>
      <c r="C559" s="99"/>
      <c r="D559" s="121"/>
      <c r="E559" s="99"/>
      <c r="F559" s="124" t="str">
        <f aca="false">IF(E559="CONTADO", 4%, IF(E559="TARJETA / CHEQUE", 3%, IF(OR(E559="FINANCIADO", E559="MCP"), 2.5%, "")))</f>
        <v/>
      </c>
      <c r="G559" s="121" t="str">
        <f aca="false">IF(F559="", "", F559*D559)</f>
        <v/>
      </c>
      <c r="H559" s="132" t="b">
        <f aca="false">FALSE()</f>
        <v>0</v>
      </c>
      <c r="I559" s="132" t="b">
        <f aca="false">FALSE()</f>
        <v>0</v>
      </c>
      <c r="J559" s="126"/>
      <c r="K559" s="99"/>
      <c r="L559" s="83"/>
      <c r="M559" s="103"/>
      <c r="N559" s="103"/>
      <c r="O559" s="103"/>
      <c r="P559" s="103"/>
      <c r="Q559" s="103"/>
      <c r="R559" s="83"/>
      <c r="S559" s="103"/>
      <c r="T559" s="103"/>
      <c r="U559" s="103"/>
    </row>
    <row r="560" customFormat="false" ht="22.5" hidden="false" customHeight="true" outlineLevel="0" collapsed="false">
      <c r="A560" s="110"/>
      <c r="B560" s="110"/>
      <c r="C560" s="110"/>
      <c r="D560" s="122"/>
      <c r="E560" s="110"/>
      <c r="F560" s="128" t="str">
        <f aca="false">IF(E560="CONTADO", 4%, IF(E560="TARJETA / CHEQUE", 3%, IF(OR(E560="FINANCIADO", E560="MCP"), 2.5%, "")))</f>
        <v/>
      </c>
      <c r="G560" s="122" t="str">
        <f aca="false">IF(F560="", "", F560*D560)</f>
        <v/>
      </c>
      <c r="H560" s="131" t="b">
        <f aca="false">FALSE()</f>
        <v>0</v>
      </c>
      <c r="I560" s="131" t="b">
        <f aca="false">FALSE()</f>
        <v>0</v>
      </c>
      <c r="J560" s="130"/>
      <c r="K560" s="110"/>
      <c r="L560" s="83"/>
      <c r="M560" s="103"/>
      <c r="N560" s="103"/>
      <c r="O560" s="103"/>
      <c r="P560" s="103"/>
      <c r="Q560" s="103"/>
      <c r="R560" s="83"/>
      <c r="S560" s="103"/>
      <c r="T560" s="103"/>
      <c r="U560" s="103"/>
    </row>
    <row r="561" customFormat="false" ht="22.5" hidden="false" customHeight="true" outlineLevel="0" collapsed="false">
      <c r="A561" s="99"/>
      <c r="B561" s="99"/>
      <c r="C561" s="99"/>
      <c r="D561" s="121"/>
      <c r="E561" s="99"/>
      <c r="F561" s="124" t="str">
        <f aca="false">IF(E561="CONTADO", 4%, IF(E561="TARJETA / CHEQUE", 3%, IF(OR(E561="FINANCIADO", E561="MCP"), 2.5%, "")))</f>
        <v/>
      </c>
      <c r="G561" s="121" t="str">
        <f aca="false">IF(F561="", "", F561*D561)</f>
        <v/>
      </c>
      <c r="H561" s="132" t="b">
        <f aca="false">FALSE()</f>
        <v>0</v>
      </c>
      <c r="I561" s="132" t="b">
        <f aca="false">FALSE()</f>
        <v>0</v>
      </c>
      <c r="J561" s="126"/>
      <c r="K561" s="99"/>
      <c r="L561" s="83"/>
      <c r="M561" s="103"/>
      <c r="N561" s="103"/>
      <c r="O561" s="103"/>
      <c r="P561" s="103"/>
      <c r="Q561" s="103"/>
      <c r="R561" s="83"/>
      <c r="S561" s="103"/>
      <c r="T561" s="103"/>
      <c r="U561" s="103"/>
    </row>
    <row r="562" customFormat="false" ht="22.5" hidden="false" customHeight="true" outlineLevel="0" collapsed="false">
      <c r="A562" s="110"/>
      <c r="B562" s="110"/>
      <c r="C562" s="110"/>
      <c r="D562" s="122"/>
      <c r="E562" s="110"/>
      <c r="F562" s="128" t="str">
        <f aca="false">IF(E562="CONTADO", 4%, IF(E562="TARJETA / CHEQUE", 3%, IF(OR(E562="FINANCIADO", E562="MCP"), 2.5%, "")))</f>
        <v/>
      </c>
      <c r="G562" s="122" t="str">
        <f aca="false">IF(F562="", "", F562*D562)</f>
        <v/>
      </c>
      <c r="H562" s="131" t="b">
        <f aca="false">FALSE()</f>
        <v>0</v>
      </c>
      <c r="I562" s="131" t="b">
        <f aca="false">FALSE()</f>
        <v>0</v>
      </c>
      <c r="J562" s="130"/>
      <c r="K562" s="110"/>
      <c r="L562" s="83"/>
      <c r="M562" s="103"/>
      <c r="N562" s="103"/>
      <c r="O562" s="103"/>
      <c r="P562" s="103"/>
      <c r="Q562" s="103"/>
      <c r="R562" s="83"/>
      <c r="S562" s="103"/>
      <c r="T562" s="103"/>
      <c r="U562" s="103"/>
    </row>
    <row r="563" customFormat="false" ht="22.5" hidden="false" customHeight="true" outlineLevel="0" collapsed="false">
      <c r="A563" s="99"/>
      <c r="B563" s="99"/>
      <c r="C563" s="99"/>
      <c r="D563" s="121"/>
      <c r="E563" s="99"/>
      <c r="F563" s="124" t="str">
        <f aca="false">IF(E563="CONTADO", 4%, IF(E563="TARJETA / CHEQUE", 3%, IF(OR(E563="FINANCIADO", E563="MCP"), 2.5%, "")))</f>
        <v/>
      </c>
      <c r="G563" s="121" t="str">
        <f aca="false">IF(F563="", "", F563*D563)</f>
        <v/>
      </c>
      <c r="H563" s="132" t="b">
        <f aca="false">FALSE()</f>
        <v>0</v>
      </c>
      <c r="I563" s="132" t="b">
        <f aca="false">FALSE()</f>
        <v>0</v>
      </c>
      <c r="J563" s="126"/>
      <c r="K563" s="99"/>
      <c r="L563" s="83"/>
      <c r="M563" s="103"/>
      <c r="N563" s="103"/>
      <c r="O563" s="103"/>
      <c r="P563" s="103"/>
      <c r="Q563" s="103"/>
      <c r="R563" s="83"/>
      <c r="S563" s="103"/>
      <c r="T563" s="103"/>
      <c r="U563" s="103"/>
    </row>
    <row r="564" customFormat="false" ht="22.5" hidden="false" customHeight="true" outlineLevel="0" collapsed="false">
      <c r="A564" s="110"/>
      <c r="B564" s="110"/>
      <c r="C564" s="110"/>
      <c r="D564" s="122"/>
      <c r="E564" s="110"/>
      <c r="F564" s="128" t="str">
        <f aca="false">IF(E564="CONTADO", 4%, IF(E564="TARJETA / CHEQUE", 3%, IF(OR(E564="FINANCIADO", E564="MCP"), 2.5%, "")))</f>
        <v/>
      </c>
      <c r="G564" s="122" t="str">
        <f aca="false">IF(F564="", "", F564*D564)</f>
        <v/>
      </c>
      <c r="H564" s="131" t="b">
        <f aca="false">FALSE()</f>
        <v>0</v>
      </c>
      <c r="I564" s="131" t="b">
        <f aca="false">FALSE()</f>
        <v>0</v>
      </c>
      <c r="J564" s="130"/>
      <c r="K564" s="110"/>
      <c r="L564" s="83"/>
      <c r="M564" s="103"/>
      <c r="N564" s="103"/>
      <c r="O564" s="103"/>
      <c r="P564" s="103"/>
      <c r="Q564" s="103"/>
      <c r="R564" s="83"/>
      <c r="S564" s="103"/>
      <c r="T564" s="103"/>
      <c r="U564" s="103"/>
    </row>
    <row r="565" customFormat="false" ht="22.5" hidden="false" customHeight="true" outlineLevel="0" collapsed="false">
      <c r="A565" s="99"/>
      <c r="B565" s="99"/>
      <c r="C565" s="99"/>
      <c r="D565" s="121"/>
      <c r="E565" s="99"/>
      <c r="F565" s="124" t="str">
        <f aca="false">IF(E565="CONTADO", 4%, IF(E565="TARJETA / CHEQUE", 3%, IF(OR(E565="FINANCIADO", E565="MCP"), 2.5%, "")))</f>
        <v/>
      </c>
      <c r="G565" s="121" t="str">
        <f aca="false">IF(F565="", "", F565*D565)</f>
        <v/>
      </c>
      <c r="H565" s="132" t="b">
        <f aca="false">FALSE()</f>
        <v>0</v>
      </c>
      <c r="I565" s="132" t="b">
        <f aca="false">FALSE()</f>
        <v>0</v>
      </c>
      <c r="J565" s="126"/>
      <c r="K565" s="99"/>
      <c r="L565" s="83"/>
      <c r="M565" s="103"/>
      <c r="N565" s="103"/>
      <c r="O565" s="103"/>
      <c r="P565" s="103"/>
      <c r="Q565" s="103"/>
      <c r="R565" s="83"/>
      <c r="S565" s="103"/>
      <c r="T565" s="103"/>
      <c r="U565" s="103"/>
    </row>
    <row r="566" customFormat="false" ht="22.5" hidden="false" customHeight="true" outlineLevel="0" collapsed="false">
      <c r="A566" s="110"/>
      <c r="B566" s="110"/>
      <c r="C566" s="110"/>
      <c r="D566" s="122"/>
      <c r="E566" s="110"/>
      <c r="F566" s="128" t="str">
        <f aca="false">IF(E566="CONTADO", 4%, IF(E566="TARJETA / CHEQUE", 3%, IF(OR(E566="FINANCIADO", E566="MCP"), 2.5%, "")))</f>
        <v/>
      </c>
      <c r="G566" s="122" t="str">
        <f aca="false">IF(F566="", "", F566*D566)</f>
        <v/>
      </c>
      <c r="H566" s="131" t="b">
        <f aca="false">FALSE()</f>
        <v>0</v>
      </c>
      <c r="I566" s="131" t="b">
        <f aca="false">FALSE()</f>
        <v>0</v>
      </c>
      <c r="J566" s="130"/>
      <c r="K566" s="110"/>
      <c r="L566" s="83"/>
      <c r="M566" s="103"/>
      <c r="N566" s="103"/>
      <c r="O566" s="103"/>
      <c r="P566" s="103"/>
      <c r="Q566" s="103"/>
      <c r="R566" s="83"/>
      <c r="S566" s="103"/>
      <c r="T566" s="103"/>
      <c r="U566" s="103"/>
    </row>
    <row r="567" customFormat="false" ht="22.5" hidden="false" customHeight="true" outlineLevel="0" collapsed="false">
      <c r="A567" s="99"/>
      <c r="B567" s="99"/>
      <c r="C567" s="99"/>
      <c r="D567" s="121"/>
      <c r="E567" s="99"/>
      <c r="F567" s="124" t="str">
        <f aca="false">IF(E567="CONTADO", 4%, IF(E567="TARJETA / CHEQUE", 3%, IF(OR(E567="FINANCIADO", E567="MCP"), 2.5%, "")))</f>
        <v/>
      </c>
      <c r="G567" s="121" t="str">
        <f aca="false">IF(F567="", "", F567*D567)</f>
        <v/>
      </c>
      <c r="H567" s="132" t="b">
        <f aca="false">FALSE()</f>
        <v>0</v>
      </c>
      <c r="I567" s="132" t="b">
        <f aca="false">FALSE()</f>
        <v>0</v>
      </c>
      <c r="J567" s="126"/>
      <c r="K567" s="99"/>
      <c r="L567" s="83"/>
      <c r="M567" s="103"/>
      <c r="N567" s="103"/>
      <c r="O567" s="103"/>
      <c r="P567" s="103"/>
      <c r="Q567" s="103"/>
      <c r="R567" s="83"/>
      <c r="S567" s="103"/>
      <c r="T567" s="103"/>
      <c r="U567" s="103"/>
    </row>
    <row r="568" customFormat="false" ht="22.5" hidden="false" customHeight="true" outlineLevel="0" collapsed="false">
      <c r="A568" s="110"/>
      <c r="B568" s="110"/>
      <c r="C568" s="110"/>
      <c r="D568" s="122"/>
      <c r="E568" s="110"/>
      <c r="F568" s="128" t="str">
        <f aca="false">IF(E568="CONTADO", 4%, IF(E568="TARJETA / CHEQUE", 3%, IF(OR(E568="FINANCIADO", E568="MCP"), 2.5%, "")))</f>
        <v/>
      </c>
      <c r="G568" s="122" t="str">
        <f aca="false">IF(F568="", "", F568*D568)</f>
        <v/>
      </c>
      <c r="H568" s="131" t="b">
        <f aca="false">FALSE()</f>
        <v>0</v>
      </c>
      <c r="I568" s="131" t="b">
        <f aca="false">FALSE()</f>
        <v>0</v>
      </c>
      <c r="J568" s="130"/>
      <c r="K568" s="110"/>
      <c r="L568" s="83"/>
      <c r="M568" s="103"/>
      <c r="N568" s="103"/>
      <c r="O568" s="103"/>
      <c r="P568" s="103"/>
      <c r="Q568" s="103"/>
      <c r="R568" s="83"/>
      <c r="S568" s="103"/>
      <c r="T568" s="103"/>
      <c r="U568" s="103"/>
    </row>
    <row r="569" customFormat="false" ht="22.5" hidden="false" customHeight="true" outlineLevel="0" collapsed="false">
      <c r="A569" s="99"/>
      <c r="B569" s="99"/>
      <c r="C569" s="99"/>
      <c r="D569" s="121"/>
      <c r="E569" s="99"/>
      <c r="F569" s="124" t="str">
        <f aca="false">IF(E569="CONTADO", 4%, IF(E569="TARJETA / CHEQUE", 3%, IF(OR(E569="FINANCIADO", E569="MCP"), 2.5%, "")))</f>
        <v/>
      </c>
      <c r="G569" s="121" t="str">
        <f aca="false">IF(F569="", "", F569*D569)</f>
        <v/>
      </c>
      <c r="H569" s="132" t="b">
        <f aca="false">FALSE()</f>
        <v>0</v>
      </c>
      <c r="I569" s="132" t="b">
        <f aca="false">FALSE()</f>
        <v>0</v>
      </c>
      <c r="J569" s="126"/>
      <c r="K569" s="99"/>
      <c r="L569" s="83"/>
      <c r="M569" s="103"/>
      <c r="N569" s="103"/>
      <c r="O569" s="103"/>
      <c r="P569" s="103"/>
      <c r="Q569" s="103"/>
      <c r="R569" s="83"/>
      <c r="S569" s="103"/>
      <c r="T569" s="103"/>
      <c r="U569" s="103"/>
    </row>
    <row r="570" customFormat="false" ht="22.5" hidden="false" customHeight="true" outlineLevel="0" collapsed="false">
      <c r="A570" s="110"/>
      <c r="B570" s="110"/>
      <c r="C570" s="110"/>
      <c r="D570" s="122"/>
      <c r="E570" s="110"/>
      <c r="F570" s="128" t="str">
        <f aca="false">IF(E570="CONTADO", 4%, IF(E570="TARJETA / CHEQUE", 3%, IF(OR(E570="FINANCIADO", E570="MCP"), 2.5%, "")))</f>
        <v/>
      </c>
      <c r="G570" s="122" t="str">
        <f aca="false">IF(F570="", "", F570*D570)</f>
        <v/>
      </c>
      <c r="H570" s="131" t="b">
        <f aca="false">FALSE()</f>
        <v>0</v>
      </c>
      <c r="I570" s="131" t="b">
        <f aca="false">FALSE()</f>
        <v>0</v>
      </c>
      <c r="J570" s="130"/>
      <c r="K570" s="110"/>
      <c r="L570" s="83"/>
      <c r="M570" s="103"/>
      <c r="N570" s="103"/>
      <c r="O570" s="103"/>
      <c r="P570" s="103"/>
      <c r="Q570" s="103"/>
      <c r="R570" s="83"/>
      <c r="S570" s="103"/>
      <c r="T570" s="103"/>
      <c r="U570" s="103"/>
    </row>
    <row r="571" customFormat="false" ht="22.5" hidden="false" customHeight="true" outlineLevel="0" collapsed="false">
      <c r="A571" s="99"/>
      <c r="B571" s="99"/>
      <c r="C571" s="99"/>
      <c r="D571" s="121"/>
      <c r="E571" s="99"/>
      <c r="F571" s="124" t="str">
        <f aca="false">IF(E571="CONTADO", 4%, IF(E571="TARJETA / CHEQUE", 3%, IF(OR(E571="FINANCIADO", E571="MCP"), 2.5%, "")))</f>
        <v/>
      </c>
      <c r="G571" s="121" t="str">
        <f aca="false">IF(F571="", "", F571*D571)</f>
        <v/>
      </c>
      <c r="H571" s="132" t="b">
        <f aca="false">FALSE()</f>
        <v>0</v>
      </c>
      <c r="I571" s="132" t="b">
        <f aca="false">FALSE()</f>
        <v>0</v>
      </c>
      <c r="J571" s="126"/>
      <c r="K571" s="99"/>
      <c r="L571" s="83"/>
      <c r="M571" s="103"/>
      <c r="N571" s="103"/>
      <c r="O571" s="103"/>
      <c r="P571" s="103"/>
      <c r="Q571" s="103"/>
      <c r="R571" s="83"/>
      <c r="S571" s="103"/>
      <c r="T571" s="103"/>
      <c r="U571" s="103"/>
    </row>
    <row r="572" customFormat="false" ht="22.5" hidden="false" customHeight="true" outlineLevel="0" collapsed="false">
      <c r="A572" s="110"/>
      <c r="B572" s="110"/>
      <c r="C572" s="110"/>
      <c r="D572" s="122"/>
      <c r="E572" s="110"/>
      <c r="F572" s="128" t="str">
        <f aca="false">IF(E572="CONTADO", 4%, IF(E572="TARJETA / CHEQUE", 3%, IF(OR(E572="FINANCIADO", E572="MCP"), 2.5%, "")))</f>
        <v/>
      </c>
      <c r="G572" s="122" t="str">
        <f aca="false">IF(F572="", "", F572*D572)</f>
        <v/>
      </c>
      <c r="H572" s="131" t="b">
        <f aca="false">FALSE()</f>
        <v>0</v>
      </c>
      <c r="I572" s="131" t="b">
        <f aca="false">FALSE()</f>
        <v>0</v>
      </c>
      <c r="J572" s="130"/>
      <c r="K572" s="110"/>
      <c r="L572" s="83"/>
      <c r="M572" s="103"/>
      <c r="N572" s="103"/>
      <c r="O572" s="103"/>
      <c r="P572" s="103"/>
      <c r="Q572" s="103"/>
      <c r="R572" s="83"/>
      <c r="S572" s="103"/>
      <c r="T572" s="103"/>
      <c r="U572" s="103"/>
    </row>
    <row r="573" customFormat="false" ht="22.5" hidden="false" customHeight="true" outlineLevel="0" collapsed="false">
      <c r="A573" s="99"/>
      <c r="B573" s="99"/>
      <c r="C573" s="99"/>
      <c r="D573" s="121"/>
      <c r="E573" s="99"/>
      <c r="F573" s="124" t="str">
        <f aca="false">IF(E573="CONTADO", 4%, IF(E573="TARJETA / CHEQUE", 3%, IF(OR(E573="FINANCIADO", E573="MCP"), 2.5%, "")))</f>
        <v/>
      </c>
      <c r="G573" s="121" t="str">
        <f aca="false">IF(F573="", "", F573*D573)</f>
        <v/>
      </c>
      <c r="H573" s="132" t="b">
        <f aca="false">FALSE()</f>
        <v>0</v>
      </c>
      <c r="I573" s="132" t="b">
        <f aca="false">FALSE()</f>
        <v>0</v>
      </c>
      <c r="J573" s="126"/>
      <c r="K573" s="99"/>
      <c r="L573" s="83"/>
      <c r="M573" s="103"/>
      <c r="N573" s="103"/>
      <c r="O573" s="103"/>
      <c r="P573" s="103"/>
      <c r="Q573" s="103"/>
      <c r="R573" s="83"/>
      <c r="S573" s="103"/>
      <c r="T573" s="103"/>
      <c r="U573" s="103"/>
    </row>
    <row r="574" customFormat="false" ht="22.5" hidden="false" customHeight="true" outlineLevel="0" collapsed="false">
      <c r="A574" s="110"/>
      <c r="B574" s="110"/>
      <c r="C574" s="110"/>
      <c r="D574" s="122"/>
      <c r="E574" s="110"/>
      <c r="F574" s="128" t="str">
        <f aca="false">IF(E574="CONTADO", 4%, IF(E574="TARJETA / CHEQUE", 3%, IF(OR(E574="FINANCIADO", E574="MCP"), 2.5%, "")))</f>
        <v/>
      </c>
      <c r="G574" s="122" t="str">
        <f aca="false">IF(F574="", "", F574*D574)</f>
        <v/>
      </c>
      <c r="H574" s="131" t="b">
        <f aca="false">FALSE()</f>
        <v>0</v>
      </c>
      <c r="I574" s="131" t="b">
        <f aca="false">FALSE()</f>
        <v>0</v>
      </c>
      <c r="J574" s="130"/>
      <c r="K574" s="110"/>
      <c r="L574" s="83"/>
      <c r="M574" s="103"/>
      <c r="N574" s="103"/>
      <c r="O574" s="103"/>
      <c r="P574" s="103"/>
      <c r="Q574" s="103"/>
      <c r="R574" s="83"/>
      <c r="S574" s="103"/>
      <c r="T574" s="103"/>
      <c r="U574" s="103"/>
    </row>
    <row r="575" customFormat="false" ht="22.5" hidden="false" customHeight="true" outlineLevel="0" collapsed="false">
      <c r="A575" s="99"/>
      <c r="B575" s="99"/>
      <c r="C575" s="99"/>
      <c r="D575" s="121"/>
      <c r="E575" s="99"/>
      <c r="F575" s="124" t="str">
        <f aca="false">IF(E575="CONTADO", 4%, IF(E575="TARJETA / CHEQUE", 3%, IF(OR(E575="FINANCIADO", E575="MCP"), 2.5%, "")))</f>
        <v/>
      </c>
      <c r="G575" s="121" t="str">
        <f aca="false">IF(F575="", "", F575*D575)</f>
        <v/>
      </c>
      <c r="H575" s="132" t="b">
        <f aca="false">FALSE()</f>
        <v>0</v>
      </c>
      <c r="I575" s="132" t="b">
        <f aca="false">FALSE()</f>
        <v>0</v>
      </c>
      <c r="J575" s="126"/>
      <c r="K575" s="99"/>
      <c r="L575" s="83"/>
      <c r="M575" s="103"/>
      <c r="N575" s="103"/>
      <c r="O575" s="103"/>
      <c r="P575" s="103"/>
      <c r="Q575" s="103"/>
      <c r="R575" s="83"/>
      <c r="S575" s="103"/>
      <c r="T575" s="103"/>
      <c r="U575" s="103"/>
    </row>
    <row r="576" customFormat="false" ht="22.5" hidden="false" customHeight="true" outlineLevel="0" collapsed="false">
      <c r="A576" s="110"/>
      <c r="B576" s="110"/>
      <c r="C576" s="110"/>
      <c r="D576" s="122"/>
      <c r="E576" s="110"/>
      <c r="F576" s="128" t="str">
        <f aca="false">IF(E576="CONTADO", 4%, IF(E576="TARJETA / CHEQUE", 3%, IF(OR(E576="FINANCIADO", E576="MCP"), 2.5%, "")))</f>
        <v/>
      </c>
      <c r="G576" s="122" t="str">
        <f aca="false">IF(F576="", "", F576*D576)</f>
        <v/>
      </c>
      <c r="H576" s="131" t="b">
        <f aca="false">FALSE()</f>
        <v>0</v>
      </c>
      <c r="I576" s="131" t="b">
        <f aca="false">FALSE()</f>
        <v>0</v>
      </c>
      <c r="J576" s="130"/>
      <c r="K576" s="110"/>
      <c r="L576" s="83"/>
      <c r="M576" s="103"/>
      <c r="N576" s="103"/>
      <c r="O576" s="103"/>
      <c r="P576" s="103"/>
      <c r="Q576" s="103"/>
      <c r="R576" s="83"/>
      <c r="S576" s="103"/>
      <c r="T576" s="103"/>
      <c r="U576" s="103"/>
    </row>
    <row r="577" customFormat="false" ht="22.5" hidden="false" customHeight="true" outlineLevel="0" collapsed="false">
      <c r="A577" s="99"/>
      <c r="B577" s="99"/>
      <c r="C577" s="99"/>
      <c r="D577" s="121"/>
      <c r="E577" s="99"/>
      <c r="F577" s="124" t="str">
        <f aca="false">IF(E577="CONTADO", 4%, IF(E577="TARJETA / CHEQUE", 3%, IF(OR(E577="FINANCIADO", E577="MCP"), 2.5%, "")))</f>
        <v/>
      </c>
      <c r="G577" s="121" t="str">
        <f aca="false">IF(F577="", "", F577*D577)</f>
        <v/>
      </c>
      <c r="H577" s="132" t="b">
        <f aca="false">FALSE()</f>
        <v>0</v>
      </c>
      <c r="I577" s="132" t="b">
        <f aca="false">FALSE()</f>
        <v>0</v>
      </c>
      <c r="J577" s="126"/>
      <c r="K577" s="99"/>
      <c r="L577" s="83"/>
      <c r="M577" s="103"/>
      <c r="N577" s="103"/>
      <c r="O577" s="103"/>
      <c r="P577" s="103"/>
      <c r="Q577" s="103"/>
      <c r="R577" s="83"/>
      <c r="S577" s="103"/>
      <c r="T577" s="103"/>
      <c r="U577" s="103"/>
    </row>
    <row r="578" customFormat="false" ht="22.5" hidden="false" customHeight="true" outlineLevel="0" collapsed="false">
      <c r="A578" s="110"/>
      <c r="B578" s="110"/>
      <c r="C578" s="110"/>
      <c r="D578" s="122"/>
      <c r="E578" s="110"/>
      <c r="F578" s="128" t="str">
        <f aca="false">IF(E578="CONTADO", 4%, IF(E578="TARJETA / CHEQUE", 3%, IF(OR(E578="FINANCIADO", E578="MCP"), 2.5%, "")))</f>
        <v/>
      </c>
      <c r="G578" s="122" t="str">
        <f aca="false">IF(F578="", "", F578*D578)</f>
        <v/>
      </c>
      <c r="H578" s="131" t="b">
        <f aca="false">FALSE()</f>
        <v>0</v>
      </c>
      <c r="I578" s="131" t="b">
        <f aca="false">FALSE()</f>
        <v>0</v>
      </c>
      <c r="J578" s="130"/>
      <c r="K578" s="110"/>
      <c r="L578" s="83"/>
      <c r="M578" s="103"/>
      <c r="N578" s="103"/>
      <c r="O578" s="103"/>
      <c r="P578" s="103"/>
      <c r="Q578" s="103"/>
      <c r="R578" s="83"/>
      <c r="S578" s="103"/>
      <c r="T578" s="103"/>
      <c r="U578" s="103"/>
    </row>
    <row r="579" customFormat="false" ht="22.5" hidden="false" customHeight="true" outlineLevel="0" collapsed="false">
      <c r="A579" s="99"/>
      <c r="B579" s="99"/>
      <c r="C579" s="99"/>
      <c r="D579" s="121"/>
      <c r="E579" s="99"/>
      <c r="F579" s="124" t="str">
        <f aca="false">IF(E579="CONTADO", 4%, IF(E579="TARJETA / CHEQUE", 3%, IF(OR(E579="FINANCIADO", E579="MCP"), 2.5%, "")))</f>
        <v/>
      </c>
      <c r="G579" s="121" t="str">
        <f aca="false">IF(F579="", "", F579*D579)</f>
        <v/>
      </c>
      <c r="H579" s="132" t="b">
        <f aca="false">FALSE()</f>
        <v>0</v>
      </c>
      <c r="I579" s="132" t="b">
        <f aca="false">FALSE()</f>
        <v>0</v>
      </c>
      <c r="J579" s="126"/>
      <c r="K579" s="99"/>
      <c r="L579" s="83"/>
      <c r="M579" s="103"/>
      <c r="N579" s="103"/>
      <c r="O579" s="103"/>
      <c r="P579" s="103"/>
      <c r="Q579" s="103"/>
      <c r="R579" s="83"/>
      <c r="S579" s="103"/>
      <c r="T579" s="103"/>
      <c r="U579" s="103"/>
    </row>
    <row r="580" customFormat="false" ht="22.5" hidden="false" customHeight="true" outlineLevel="0" collapsed="false">
      <c r="A580" s="110"/>
      <c r="B580" s="110"/>
      <c r="C580" s="110"/>
      <c r="D580" s="122"/>
      <c r="E580" s="110"/>
      <c r="F580" s="128" t="str">
        <f aca="false">IF(E580="CONTADO", 4%, IF(E580="TARJETA / CHEQUE", 3%, IF(OR(E580="FINANCIADO", E580="MCP"), 2.5%, "")))</f>
        <v/>
      </c>
      <c r="G580" s="122" t="str">
        <f aca="false">IF(F580="", "", F580*D580)</f>
        <v/>
      </c>
      <c r="H580" s="131" t="b">
        <f aca="false">FALSE()</f>
        <v>0</v>
      </c>
      <c r="I580" s="131" t="b">
        <f aca="false">FALSE()</f>
        <v>0</v>
      </c>
      <c r="J580" s="130"/>
      <c r="K580" s="110"/>
      <c r="L580" s="83"/>
      <c r="M580" s="103"/>
      <c r="N580" s="103"/>
      <c r="O580" s="103"/>
      <c r="P580" s="103"/>
      <c r="Q580" s="103"/>
      <c r="R580" s="83"/>
      <c r="S580" s="103"/>
      <c r="T580" s="103"/>
      <c r="U580" s="103"/>
    </row>
    <row r="581" customFormat="false" ht="22.5" hidden="false" customHeight="true" outlineLevel="0" collapsed="false">
      <c r="A581" s="99"/>
      <c r="B581" s="99"/>
      <c r="C581" s="99"/>
      <c r="D581" s="121"/>
      <c r="E581" s="99"/>
      <c r="F581" s="124" t="str">
        <f aca="false">IF(E581="CONTADO", 4%, IF(E581="TARJETA / CHEQUE", 3%, IF(OR(E581="FINANCIADO", E581="MCP"), 2.5%, "")))</f>
        <v/>
      </c>
      <c r="G581" s="121" t="str">
        <f aca="false">IF(F581="", "", F581*D581)</f>
        <v/>
      </c>
      <c r="H581" s="132" t="b">
        <f aca="false">FALSE()</f>
        <v>0</v>
      </c>
      <c r="I581" s="132" t="b">
        <f aca="false">FALSE()</f>
        <v>0</v>
      </c>
      <c r="J581" s="126"/>
      <c r="K581" s="99"/>
      <c r="L581" s="83"/>
      <c r="M581" s="103"/>
      <c r="N581" s="103"/>
      <c r="O581" s="103"/>
      <c r="P581" s="103"/>
      <c r="Q581" s="103"/>
      <c r="R581" s="83"/>
      <c r="S581" s="103"/>
      <c r="T581" s="103"/>
      <c r="U581" s="103"/>
    </row>
    <row r="582" customFormat="false" ht="22.5" hidden="false" customHeight="true" outlineLevel="0" collapsed="false">
      <c r="A582" s="110"/>
      <c r="B582" s="110"/>
      <c r="C582" s="110"/>
      <c r="D582" s="122"/>
      <c r="E582" s="110"/>
      <c r="F582" s="128" t="str">
        <f aca="false">IF(E582="CONTADO", 4%, IF(E582="TARJETA / CHEQUE", 3%, IF(OR(E582="FINANCIADO", E582="MCP"), 2.5%, "")))</f>
        <v/>
      </c>
      <c r="G582" s="122" t="str">
        <f aca="false">IF(F582="", "", F582*D582)</f>
        <v/>
      </c>
      <c r="H582" s="131" t="b">
        <f aca="false">FALSE()</f>
        <v>0</v>
      </c>
      <c r="I582" s="131" t="b">
        <f aca="false">FALSE()</f>
        <v>0</v>
      </c>
      <c r="J582" s="130"/>
      <c r="K582" s="110"/>
      <c r="L582" s="83"/>
      <c r="M582" s="103"/>
      <c r="N582" s="103"/>
      <c r="O582" s="103"/>
      <c r="P582" s="103"/>
      <c r="Q582" s="103"/>
      <c r="R582" s="83"/>
      <c r="S582" s="103"/>
      <c r="T582" s="103"/>
      <c r="U582" s="103"/>
    </row>
    <row r="583" customFormat="false" ht="22.5" hidden="false" customHeight="true" outlineLevel="0" collapsed="false">
      <c r="A583" s="99"/>
      <c r="B583" s="99"/>
      <c r="C583" s="99"/>
      <c r="D583" s="121"/>
      <c r="E583" s="99"/>
      <c r="F583" s="124" t="str">
        <f aca="false">IF(E583="CONTADO", 4%, IF(E583="TARJETA / CHEQUE", 3%, IF(OR(E583="FINANCIADO", E583="MCP"), 2.5%, "")))</f>
        <v/>
      </c>
      <c r="G583" s="121" t="str">
        <f aca="false">IF(F583="", "", F583*D583)</f>
        <v/>
      </c>
      <c r="H583" s="132" t="b">
        <f aca="false">FALSE()</f>
        <v>0</v>
      </c>
      <c r="I583" s="132" t="b">
        <f aca="false">FALSE()</f>
        <v>0</v>
      </c>
      <c r="J583" s="126"/>
      <c r="K583" s="99"/>
      <c r="L583" s="83"/>
      <c r="M583" s="103"/>
      <c r="N583" s="103"/>
      <c r="O583" s="103"/>
      <c r="P583" s="103"/>
      <c r="Q583" s="103"/>
      <c r="R583" s="83"/>
      <c r="S583" s="103"/>
      <c r="T583" s="103"/>
      <c r="U583" s="103"/>
    </row>
    <row r="584" customFormat="false" ht="22.5" hidden="false" customHeight="true" outlineLevel="0" collapsed="false">
      <c r="A584" s="110"/>
      <c r="B584" s="110"/>
      <c r="C584" s="110"/>
      <c r="D584" s="122"/>
      <c r="E584" s="110"/>
      <c r="F584" s="128" t="str">
        <f aca="false">IF(E584="CONTADO", 4%, IF(E584="TARJETA / CHEQUE", 3%, IF(OR(E584="FINANCIADO", E584="MCP"), 2.5%, "")))</f>
        <v/>
      </c>
      <c r="G584" s="122" t="str">
        <f aca="false">IF(F584="", "", F584*D584)</f>
        <v/>
      </c>
      <c r="H584" s="131" t="b">
        <f aca="false">FALSE()</f>
        <v>0</v>
      </c>
      <c r="I584" s="131" t="b">
        <f aca="false">FALSE()</f>
        <v>0</v>
      </c>
      <c r="J584" s="130"/>
      <c r="K584" s="110"/>
      <c r="L584" s="83"/>
      <c r="M584" s="103"/>
      <c r="N584" s="103"/>
      <c r="O584" s="103"/>
      <c r="P584" s="103"/>
      <c r="Q584" s="103"/>
      <c r="R584" s="83"/>
      <c r="S584" s="103"/>
      <c r="T584" s="103"/>
      <c r="U584" s="103"/>
    </row>
    <row r="585" customFormat="false" ht="22.5" hidden="false" customHeight="true" outlineLevel="0" collapsed="false">
      <c r="A585" s="99"/>
      <c r="B585" s="99"/>
      <c r="C585" s="99"/>
      <c r="D585" s="121"/>
      <c r="E585" s="99"/>
      <c r="F585" s="124" t="str">
        <f aca="false">IF(E585="CONTADO", 4%, IF(E585="TARJETA / CHEQUE", 3%, IF(OR(E585="FINANCIADO", E585="MCP"), 2.5%, "")))</f>
        <v/>
      </c>
      <c r="G585" s="121" t="str">
        <f aca="false">IF(F585="", "", F585*D585)</f>
        <v/>
      </c>
      <c r="H585" s="132" t="b">
        <f aca="false">FALSE()</f>
        <v>0</v>
      </c>
      <c r="I585" s="132" t="b">
        <f aca="false">FALSE()</f>
        <v>0</v>
      </c>
      <c r="J585" s="126"/>
      <c r="K585" s="99"/>
      <c r="L585" s="83"/>
      <c r="M585" s="103"/>
      <c r="N585" s="103"/>
      <c r="O585" s="103"/>
      <c r="P585" s="103"/>
      <c r="Q585" s="103"/>
      <c r="R585" s="83"/>
      <c r="S585" s="103"/>
      <c r="T585" s="103"/>
      <c r="U585" s="103"/>
    </row>
    <row r="586" customFormat="false" ht="22.5" hidden="false" customHeight="true" outlineLevel="0" collapsed="false">
      <c r="A586" s="110"/>
      <c r="B586" s="110"/>
      <c r="C586" s="110"/>
      <c r="D586" s="122"/>
      <c r="E586" s="110"/>
      <c r="F586" s="128" t="str">
        <f aca="false">IF(E586="CONTADO", 4%, IF(E586="TARJETA / CHEQUE", 3%, IF(OR(E586="FINANCIADO", E586="MCP"), 2.5%, "")))</f>
        <v/>
      </c>
      <c r="G586" s="122" t="str">
        <f aca="false">IF(F586="", "", F586*D586)</f>
        <v/>
      </c>
      <c r="H586" s="131" t="b">
        <f aca="false">FALSE()</f>
        <v>0</v>
      </c>
      <c r="I586" s="131" t="b">
        <f aca="false">FALSE()</f>
        <v>0</v>
      </c>
      <c r="J586" s="130"/>
      <c r="K586" s="110"/>
      <c r="L586" s="83"/>
      <c r="M586" s="103"/>
      <c r="N586" s="103"/>
      <c r="O586" s="103"/>
      <c r="P586" s="103"/>
      <c r="Q586" s="103"/>
      <c r="R586" s="83"/>
      <c r="S586" s="103"/>
      <c r="T586" s="103"/>
      <c r="U586" s="103"/>
    </row>
    <row r="587" customFormat="false" ht="22.5" hidden="false" customHeight="true" outlineLevel="0" collapsed="false">
      <c r="A587" s="99"/>
      <c r="B587" s="99"/>
      <c r="C587" s="99"/>
      <c r="D587" s="121"/>
      <c r="E587" s="99"/>
      <c r="F587" s="124" t="str">
        <f aca="false">IF(E587="CONTADO", 4%, IF(E587="TARJETA / CHEQUE", 3%, IF(OR(E587="FINANCIADO", E587="MCP"), 2.5%, "")))</f>
        <v/>
      </c>
      <c r="G587" s="121" t="str">
        <f aca="false">IF(F587="", "", F587*D587)</f>
        <v/>
      </c>
      <c r="H587" s="132" t="b">
        <f aca="false">FALSE()</f>
        <v>0</v>
      </c>
      <c r="I587" s="132" t="b">
        <f aca="false">FALSE()</f>
        <v>0</v>
      </c>
      <c r="J587" s="126"/>
      <c r="K587" s="99"/>
      <c r="L587" s="83"/>
      <c r="M587" s="103"/>
      <c r="N587" s="103"/>
      <c r="O587" s="103"/>
      <c r="P587" s="103"/>
      <c r="Q587" s="103"/>
      <c r="R587" s="83"/>
      <c r="S587" s="103"/>
      <c r="T587" s="103"/>
      <c r="U587" s="103"/>
    </row>
    <row r="588" customFormat="false" ht="22.5" hidden="false" customHeight="true" outlineLevel="0" collapsed="false">
      <c r="A588" s="110"/>
      <c r="B588" s="110"/>
      <c r="C588" s="110"/>
      <c r="D588" s="122"/>
      <c r="E588" s="110"/>
      <c r="F588" s="128" t="str">
        <f aca="false">IF(E588="CONTADO", 4%, IF(E588="TARJETA / CHEQUE", 3%, IF(OR(E588="FINANCIADO", E588="MCP"), 2.5%, "")))</f>
        <v/>
      </c>
      <c r="G588" s="122" t="str">
        <f aca="false">IF(F588="", "", F588*D588)</f>
        <v/>
      </c>
      <c r="H588" s="131" t="b">
        <f aca="false">FALSE()</f>
        <v>0</v>
      </c>
      <c r="I588" s="131" t="b">
        <f aca="false">FALSE()</f>
        <v>0</v>
      </c>
      <c r="J588" s="130"/>
      <c r="K588" s="110"/>
      <c r="L588" s="83"/>
      <c r="M588" s="103"/>
      <c r="N588" s="103"/>
      <c r="O588" s="103"/>
      <c r="P588" s="103"/>
      <c r="Q588" s="103"/>
      <c r="R588" s="83"/>
      <c r="S588" s="103"/>
      <c r="T588" s="103"/>
      <c r="U588" s="103"/>
    </row>
    <row r="589" customFormat="false" ht="22.5" hidden="false" customHeight="true" outlineLevel="0" collapsed="false">
      <c r="A589" s="99"/>
      <c r="B589" s="99"/>
      <c r="C589" s="99"/>
      <c r="D589" s="121"/>
      <c r="E589" s="99"/>
      <c r="F589" s="124" t="str">
        <f aca="false">IF(E589="CONTADO", 4%, IF(E589="TARJETA / CHEQUE", 3%, IF(OR(E589="FINANCIADO", E589="MCP"), 2.5%, "")))</f>
        <v/>
      </c>
      <c r="G589" s="121" t="str">
        <f aca="false">IF(F589="", "", F589*D589)</f>
        <v/>
      </c>
      <c r="H589" s="132" t="b">
        <f aca="false">FALSE()</f>
        <v>0</v>
      </c>
      <c r="I589" s="132" t="b">
        <f aca="false">FALSE()</f>
        <v>0</v>
      </c>
      <c r="J589" s="126"/>
      <c r="K589" s="99"/>
      <c r="L589" s="83"/>
      <c r="M589" s="103"/>
      <c r="N589" s="103"/>
      <c r="O589" s="103"/>
      <c r="P589" s="103"/>
      <c r="Q589" s="103"/>
      <c r="R589" s="83"/>
      <c r="S589" s="103"/>
      <c r="T589" s="103"/>
      <c r="U589" s="103"/>
    </row>
    <row r="590" customFormat="false" ht="22.5" hidden="false" customHeight="true" outlineLevel="0" collapsed="false">
      <c r="A590" s="110"/>
      <c r="B590" s="110"/>
      <c r="C590" s="110"/>
      <c r="D590" s="122"/>
      <c r="E590" s="110"/>
      <c r="F590" s="128" t="str">
        <f aca="false">IF(E590="CONTADO", 4%, IF(E590="TARJETA / CHEQUE", 3%, IF(OR(E590="FINANCIADO", E590="MCP"), 2.5%, "")))</f>
        <v/>
      </c>
      <c r="G590" s="122" t="str">
        <f aca="false">IF(F590="", "", F590*D590)</f>
        <v/>
      </c>
      <c r="H590" s="131" t="b">
        <f aca="false">FALSE()</f>
        <v>0</v>
      </c>
      <c r="I590" s="131" t="b">
        <f aca="false">FALSE()</f>
        <v>0</v>
      </c>
      <c r="J590" s="130"/>
      <c r="K590" s="110"/>
      <c r="L590" s="83"/>
      <c r="M590" s="103"/>
      <c r="N590" s="103"/>
      <c r="O590" s="103"/>
      <c r="P590" s="103"/>
      <c r="Q590" s="103"/>
      <c r="R590" s="83"/>
      <c r="S590" s="103"/>
      <c r="T590" s="103"/>
      <c r="U590" s="103"/>
    </row>
    <row r="591" customFormat="false" ht="22.5" hidden="false" customHeight="true" outlineLevel="0" collapsed="false">
      <c r="A591" s="99"/>
      <c r="B591" s="99"/>
      <c r="C591" s="99"/>
      <c r="D591" s="121"/>
      <c r="E591" s="99"/>
      <c r="F591" s="124" t="str">
        <f aca="false">IF(E591="CONTADO", 4%, IF(E591="TARJETA / CHEQUE", 3%, IF(OR(E591="FINANCIADO", E591="MCP"), 2.5%, "")))</f>
        <v/>
      </c>
      <c r="G591" s="121" t="str">
        <f aca="false">IF(F591="", "", F591*D591)</f>
        <v/>
      </c>
      <c r="H591" s="132" t="b">
        <f aca="false">FALSE()</f>
        <v>0</v>
      </c>
      <c r="I591" s="132" t="b">
        <f aca="false">FALSE()</f>
        <v>0</v>
      </c>
      <c r="J591" s="126"/>
      <c r="K591" s="99"/>
      <c r="L591" s="83"/>
      <c r="M591" s="103"/>
      <c r="N591" s="103"/>
      <c r="O591" s="103"/>
      <c r="P591" s="103"/>
      <c r="Q591" s="103"/>
      <c r="R591" s="83"/>
      <c r="S591" s="103"/>
      <c r="T591" s="103"/>
      <c r="U591" s="103"/>
    </row>
    <row r="592" customFormat="false" ht="22.5" hidden="false" customHeight="true" outlineLevel="0" collapsed="false">
      <c r="A592" s="110"/>
      <c r="B592" s="110"/>
      <c r="C592" s="110"/>
      <c r="D592" s="122"/>
      <c r="E592" s="110"/>
      <c r="F592" s="128" t="str">
        <f aca="false">IF(E592="CONTADO", 4%, IF(E592="TARJETA / CHEQUE", 3%, IF(OR(E592="FINANCIADO", E592="MCP"), 2.5%, "")))</f>
        <v/>
      </c>
      <c r="G592" s="122" t="str">
        <f aca="false">IF(F592="", "", F592*D592)</f>
        <v/>
      </c>
      <c r="H592" s="131" t="b">
        <f aca="false">FALSE()</f>
        <v>0</v>
      </c>
      <c r="I592" s="131" t="b">
        <f aca="false">FALSE()</f>
        <v>0</v>
      </c>
      <c r="J592" s="130"/>
      <c r="K592" s="110"/>
      <c r="L592" s="83"/>
      <c r="M592" s="103"/>
      <c r="N592" s="103"/>
      <c r="O592" s="103"/>
      <c r="P592" s="103"/>
      <c r="Q592" s="103"/>
      <c r="R592" s="83"/>
      <c r="S592" s="103"/>
      <c r="T592" s="103"/>
      <c r="U592" s="103"/>
    </row>
    <row r="593" customFormat="false" ht="22.5" hidden="false" customHeight="true" outlineLevel="0" collapsed="false">
      <c r="A593" s="99"/>
      <c r="B593" s="99"/>
      <c r="C593" s="99"/>
      <c r="D593" s="121"/>
      <c r="E593" s="99"/>
      <c r="F593" s="124" t="str">
        <f aca="false">IF(E593="CONTADO", 4%, IF(E593="TARJETA / CHEQUE", 3%, IF(OR(E593="FINANCIADO", E593="MCP"), 2.5%, "")))</f>
        <v/>
      </c>
      <c r="G593" s="121" t="str">
        <f aca="false">IF(F593="", "", F593*D593)</f>
        <v/>
      </c>
      <c r="H593" s="132" t="b">
        <f aca="false">FALSE()</f>
        <v>0</v>
      </c>
      <c r="I593" s="132" t="b">
        <f aca="false">FALSE()</f>
        <v>0</v>
      </c>
      <c r="J593" s="126"/>
      <c r="K593" s="99"/>
      <c r="L593" s="83"/>
      <c r="M593" s="103"/>
      <c r="N593" s="103"/>
      <c r="O593" s="103"/>
      <c r="P593" s="103"/>
      <c r="Q593" s="103"/>
      <c r="R593" s="83"/>
      <c r="S593" s="103"/>
      <c r="T593" s="103"/>
      <c r="U593" s="103"/>
    </row>
    <row r="594" customFormat="false" ht="22.5" hidden="false" customHeight="true" outlineLevel="0" collapsed="false">
      <c r="A594" s="110"/>
      <c r="B594" s="110"/>
      <c r="C594" s="110"/>
      <c r="D594" s="122"/>
      <c r="E594" s="110"/>
      <c r="F594" s="128" t="str">
        <f aca="false">IF(E594="CONTADO", 4%, IF(E594="TARJETA / CHEQUE", 3%, IF(OR(E594="FINANCIADO", E594="MCP"), 2.5%, "")))</f>
        <v/>
      </c>
      <c r="G594" s="122" t="str">
        <f aca="false">IF(F594="", "", F594*D594)</f>
        <v/>
      </c>
      <c r="H594" s="131" t="b">
        <f aca="false">FALSE()</f>
        <v>0</v>
      </c>
      <c r="I594" s="131" t="b">
        <f aca="false">FALSE()</f>
        <v>0</v>
      </c>
      <c r="J594" s="130"/>
      <c r="K594" s="110"/>
      <c r="L594" s="83"/>
      <c r="M594" s="103"/>
      <c r="N594" s="103"/>
      <c r="O594" s="103"/>
      <c r="P594" s="103"/>
      <c r="Q594" s="103"/>
      <c r="R594" s="83"/>
      <c r="S594" s="103"/>
      <c r="T594" s="103"/>
      <c r="U594" s="103"/>
    </row>
    <row r="595" customFormat="false" ht="22.5" hidden="false" customHeight="true" outlineLevel="0" collapsed="false">
      <c r="A595" s="99"/>
      <c r="B595" s="99"/>
      <c r="C595" s="99"/>
      <c r="D595" s="121"/>
      <c r="E595" s="99"/>
      <c r="F595" s="124" t="str">
        <f aca="false">IF(E595="CONTADO", 4%, IF(E595="TARJETA / CHEQUE", 3%, IF(OR(E595="FINANCIADO", E595="MCP"), 2.5%, "")))</f>
        <v/>
      </c>
      <c r="G595" s="121" t="str">
        <f aca="false">IF(F595="", "", F595*D595)</f>
        <v/>
      </c>
      <c r="H595" s="132" t="b">
        <f aca="false">FALSE()</f>
        <v>0</v>
      </c>
      <c r="I595" s="132" t="b">
        <f aca="false">FALSE()</f>
        <v>0</v>
      </c>
      <c r="J595" s="126"/>
      <c r="K595" s="99"/>
      <c r="L595" s="83"/>
      <c r="M595" s="103"/>
      <c r="N595" s="103"/>
      <c r="O595" s="103"/>
      <c r="P595" s="103"/>
      <c r="Q595" s="103"/>
      <c r="R595" s="83"/>
      <c r="S595" s="103"/>
      <c r="T595" s="103"/>
      <c r="U595" s="103"/>
    </row>
    <row r="596" customFormat="false" ht="22.5" hidden="false" customHeight="true" outlineLevel="0" collapsed="false">
      <c r="A596" s="110"/>
      <c r="B596" s="110"/>
      <c r="C596" s="110"/>
      <c r="D596" s="122"/>
      <c r="E596" s="110"/>
      <c r="F596" s="128" t="str">
        <f aca="false">IF(E596="CONTADO", 4%, IF(E596="TARJETA / CHEQUE", 3%, IF(OR(E596="FINANCIADO", E596="MCP"), 2.5%, "")))</f>
        <v/>
      </c>
      <c r="G596" s="122" t="str">
        <f aca="false">IF(F596="", "", F596*D596)</f>
        <v/>
      </c>
      <c r="H596" s="131" t="b">
        <f aca="false">FALSE()</f>
        <v>0</v>
      </c>
      <c r="I596" s="131" t="b">
        <f aca="false">FALSE()</f>
        <v>0</v>
      </c>
      <c r="J596" s="130"/>
      <c r="K596" s="110"/>
      <c r="L596" s="83"/>
      <c r="M596" s="103"/>
      <c r="N596" s="103"/>
      <c r="O596" s="103"/>
      <c r="P596" s="103"/>
      <c r="Q596" s="103"/>
      <c r="R596" s="83"/>
      <c r="S596" s="103"/>
      <c r="T596" s="103"/>
      <c r="U596" s="103"/>
    </row>
    <row r="597" customFormat="false" ht="22.5" hidden="false" customHeight="true" outlineLevel="0" collapsed="false">
      <c r="A597" s="99"/>
      <c r="B597" s="99"/>
      <c r="C597" s="99"/>
      <c r="D597" s="121"/>
      <c r="E597" s="99"/>
      <c r="F597" s="124" t="str">
        <f aca="false">IF(E597="CONTADO", 4%, IF(E597="TARJETA / CHEQUE", 3%, IF(OR(E597="FINANCIADO", E597="MCP"), 2.5%, "")))</f>
        <v/>
      </c>
      <c r="G597" s="121" t="str">
        <f aca="false">IF(F597="", "", F597*D597)</f>
        <v/>
      </c>
      <c r="H597" s="132" t="b">
        <f aca="false">FALSE()</f>
        <v>0</v>
      </c>
      <c r="I597" s="132" t="b">
        <f aca="false">FALSE()</f>
        <v>0</v>
      </c>
      <c r="J597" s="126"/>
      <c r="K597" s="99"/>
      <c r="L597" s="83"/>
      <c r="M597" s="103"/>
      <c r="N597" s="103"/>
      <c r="O597" s="103"/>
      <c r="P597" s="103"/>
      <c r="Q597" s="103"/>
      <c r="R597" s="83"/>
      <c r="S597" s="103"/>
      <c r="T597" s="103"/>
      <c r="U597" s="103"/>
    </row>
    <row r="598" customFormat="false" ht="22.5" hidden="false" customHeight="true" outlineLevel="0" collapsed="false">
      <c r="A598" s="110"/>
      <c r="B598" s="110"/>
      <c r="C598" s="110"/>
      <c r="D598" s="122"/>
      <c r="E598" s="110"/>
      <c r="F598" s="128" t="str">
        <f aca="false">IF(E598="CONTADO", 4%, IF(E598="TARJETA / CHEQUE", 3%, IF(OR(E598="FINANCIADO", E598="MCP"), 2.5%, "")))</f>
        <v/>
      </c>
      <c r="G598" s="122" t="str">
        <f aca="false">IF(F598="", "", F598*D598)</f>
        <v/>
      </c>
      <c r="H598" s="131" t="b">
        <f aca="false">FALSE()</f>
        <v>0</v>
      </c>
      <c r="I598" s="131" t="b">
        <f aca="false">FALSE()</f>
        <v>0</v>
      </c>
      <c r="J598" s="130"/>
      <c r="K598" s="110"/>
      <c r="L598" s="83"/>
      <c r="M598" s="103"/>
      <c r="N598" s="103"/>
      <c r="O598" s="103"/>
      <c r="P598" s="103"/>
      <c r="Q598" s="103"/>
      <c r="R598" s="83"/>
      <c r="S598" s="103"/>
      <c r="T598" s="103"/>
      <c r="U598" s="103"/>
    </row>
    <row r="599" customFormat="false" ht="22.5" hidden="false" customHeight="true" outlineLevel="0" collapsed="false">
      <c r="A599" s="99"/>
      <c r="B599" s="99"/>
      <c r="C599" s="99"/>
      <c r="D599" s="121"/>
      <c r="E599" s="99"/>
      <c r="F599" s="124" t="str">
        <f aca="false">IF(E599="CONTADO", 4%, IF(E599="TARJETA / CHEQUE", 3%, IF(OR(E599="FINANCIADO", E599="MCP"), 2.5%, "")))</f>
        <v/>
      </c>
      <c r="G599" s="121" t="str">
        <f aca="false">IF(F599="", "", F599*D599)</f>
        <v/>
      </c>
      <c r="H599" s="132" t="b">
        <f aca="false">FALSE()</f>
        <v>0</v>
      </c>
      <c r="I599" s="132" t="b">
        <f aca="false">FALSE()</f>
        <v>0</v>
      </c>
      <c r="J599" s="126"/>
      <c r="K599" s="99"/>
      <c r="L599" s="83"/>
      <c r="M599" s="103"/>
      <c r="N599" s="103"/>
      <c r="O599" s="103"/>
      <c r="P599" s="103"/>
      <c r="Q599" s="103"/>
      <c r="R599" s="83"/>
      <c r="S599" s="103"/>
      <c r="T599" s="103"/>
      <c r="U599" s="103"/>
    </row>
    <row r="600" customFormat="false" ht="22.5" hidden="false" customHeight="true" outlineLevel="0" collapsed="false">
      <c r="A600" s="110"/>
      <c r="B600" s="110"/>
      <c r="C600" s="110"/>
      <c r="D600" s="122"/>
      <c r="E600" s="110"/>
      <c r="F600" s="128" t="str">
        <f aca="false">IF(E600="CONTADO", 4%, IF(E600="TARJETA / CHEQUE", 3%, IF(OR(E600="FINANCIADO", E600="MCP"), 2.5%, "")))</f>
        <v/>
      </c>
      <c r="G600" s="122" t="str">
        <f aca="false">IF(F600="", "", F600*D600)</f>
        <v/>
      </c>
      <c r="H600" s="131" t="b">
        <f aca="false">FALSE()</f>
        <v>0</v>
      </c>
      <c r="I600" s="131" t="b">
        <f aca="false">FALSE()</f>
        <v>0</v>
      </c>
      <c r="J600" s="130"/>
      <c r="K600" s="110"/>
      <c r="L600" s="83"/>
      <c r="M600" s="103"/>
      <c r="N600" s="103"/>
      <c r="O600" s="103"/>
      <c r="P600" s="103"/>
      <c r="Q600" s="103"/>
      <c r="R600" s="83"/>
      <c r="S600" s="103"/>
      <c r="T600" s="103"/>
      <c r="U600" s="103"/>
    </row>
    <row r="601" customFormat="false" ht="22.5" hidden="false" customHeight="true" outlineLevel="0" collapsed="false">
      <c r="A601" s="99"/>
      <c r="B601" s="99"/>
      <c r="C601" s="99"/>
      <c r="D601" s="121"/>
      <c r="E601" s="99"/>
      <c r="F601" s="124" t="str">
        <f aca="false">IF(E601="CONTADO", 4%, IF(E601="TARJETA / CHEQUE", 3%, IF(OR(E601="FINANCIADO", E601="MCP"), 2.5%, "")))</f>
        <v/>
      </c>
      <c r="G601" s="121" t="str">
        <f aca="false">IF(F601="", "", F601*D601)</f>
        <v/>
      </c>
      <c r="H601" s="132" t="b">
        <f aca="false">FALSE()</f>
        <v>0</v>
      </c>
      <c r="I601" s="132" t="b">
        <f aca="false">FALSE()</f>
        <v>0</v>
      </c>
      <c r="J601" s="126"/>
      <c r="K601" s="99"/>
      <c r="L601" s="83"/>
      <c r="M601" s="103"/>
      <c r="N601" s="103"/>
      <c r="O601" s="103"/>
      <c r="P601" s="103"/>
      <c r="Q601" s="103"/>
      <c r="R601" s="83"/>
      <c r="S601" s="103"/>
      <c r="T601" s="103"/>
      <c r="U601" s="103"/>
    </row>
    <row r="602" customFormat="false" ht="22.5" hidden="false" customHeight="true" outlineLevel="0" collapsed="false">
      <c r="A602" s="110"/>
      <c r="B602" s="110"/>
      <c r="C602" s="110"/>
      <c r="D602" s="122"/>
      <c r="E602" s="110"/>
      <c r="F602" s="128" t="str">
        <f aca="false">IF(E602="CONTADO", 4%, IF(E602="TARJETA / CHEQUE", 3%, IF(OR(E602="FINANCIADO", E602="MCP"), 2.5%, "")))</f>
        <v/>
      </c>
      <c r="G602" s="122" t="str">
        <f aca="false">IF(F602="", "", F602*D602)</f>
        <v/>
      </c>
      <c r="H602" s="131" t="b">
        <f aca="false">FALSE()</f>
        <v>0</v>
      </c>
      <c r="I602" s="131" t="b">
        <f aca="false">FALSE()</f>
        <v>0</v>
      </c>
      <c r="J602" s="130"/>
      <c r="K602" s="110"/>
      <c r="L602" s="83"/>
      <c r="M602" s="103"/>
      <c r="N602" s="103"/>
      <c r="O602" s="103"/>
      <c r="P602" s="103"/>
      <c r="Q602" s="103"/>
      <c r="R602" s="83"/>
      <c r="S602" s="103"/>
      <c r="T602" s="103"/>
      <c r="U602" s="103"/>
    </row>
    <row r="603" customFormat="false" ht="22.5" hidden="false" customHeight="true" outlineLevel="0" collapsed="false">
      <c r="A603" s="99"/>
      <c r="B603" s="99"/>
      <c r="C603" s="99"/>
      <c r="D603" s="121"/>
      <c r="E603" s="99"/>
      <c r="F603" s="124" t="str">
        <f aca="false">IF(E603="CONTADO", 4%, IF(E603="TARJETA / CHEQUE", 3%, IF(OR(E603="FINANCIADO", E603="MCP"), 2.5%, "")))</f>
        <v/>
      </c>
      <c r="G603" s="121" t="str">
        <f aca="false">IF(F603="", "", F603*D603)</f>
        <v/>
      </c>
      <c r="H603" s="132" t="b">
        <f aca="false">FALSE()</f>
        <v>0</v>
      </c>
      <c r="I603" s="132" t="b">
        <f aca="false">FALSE()</f>
        <v>0</v>
      </c>
      <c r="J603" s="126"/>
      <c r="K603" s="99"/>
      <c r="L603" s="83"/>
      <c r="M603" s="103"/>
      <c r="N603" s="103"/>
      <c r="O603" s="103"/>
      <c r="P603" s="103"/>
      <c r="Q603" s="103"/>
      <c r="R603" s="83"/>
      <c r="S603" s="103"/>
      <c r="T603" s="103"/>
      <c r="U603" s="103"/>
    </row>
    <row r="604" customFormat="false" ht="22.5" hidden="false" customHeight="true" outlineLevel="0" collapsed="false">
      <c r="A604" s="110"/>
      <c r="B604" s="110"/>
      <c r="C604" s="110"/>
      <c r="D604" s="122"/>
      <c r="E604" s="110"/>
      <c r="F604" s="128" t="str">
        <f aca="false">IF(E604="CONTADO", 4%, IF(E604="TARJETA / CHEQUE", 3%, IF(OR(E604="FINANCIADO", E604="MCP"), 2.5%, "")))</f>
        <v/>
      </c>
      <c r="G604" s="122" t="str">
        <f aca="false">IF(F604="", "", F604*D604)</f>
        <v/>
      </c>
      <c r="H604" s="131" t="b">
        <f aca="false">FALSE()</f>
        <v>0</v>
      </c>
      <c r="I604" s="131" t="b">
        <f aca="false">FALSE()</f>
        <v>0</v>
      </c>
      <c r="J604" s="130"/>
      <c r="K604" s="110"/>
      <c r="L604" s="83"/>
      <c r="M604" s="103"/>
      <c r="N604" s="103"/>
      <c r="O604" s="103"/>
      <c r="P604" s="103"/>
      <c r="Q604" s="103"/>
      <c r="R604" s="83"/>
      <c r="S604" s="103"/>
      <c r="T604" s="103"/>
      <c r="U604" s="103"/>
    </row>
    <row r="605" customFormat="false" ht="22.5" hidden="false" customHeight="true" outlineLevel="0" collapsed="false">
      <c r="A605" s="99"/>
      <c r="B605" s="99"/>
      <c r="C605" s="99"/>
      <c r="D605" s="121"/>
      <c r="E605" s="99"/>
      <c r="F605" s="124" t="str">
        <f aca="false">IF(E605="CONTADO", 4%, IF(E605="TARJETA / CHEQUE", 3%, IF(OR(E605="FINANCIADO", E605="MCP"), 2.5%, "")))</f>
        <v/>
      </c>
      <c r="G605" s="121" t="str">
        <f aca="false">IF(F605="", "", F605*D605)</f>
        <v/>
      </c>
      <c r="H605" s="132" t="b">
        <f aca="false">FALSE()</f>
        <v>0</v>
      </c>
      <c r="I605" s="132" t="b">
        <f aca="false">FALSE()</f>
        <v>0</v>
      </c>
      <c r="J605" s="126"/>
      <c r="K605" s="99"/>
      <c r="L605" s="83"/>
      <c r="M605" s="103"/>
      <c r="N605" s="103"/>
      <c r="O605" s="103"/>
      <c r="P605" s="103"/>
      <c r="Q605" s="103"/>
      <c r="R605" s="83"/>
      <c r="S605" s="103"/>
      <c r="T605" s="103"/>
      <c r="U605" s="103"/>
    </row>
    <row r="606" customFormat="false" ht="22.5" hidden="false" customHeight="true" outlineLevel="0" collapsed="false">
      <c r="A606" s="110"/>
      <c r="B606" s="110"/>
      <c r="C606" s="110"/>
      <c r="D606" s="122"/>
      <c r="E606" s="110"/>
      <c r="F606" s="128" t="str">
        <f aca="false">IF(E606="CONTADO", 4%, IF(E606="TARJETA / CHEQUE", 3%, IF(OR(E606="FINANCIADO", E606="MCP"), 2.5%, "")))</f>
        <v/>
      </c>
      <c r="G606" s="122" t="str">
        <f aca="false">IF(F606="", "", F606*D606)</f>
        <v/>
      </c>
      <c r="H606" s="131" t="b">
        <f aca="false">FALSE()</f>
        <v>0</v>
      </c>
      <c r="I606" s="131" t="b">
        <f aca="false">FALSE()</f>
        <v>0</v>
      </c>
      <c r="J606" s="130"/>
      <c r="K606" s="110"/>
      <c r="L606" s="83"/>
      <c r="M606" s="103"/>
      <c r="N606" s="103"/>
      <c r="O606" s="103"/>
      <c r="P606" s="103"/>
      <c r="Q606" s="103"/>
      <c r="R606" s="83"/>
      <c r="S606" s="103"/>
      <c r="T606" s="103"/>
      <c r="U606" s="103"/>
    </row>
    <row r="607" customFormat="false" ht="22.5" hidden="false" customHeight="true" outlineLevel="0" collapsed="false">
      <c r="A607" s="99"/>
      <c r="B607" s="99"/>
      <c r="C607" s="99"/>
      <c r="D607" s="121"/>
      <c r="E607" s="99"/>
      <c r="F607" s="124" t="str">
        <f aca="false">IF(E607="CONTADO", 4%, IF(E607="TARJETA / CHEQUE", 3%, IF(OR(E607="FINANCIADO", E607="MCP"), 2.5%, "")))</f>
        <v/>
      </c>
      <c r="G607" s="121" t="str">
        <f aca="false">IF(F607="", "", F607*D607)</f>
        <v/>
      </c>
      <c r="H607" s="132" t="b">
        <f aca="false">FALSE()</f>
        <v>0</v>
      </c>
      <c r="I607" s="132" t="b">
        <f aca="false">FALSE()</f>
        <v>0</v>
      </c>
      <c r="J607" s="126"/>
      <c r="K607" s="99"/>
      <c r="L607" s="83"/>
      <c r="M607" s="103"/>
      <c r="N607" s="103"/>
      <c r="O607" s="103"/>
      <c r="P607" s="103"/>
      <c r="Q607" s="103"/>
      <c r="R607" s="83"/>
      <c r="S607" s="103"/>
      <c r="T607" s="103"/>
      <c r="U607" s="103"/>
    </row>
    <row r="608" customFormat="false" ht="22.5" hidden="false" customHeight="true" outlineLevel="0" collapsed="false">
      <c r="A608" s="110"/>
      <c r="B608" s="110"/>
      <c r="C608" s="110"/>
      <c r="D608" s="122"/>
      <c r="E608" s="110"/>
      <c r="F608" s="128" t="str">
        <f aca="false">IF(E608="CONTADO", 4%, IF(E608="TARJETA / CHEQUE", 3%, IF(OR(E608="FINANCIADO", E608="MCP"), 2.5%, "")))</f>
        <v/>
      </c>
      <c r="G608" s="122" t="str">
        <f aca="false">IF(F608="", "", F608*D608)</f>
        <v/>
      </c>
      <c r="H608" s="131" t="b">
        <f aca="false">FALSE()</f>
        <v>0</v>
      </c>
      <c r="I608" s="131" t="b">
        <f aca="false">FALSE()</f>
        <v>0</v>
      </c>
      <c r="J608" s="130"/>
      <c r="K608" s="110"/>
      <c r="L608" s="83"/>
      <c r="M608" s="103"/>
      <c r="N608" s="103"/>
      <c r="O608" s="103"/>
      <c r="P608" s="103"/>
      <c r="Q608" s="103"/>
      <c r="R608" s="83"/>
      <c r="S608" s="103"/>
      <c r="T608" s="103"/>
      <c r="U608" s="103"/>
    </row>
    <row r="609" customFormat="false" ht="22.5" hidden="false" customHeight="true" outlineLevel="0" collapsed="false">
      <c r="A609" s="99"/>
      <c r="B609" s="99"/>
      <c r="C609" s="99"/>
      <c r="D609" s="121"/>
      <c r="E609" s="99"/>
      <c r="F609" s="124" t="str">
        <f aca="false">IF(E609="CONTADO", 4%, IF(E609="TARJETA / CHEQUE", 3%, IF(OR(E609="FINANCIADO", E609="MCP"), 2.5%, "")))</f>
        <v/>
      </c>
      <c r="G609" s="121" t="str">
        <f aca="false">IF(F609="", "", F609*D609)</f>
        <v/>
      </c>
      <c r="H609" s="132" t="b">
        <f aca="false">FALSE()</f>
        <v>0</v>
      </c>
      <c r="I609" s="132" t="b">
        <f aca="false">FALSE()</f>
        <v>0</v>
      </c>
      <c r="J609" s="126"/>
      <c r="K609" s="99"/>
      <c r="L609" s="83"/>
      <c r="M609" s="103"/>
      <c r="N609" s="103"/>
      <c r="O609" s="103"/>
      <c r="P609" s="103"/>
      <c r="Q609" s="103"/>
      <c r="R609" s="83"/>
      <c r="S609" s="103"/>
      <c r="T609" s="103"/>
      <c r="U609" s="103"/>
    </row>
    <row r="610" customFormat="false" ht="22.5" hidden="false" customHeight="true" outlineLevel="0" collapsed="false">
      <c r="A610" s="110"/>
      <c r="B610" s="110"/>
      <c r="C610" s="110"/>
      <c r="D610" s="122"/>
      <c r="E610" s="110"/>
      <c r="F610" s="128" t="str">
        <f aca="false">IF(E610="CONTADO", 4%, IF(E610="TARJETA / CHEQUE", 3%, IF(OR(E610="FINANCIADO", E610="MCP"), 2.5%, "")))</f>
        <v/>
      </c>
      <c r="G610" s="122" t="str">
        <f aca="false">IF(F610="", "", F610*D610)</f>
        <v/>
      </c>
      <c r="H610" s="131" t="b">
        <f aca="false">FALSE()</f>
        <v>0</v>
      </c>
      <c r="I610" s="131" t="b">
        <f aca="false">FALSE()</f>
        <v>0</v>
      </c>
      <c r="J610" s="130"/>
      <c r="K610" s="110"/>
      <c r="L610" s="83"/>
      <c r="M610" s="103"/>
      <c r="N610" s="103"/>
      <c r="O610" s="103"/>
      <c r="P610" s="103"/>
      <c r="Q610" s="103"/>
      <c r="R610" s="83"/>
      <c r="S610" s="103"/>
      <c r="T610" s="103"/>
      <c r="U610" s="103"/>
    </row>
    <row r="611" customFormat="false" ht="22.5" hidden="false" customHeight="true" outlineLevel="0" collapsed="false">
      <c r="A611" s="99"/>
      <c r="B611" s="99"/>
      <c r="C611" s="99"/>
      <c r="D611" s="121"/>
      <c r="E611" s="99"/>
      <c r="F611" s="124" t="str">
        <f aca="false">IF(E611="CONTADO", 4%, IF(E611="TARJETA / CHEQUE", 3%, IF(OR(E611="FINANCIADO", E611="MCP"), 2.5%, "")))</f>
        <v/>
      </c>
      <c r="G611" s="121" t="str">
        <f aca="false">IF(F611="", "", F611*D611)</f>
        <v/>
      </c>
      <c r="H611" s="132" t="b">
        <f aca="false">FALSE()</f>
        <v>0</v>
      </c>
      <c r="I611" s="132" t="b">
        <f aca="false">FALSE()</f>
        <v>0</v>
      </c>
      <c r="J611" s="126"/>
      <c r="K611" s="99"/>
      <c r="L611" s="83"/>
      <c r="M611" s="103"/>
      <c r="N611" s="103"/>
      <c r="O611" s="103"/>
      <c r="P611" s="103"/>
      <c r="Q611" s="103"/>
      <c r="R611" s="83"/>
      <c r="S611" s="103"/>
      <c r="T611" s="103"/>
      <c r="U611" s="103"/>
    </row>
    <row r="612" customFormat="false" ht="22.5" hidden="false" customHeight="true" outlineLevel="0" collapsed="false">
      <c r="A612" s="110"/>
      <c r="B612" s="110"/>
      <c r="C612" s="110"/>
      <c r="D612" s="122"/>
      <c r="E612" s="110"/>
      <c r="F612" s="128" t="str">
        <f aca="false">IF(E612="CONTADO", 4%, IF(E612="TARJETA / CHEQUE", 3%, IF(OR(E612="FINANCIADO", E612="MCP"), 2.5%, "")))</f>
        <v/>
      </c>
      <c r="G612" s="122" t="str">
        <f aca="false">IF(F612="", "", F612*D612)</f>
        <v/>
      </c>
      <c r="H612" s="131" t="b">
        <f aca="false">FALSE()</f>
        <v>0</v>
      </c>
      <c r="I612" s="131" t="b">
        <f aca="false">FALSE()</f>
        <v>0</v>
      </c>
      <c r="J612" s="130"/>
      <c r="K612" s="110"/>
      <c r="L612" s="83"/>
      <c r="M612" s="103"/>
      <c r="N612" s="103"/>
      <c r="O612" s="103"/>
      <c r="P612" s="103"/>
      <c r="Q612" s="103"/>
      <c r="R612" s="83"/>
      <c r="S612" s="103"/>
      <c r="T612" s="103"/>
      <c r="U612" s="103"/>
    </row>
    <row r="613" customFormat="false" ht="22.5" hidden="false" customHeight="true" outlineLevel="0" collapsed="false">
      <c r="A613" s="99"/>
      <c r="B613" s="99"/>
      <c r="C613" s="99"/>
      <c r="D613" s="121"/>
      <c r="E613" s="99"/>
      <c r="F613" s="124" t="str">
        <f aca="false">IF(E613="CONTADO", 4%, IF(E613="TARJETA / CHEQUE", 3%, IF(OR(E613="FINANCIADO", E613="MCP"), 2.5%, "")))</f>
        <v/>
      </c>
      <c r="G613" s="121" t="str">
        <f aca="false">IF(F613="", "", F613*D613)</f>
        <v/>
      </c>
      <c r="H613" s="132" t="b">
        <f aca="false">FALSE()</f>
        <v>0</v>
      </c>
      <c r="I613" s="132" t="b">
        <f aca="false">FALSE()</f>
        <v>0</v>
      </c>
      <c r="J613" s="126"/>
      <c r="K613" s="99"/>
      <c r="L613" s="83"/>
      <c r="M613" s="103"/>
      <c r="N613" s="103"/>
      <c r="O613" s="103"/>
      <c r="P613" s="103"/>
      <c r="Q613" s="103"/>
      <c r="R613" s="83"/>
      <c r="S613" s="103"/>
      <c r="T613" s="103"/>
      <c r="U613" s="103"/>
    </row>
    <row r="614" customFormat="false" ht="22.5" hidden="false" customHeight="true" outlineLevel="0" collapsed="false">
      <c r="A614" s="110"/>
      <c r="B614" s="110"/>
      <c r="C614" s="110"/>
      <c r="D614" s="122"/>
      <c r="E614" s="110"/>
      <c r="F614" s="128" t="str">
        <f aca="false">IF(E614="CONTADO", 4%, IF(E614="TARJETA / CHEQUE", 3%, IF(OR(E614="FINANCIADO", E614="MCP"), 2.5%, "")))</f>
        <v/>
      </c>
      <c r="G614" s="122" t="str">
        <f aca="false">IF(F614="", "", F614*D614)</f>
        <v/>
      </c>
      <c r="H614" s="131" t="b">
        <f aca="false">FALSE()</f>
        <v>0</v>
      </c>
      <c r="I614" s="131" t="b">
        <f aca="false">FALSE()</f>
        <v>0</v>
      </c>
      <c r="J614" s="130"/>
      <c r="K614" s="110"/>
      <c r="L614" s="83"/>
      <c r="M614" s="103"/>
      <c r="N614" s="103"/>
      <c r="O614" s="103"/>
      <c r="P614" s="103"/>
      <c r="Q614" s="103"/>
      <c r="R614" s="83"/>
      <c r="S614" s="103"/>
      <c r="T614" s="103"/>
      <c r="U614" s="103"/>
    </row>
    <row r="615" customFormat="false" ht="22.5" hidden="false" customHeight="true" outlineLevel="0" collapsed="false">
      <c r="A615" s="99"/>
      <c r="B615" s="99"/>
      <c r="C615" s="99"/>
      <c r="D615" s="121"/>
      <c r="E615" s="99"/>
      <c r="F615" s="124" t="str">
        <f aca="false">IF(E615="CONTADO", 4%, IF(E615="TARJETA / CHEQUE", 3%, IF(OR(E615="FINANCIADO", E615="MCP"), 2.5%, "")))</f>
        <v/>
      </c>
      <c r="G615" s="121" t="str">
        <f aca="false">IF(F615="", "", F615*D615)</f>
        <v/>
      </c>
      <c r="H615" s="132" t="b">
        <f aca="false">FALSE()</f>
        <v>0</v>
      </c>
      <c r="I615" s="132" t="b">
        <f aca="false">FALSE()</f>
        <v>0</v>
      </c>
      <c r="J615" s="126"/>
      <c r="K615" s="99"/>
      <c r="L615" s="83"/>
      <c r="M615" s="103"/>
      <c r="N615" s="103"/>
      <c r="O615" s="103"/>
      <c r="P615" s="103"/>
      <c r="Q615" s="103"/>
      <c r="R615" s="83"/>
      <c r="S615" s="103"/>
      <c r="T615" s="103"/>
      <c r="U615" s="103"/>
    </row>
    <row r="616" customFormat="false" ht="22.5" hidden="false" customHeight="true" outlineLevel="0" collapsed="false">
      <c r="A616" s="110"/>
      <c r="B616" s="110"/>
      <c r="C616" s="110"/>
      <c r="D616" s="122"/>
      <c r="E616" s="110"/>
      <c r="F616" s="128" t="str">
        <f aca="false">IF(E616="CONTADO", 4%, IF(E616="TARJETA / CHEQUE", 3%, IF(OR(E616="FINANCIADO", E616="MCP"), 2.5%, "")))</f>
        <v/>
      </c>
      <c r="G616" s="122" t="str">
        <f aca="false">IF(F616="", "", F616*D616)</f>
        <v/>
      </c>
      <c r="H616" s="131" t="b">
        <f aca="false">FALSE()</f>
        <v>0</v>
      </c>
      <c r="I616" s="131" t="b">
        <f aca="false">FALSE()</f>
        <v>0</v>
      </c>
      <c r="J616" s="130"/>
      <c r="K616" s="110"/>
      <c r="L616" s="83"/>
      <c r="M616" s="103"/>
      <c r="N616" s="103"/>
      <c r="O616" s="103"/>
      <c r="P616" s="103"/>
      <c r="Q616" s="103"/>
      <c r="R616" s="83"/>
      <c r="S616" s="103"/>
      <c r="T616" s="103"/>
      <c r="U616" s="103"/>
    </row>
    <row r="617" customFormat="false" ht="22.5" hidden="false" customHeight="true" outlineLevel="0" collapsed="false">
      <c r="A617" s="99"/>
      <c r="B617" s="99"/>
      <c r="C617" s="99"/>
      <c r="D617" s="121"/>
      <c r="E617" s="99"/>
      <c r="F617" s="124" t="str">
        <f aca="false">IF(E617="CONTADO", 4%, IF(E617="TARJETA / CHEQUE", 3%, IF(OR(E617="FINANCIADO", E617="MCP"), 2.5%, "")))</f>
        <v/>
      </c>
      <c r="G617" s="121" t="str">
        <f aca="false">IF(F617="", "", F617*D617)</f>
        <v/>
      </c>
      <c r="H617" s="132" t="b">
        <f aca="false">FALSE()</f>
        <v>0</v>
      </c>
      <c r="I617" s="132" t="b">
        <f aca="false">FALSE()</f>
        <v>0</v>
      </c>
      <c r="J617" s="126"/>
      <c r="K617" s="99"/>
      <c r="L617" s="83"/>
      <c r="M617" s="103"/>
      <c r="N617" s="103"/>
      <c r="O617" s="103"/>
      <c r="P617" s="103"/>
      <c r="Q617" s="103"/>
      <c r="R617" s="83"/>
      <c r="S617" s="103"/>
      <c r="T617" s="103"/>
      <c r="U617" s="103"/>
    </row>
    <row r="618" customFormat="false" ht="22.5" hidden="false" customHeight="true" outlineLevel="0" collapsed="false">
      <c r="A618" s="110"/>
      <c r="B618" s="110"/>
      <c r="C618" s="110"/>
      <c r="D618" s="122"/>
      <c r="E618" s="110"/>
      <c r="F618" s="128" t="str">
        <f aca="false">IF(E618="CONTADO", 4%, IF(E618="TARJETA / CHEQUE", 3%, IF(OR(E618="FINANCIADO", E618="MCP"), 2.5%, "")))</f>
        <v/>
      </c>
      <c r="G618" s="122" t="str">
        <f aca="false">IF(F618="", "", F618*D618)</f>
        <v/>
      </c>
      <c r="H618" s="131" t="b">
        <f aca="false">FALSE()</f>
        <v>0</v>
      </c>
      <c r="I618" s="131" t="b">
        <f aca="false">FALSE()</f>
        <v>0</v>
      </c>
      <c r="J618" s="130"/>
      <c r="K618" s="110"/>
      <c r="L618" s="83"/>
      <c r="M618" s="103"/>
      <c r="N618" s="103"/>
      <c r="O618" s="103"/>
      <c r="P618" s="103"/>
      <c r="Q618" s="103"/>
      <c r="R618" s="83"/>
      <c r="S618" s="103"/>
      <c r="T618" s="103"/>
      <c r="U618" s="103"/>
    </row>
    <row r="619" customFormat="false" ht="22.5" hidden="false" customHeight="true" outlineLevel="0" collapsed="false">
      <c r="A619" s="99"/>
      <c r="B619" s="99"/>
      <c r="C619" s="99"/>
      <c r="D619" s="121"/>
      <c r="E619" s="99"/>
      <c r="F619" s="124" t="str">
        <f aca="false">IF(E619="CONTADO", 4%, IF(E619="TARJETA / CHEQUE", 3%, IF(OR(E619="FINANCIADO", E619="MCP"), 2.5%, "")))</f>
        <v/>
      </c>
      <c r="G619" s="121" t="str">
        <f aca="false">IF(F619="", "", F619*D619)</f>
        <v/>
      </c>
      <c r="H619" s="132" t="b">
        <f aca="false">FALSE()</f>
        <v>0</v>
      </c>
      <c r="I619" s="132" t="b">
        <f aca="false">FALSE()</f>
        <v>0</v>
      </c>
      <c r="J619" s="126"/>
      <c r="K619" s="99"/>
      <c r="L619" s="83"/>
      <c r="M619" s="103"/>
      <c r="N619" s="103"/>
      <c r="O619" s="103"/>
      <c r="P619" s="103"/>
      <c r="Q619" s="103"/>
      <c r="R619" s="83"/>
      <c r="S619" s="103"/>
      <c r="T619" s="103"/>
      <c r="U619" s="103"/>
    </row>
    <row r="620" customFormat="false" ht="22.5" hidden="false" customHeight="true" outlineLevel="0" collapsed="false">
      <c r="A620" s="110"/>
      <c r="B620" s="110"/>
      <c r="C620" s="110"/>
      <c r="D620" s="122"/>
      <c r="E620" s="110"/>
      <c r="F620" s="128" t="str">
        <f aca="false">IF(E620="CONTADO", 4%, IF(E620="TARJETA / CHEQUE", 3%, IF(OR(E620="FINANCIADO", E620="MCP"), 2.5%, "")))</f>
        <v/>
      </c>
      <c r="G620" s="122" t="str">
        <f aca="false">IF(F620="", "", F620*D620)</f>
        <v/>
      </c>
      <c r="H620" s="131" t="b">
        <f aca="false">FALSE()</f>
        <v>0</v>
      </c>
      <c r="I620" s="131" t="b">
        <f aca="false">FALSE()</f>
        <v>0</v>
      </c>
      <c r="J620" s="130"/>
      <c r="K620" s="110"/>
      <c r="L620" s="83"/>
      <c r="M620" s="103"/>
      <c r="N620" s="103"/>
      <c r="O620" s="103"/>
      <c r="P620" s="103"/>
      <c r="Q620" s="103"/>
      <c r="R620" s="83"/>
      <c r="S620" s="103"/>
      <c r="T620" s="103"/>
      <c r="U620" s="103"/>
    </row>
    <row r="621" customFormat="false" ht="22.5" hidden="false" customHeight="true" outlineLevel="0" collapsed="false">
      <c r="A621" s="99"/>
      <c r="B621" s="99"/>
      <c r="C621" s="99"/>
      <c r="D621" s="121"/>
      <c r="E621" s="99"/>
      <c r="F621" s="124" t="str">
        <f aca="false">IF(E621="CONTADO", 4%, IF(E621="TARJETA / CHEQUE", 3%, IF(OR(E621="FINANCIADO", E621="MCP"), 2.5%, "")))</f>
        <v/>
      </c>
      <c r="G621" s="121" t="str">
        <f aca="false">IF(F621="", "", F621*D621)</f>
        <v/>
      </c>
      <c r="H621" s="132" t="b">
        <f aca="false">FALSE()</f>
        <v>0</v>
      </c>
      <c r="I621" s="132" t="b">
        <f aca="false">FALSE()</f>
        <v>0</v>
      </c>
      <c r="J621" s="126"/>
      <c r="K621" s="99"/>
      <c r="L621" s="83"/>
      <c r="M621" s="103"/>
      <c r="N621" s="103"/>
      <c r="O621" s="103"/>
      <c r="P621" s="103"/>
      <c r="Q621" s="103"/>
      <c r="R621" s="83"/>
      <c r="S621" s="103"/>
      <c r="T621" s="103"/>
      <c r="U621" s="103"/>
    </row>
    <row r="622" customFormat="false" ht="22.5" hidden="false" customHeight="true" outlineLevel="0" collapsed="false">
      <c r="A622" s="110"/>
      <c r="B622" s="110"/>
      <c r="C622" s="110"/>
      <c r="D622" s="122"/>
      <c r="E622" s="110"/>
      <c r="F622" s="128" t="str">
        <f aca="false">IF(E622="CONTADO", 4%, IF(E622="TARJETA / CHEQUE", 3%, IF(OR(E622="FINANCIADO", E622="MCP"), 2.5%, "")))</f>
        <v/>
      </c>
      <c r="G622" s="122" t="str">
        <f aca="false">IF(F622="", "", F622*D622)</f>
        <v/>
      </c>
      <c r="H622" s="131" t="b">
        <f aca="false">FALSE()</f>
        <v>0</v>
      </c>
      <c r="I622" s="131" t="b">
        <f aca="false">FALSE()</f>
        <v>0</v>
      </c>
      <c r="J622" s="130"/>
      <c r="K622" s="110"/>
      <c r="L622" s="83"/>
      <c r="M622" s="103"/>
      <c r="N622" s="103"/>
      <c r="O622" s="103"/>
      <c r="P622" s="103"/>
      <c r="Q622" s="103"/>
      <c r="R622" s="83"/>
      <c r="S622" s="103"/>
      <c r="T622" s="103"/>
      <c r="U622" s="103"/>
    </row>
    <row r="623" customFormat="false" ht="22.5" hidden="false" customHeight="true" outlineLevel="0" collapsed="false">
      <c r="A623" s="99"/>
      <c r="B623" s="99"/>
      <c r="C623" s="99"/>
      <c r="D623" s="121"/>
      <c r="E623" s="99"/>
      <c r="F623" s="124" t="str">
        <f aca="false">IF(E623="CONTADO", 4%, IF(E623="TARJETA / CHEQUE", 3%, IF(OR(E623="FINANCIADO", E623="MCP"), 2.5%, "")))</f>
        <v/>
      </c>
      <c r="G623" s="121" t="str">
        <f aca="false">IF(F623="", "", F623*D623)</f>
        <v/>
      </c>
      <c r="H623" s="132" t="b">
        <f aca="false">FALSE()</f>
        <v>0</v>
      </c>
      <c r="I623" s="132" t="b">
        <f aca="false">FALSE()</f>
        <v>0</v>
      </c>
      <c r="J623" s="126"/>
      <c r="K623" s="99"/>
      <c r="L623" s="83"/>
      <c r="M623" s="103"/>
      <c r="N623" s="103"/>
      <c r="O623" s="103"/>
      <c r="P623" s="103"/>
      <c r="Q623" s="103"/>
      <c r="R623" s="83"/>
      <c r="S623" s="103"/>
      <c r="T623" s="103"/>
      <c r="U623" s="103"/>
    </row>
    <row r="624" customFormat="false" ht="22.5" hidden="false" customHeight="true" outlineLevel="0" collapsed="false">
      <c r="A624" s="110"/>
      <c r="B624" s="110"/>
      <c r="C624" s="110"/>
      <c r="D624" s="122"/>
      <c r="E624" s="110"/>
      <c r="F624" s="128" t="str">
        <f aca="false">IF(E624="CONTADO", 4%, IF(E624="TARJETA / CHEQUE", 3%, IF(OR(E624="FINANCIADO", E624="MCP"), 2.5%, "")))</f>
        <v/>
      </c>
      <c r="G624" s="122" t="str">
        <f aca="false">IF(F624="", "", F624*D624)</f>
        <v/>
      </c>
      <c r="H624" s="131" t="b">
        <f aca="false">FALSE()</f>
        <v>0</v>
      </c>
      <c r="I624" s="131" t="b">
        <f aca="false">FALSE()</f>
        <v>0</v>
      </c>
      <c r="J624" s="130"/>
      <c r="K624" s="110"/>
      <c r="L624" s="83"/>
      <c r="M624" s="103"/>
      <c r="N624" s="103"/>
      <c r="O624" s="103"/>
      <c r="P624" s="103"/>
      <c r="Q624" s="103"/>
      <c r="R624" s="83"/>
      <c r="S624" s="103"/>
      <c r="T624" s="103"/>
      <c r="U624" s="103"/>
    </row>
    <row r="625" customFormat="false" ht="22.5" hidden="false" customHeight="true" outlineLevel="0" collapsed="false">
      <c r="A625" s="99"/>
      <c r="B625" s="99"/>
      <c r="C625" s="99"/>
      <c r="D625" s="121"/>
      <c r="E625" s="99"/>
      <c r="F625" s="124" t="str">
        <f aca="false">IF(E625="CONTADO", 4%, IF(E625="TARJETA / CHEQUE", 3%, IF(OR(E625="FINANCIADO", E625="MCP"), 2.5%, "")))</f>
        <v/>
      </c>
      <c r="G625" s="121" t="str">
        <f aca="false">IF(F625="", "", F625*D625)</f>
        <v/>
      </c>
      <c r="H625" s="132" t="b">
        <f aca="false">FALSE()</f>
        <v>0</v>
      </c>
      <c r="I625" s="132" t="b">
        <f aca="false">FALSE()</f>
        <v>0</v>
      </c>
      <c r="J625" s="126"/>
      <c r="K625" s="99"/>
      <c r="L625" s="83"/>
      <c r="M625" s="103"/>
      <c r="N625" s="103"/>
      <c r="O625" s="103"/>
      <c r="P625" s="103"/>
      <c r="Q625" s="103"/>
      <c r="R625" s="83"/>
      <c r="S625" s="103"/>
      <c r="T625" s="103"/>
      <c r="U625" s="103"/>
    </row>
    <row r="626" customFormat="false" ht="22.5" hidden="false" customHeight="true" outlineLevel="0" collapsed="false">
      <c r="A626" s="110"/>
      <c r="B626" s="110"/>
      <c r="C626" s="110"/>
      <c r="D626" s="122"/>
      <c r="E626" s="110"/>
      <c r="F626" s="128" t="str">
        <f aca="false">IF(E626="CONTADO", 4%, IF(E626="TARJETA / CHEQUE", 3%, IF(OR(E626="FINANCIADO", E626="MCP"), 2.5%, "")))</f>
        <v/>
      </c>
      <c r="G626" s="122" t="str">
        <f aca="false">IF(F626="", "", F626*D626)</f>
        <v/>
      </c>
      <c r="H626" s="131" t="b">
        <f aca="false">FALSE()</f>
        <v>0</v>
      </c>
      <c r="I626" s="131" t="b">
        <f aca="false">FALSE()</f>
        <v>0</v>
      </c>
      <c r="J626" s="130"/>
      <c r="K626" s="110"/>
      <c r="L626" s="83"/>
      <c r="M626" s="103"/>
      <c r="N626" s="103"/>
      <c r="O626" s="103"/>
      <c r="P626" s="103"/>
      <c r="Q626" s="103"/>
      <c r="R626" s="83"/>
      <c r="S626" s="103"/>
      <c r="T626" s="103"/>
      <c r="U626" s="103"/>
    </row>
    <row r="627" customFormat="false" ht="22.5" hidden="false" customHeight="true" outlineLevel="0" collapsed="false">
      <c r="A627" s="99"/>
      <c r="B627" s="99"/>
      <c r="C627" s="99"/>
      <c r="D627" s="121"/>
      <c r="E627" s="99"/>
      <c r="F627" s="124" t="str">
        <f aca="false">IF(E627="CONTADO", 4%, IF(E627="TARJETA / CHEQUE", 3%, IF(OR(E627="FINANCIADO", E627="MCP"), 2.5%, "")))</f>
        <v/>
      </c>
      <c r="G627" s="121" t="str">
        <f aca="false">IF(F627="", "", F627*D627)</f>
        <v/>
      </c>
      <c r="H627" s="132" t="b">
        <f aca="false">FALSE()</f>
        <v>0</v>
      </c>
      <c r="I627" s="132" t="b">
        <f aca="false">FALSE()</f>
        <v>0</v>
      </c>
      <c r="J627" s="126"/>
      <c r="K627" s="99"/>
      <c r="L627" s="83"/>
      <c r="M627" s="103"/>
      <c r="N627" s="103"/>
      <c r="O627" s="103"/>
      <c r="P627" s="103"/>
      <c r="Q627" s="103"/>
      <c r="R627" s="83"/>
      <c r="S627" s="103"/>
      <c r="T627" s="103"/>
      <c r="U627" s="103"/>
    </row>
    <row r="628" customFormat="false" ht="22.5" hidden="false" customHeight="true" outlineLevel="0" collapsed="false">
      <c r="A628" s="110"/>
      <c r="B628" s="110"/>
      <c r="C628" s="110"/>
      <c r="D628" s="122"/>
      <c r="E628" s="110"/>
      <c r="F628" s="128" t="str">
        <f aca="false">IF(E628="CONTADO", 4%, IF(E628="TARJETA / CHEQUE", 3%, IF(OR(E628="FINANCIADO", E628="MCP"), 2.5%, "")))</f>
        <v/>
      </c>
      <c r="G628" s="122" t="str">
        <f aca="false">IF(F628="", "", F628*D628)</f>
        <v/>
      </c>
      <c r="H628" s="131" t="b">
        <f aca="false">FALSE()</f>
        <v>0</v>
      </c>
      <c r="I628" s="131" t="b">
        <f aca="false">FALSE()</f>
        <v>0</v>
      </c>
      <c r="J628" s="130"/>
      <c r="K628" s="110"/>
      <c r="L628" s="83"/>
      <c r="M628" s="103"/>
      <c r="N628" s="103"/>
      <c r="O628" s="103"/>
      <c r="P628" s="103"/>
      <c r="Q628" s="103"/>
      <c r="R628" s="83"/>
      <c r="S628" s="103"/>
      <c r="T628" s="103"/>
      <c r="U628" s="103"/>
    </row>
    <row r="629" customFormat="false" ht="22.5" hidden="false" customHeight="true" outlineLevel="0" collapsed="false">
      <c r="A629" s="99"/>
      <c r="B629" s="99"/>
      <c r="C629" s="99"/>
      <c r="D629" s="121"/>
      <c r="E629" s="99"/>
      <c r="F629" s="124" t="str">
        <f aca="false">IF(E629="CONTADO", 4%, IF(E629="TARJETA / CHEQUE", 3%, IF(OR(E629="FINANCIADO", E629="MCP"), 2.5%, "")))</f>
        <v/>
      </c>
      <c r="G629" s="121" t="str">
        <f aca="false">IF(F629="", "", F629*D629)</f>
        <v/>
      </c>
      <c r="H629" s="132" t="b">
        <f aca="false">FALSE()</f>
        <v>0</v>
      </c>
      <c r="I629" s="132" t="b">
        <f aca="false">FALSE()</f>
        <v>0</v>
      </c>
      <c r="J629" s="126"/>
      <c r="K629" s="99"/>
      <c r="L629" s="83"/>
      <c r="M629" s="103"/>
      <c r="N629" s="103"/>
      <c r="O629" s="103"/>
      <c r="P629" s="103"/>
      <c r="Q629" s="103"/>
      <c r="R629" s="83"/>
      <c r="S629" s="103"/>
      <c r="T629" s="103"/>
      <c r="U629" s="103"/>
    </row>
    <row r="630" customFormat="false" ht="22.5" hidden="false" customHeight="true" outlineLevel="0" collapsed="false">
      <c r="A630" s="110"/>
      <c r="B630" s="110"/>
      <c r="C630" s="110"/>
      <c r="D630" s="122"/>
      <c r="E630" s="110"/>
      <c r="F630" s="128" t="str">
        <f aca="false">IF(E630="CONTADO", 4%, IF(E630="TARJETA / CHEQUE", 3%, IF(OR(E630="FINANCIADO", E630="MCP"), 2.5%, "")))</f>
        <v/>
      </c>
      <c r="G630" s="122" t="str">
        <f aca="false">IF(F630="", "", F630*D630)</f>
        <v/>
      </c>
      <c r="H630" s="131" t="b">
        <f aca="false">FALSE()</f>
        <v>0</v>
      </c>
      <c r="I630" s="131" t="b">
        <f aca="false">FALSE()</f>
        <v>0</v>
      </c>
      <c r="J630" s="130"/>
      <c r="K630" s="110"/>
      <c r="L630" s="83"/>
      <c r="M630" s="103"/>
      <c r="N630" s="103"/>
      <c r="O630" s="103"/>
      <c r="P630" s="103"/>
      <c r="Q630" s="103"/>
      <c r="R630" s="83"/>
      <c r="S630" s="103"/>
      <c r="T630" s="103"/>
      <c r="U630" s="103"/>
    </row>
    <row r="631" customFormat="false" ht="22.5" hidden="false" customHeight="true" outlineLevel="0" collapsed="false">
      <c r="A631" s="99"/>
      <c r="B631" s="99"/>
      <c r="C631" s="99"/>
      <c r="D631" s="121"/>
      <c r="E631" s="99"/>
      <c r="F631" s="124" t="str">
        <f aca="false">IF(E631="CONTADO", 4%, IF(E631="TARJETA / CHEQUE", 3%, IF(OR(E631="FINANCIADO", E631="MCP"), 2.5%, "")))</f>
        <v/>
      </c>
      <c r="G631" s="121" t="str">
        <f aca="false">IF(F631="", "", F631*D631)</f>
        <v/>
      </c>
      <c r="H631" s="132" t="b">
        <f aca="false">FALSE()</f>
        <v>0</v>
      </c>
      <c r="I631" s="132" t="b">
        <f aca="false">FALSE()</f>
        <v>0</v>
      </c>
      <c r="J631" s="126"/>
      <c r="K631" s="99"/>
      <c r="L631" s="83"/>
      <c r="M631" s="103"/>
      <c r="N631" s="103"/>
      <c r="O631" s="103"/>
      <c r="P631" s="103"/>
      <c r="Q631" s="103"/>
      <c r="R631" s="83"/>
      <c r="S631" s="103"/>
      <c r="T631" s="103"/>
      <c r="U631" s="103"/>
    </row>
    <row r="632" customFormat="false" ht="22.5" hidden="false" customHeight="true" outlineLevel="0" collapsed="false">
      <c r="A632" s="110"/>
      <c r="B632" s="110"/>
      <c r="C632" s="110"/>
      <c r="D632" s="122"/>
      <c r="E632" s="110"/>
      <c r="F632" s="128" t="str">
        <f aca="false">IF(E632="CONTADO", 4%, IF(E632="TARJETA / CHEQUE", 3%, IF(OR(E632="FINANCIADO", E632="MCP"), 2.5%, "")))</f>
        <v/>
      </c>
      <c r="G632" s="122" t="str">
        <f aca="false">IF(F632="", "", F632*D632)</f>
        <v/>
      </c>
      <c r="H632" s="131" t="b">
        <f aca="false">FALSE()</f>
        <v>0</v>
      </c>
      <c r="I632" s="131" t="b">
        <f aca="false">FALSE()</f>
        <v>0</v>
      </c>
      <c r="J632" s="130"/>
      <c r="K632" s="110"/>
      <c r="L632" s="83"/>
      <c r="M632" s="103"/>
      <c r="N632" s="103"/>
      <c r="O632" s="103"/>
      <c r="P632" s="103"/>
      <c r="Q632" s="103"/>
      <c r="R632" s="83"/>
      <c r="S632" s="103"/>
      <c r="T632" s="103"/>
      <c r="U632" s="103"/>
    </row>
    <row r="633" customFormat="false" ht="22.5" hidden="false" customHeight="true" outlineLevel="0" collapsed="false">
      <c r="A633" s="99"/>
      <c r="B633" s="99"/>
      <c r="C633" s="99"/>
      <c r="D633" s="121"/>
      <c r="E633" s="99"/>
      <c r="F633" s="124" t="str">
        <f aca="false">IF(E633="CONTADO", 4%, IF(E633="TARJETA / CHEQUE", 3%, IF(OR(E633="FINANCIADO", E633="MCP"), 2.5%, "")))</f>
        <v/>
      </c>
      <c r="G633" s="121" t="str">
        <f aca="false">IF(F633="", "", F633*D633)</f>
        <v/>
      </c>
      <c r="H633" s="132" t="b">
        <f aca="false">FALSE()</f>
        <v>0</v>
      </c>
      <c r="I633" s="132" t="b">
        <f aca="false">FALSE()</f>
        <v>0</v>
      </c>
      <c r="J633" s="126"/>
      <c r="K633" s="99"/>
      <c r="L633" s="83"/>
      <c r="M633" s="103"/>
      <c r="N633" s="103"/>
      <c r="O633" s="103"/>
      <c r="P633" s="103"/>
      <c r="Q633" s="103"/>
      <c r="R633" s="83"/>
      <c r="S633" s="103"/>
      <c r="T633" s="103"/>
      <c r="U633" s="103"/>
    </row>
    <row r="634" customFormat="false" ht="22.5" hidden="false" customHeight="true" outlineLevel="0" collapsed="false">
      <c r="A634" s="110"/>
      <c r="B634" s="110"/>
      <c r="C634" s="110"/>
      <c r="D634" s="122"/>
      <c r="E634" s="110"/>
      <c r="F634" s="128" t="str">
        <f aca="false">IF(E634="CONTADO", 4%, IF(E634="TARJETA / CHEQUE", 3%, IF(OR(E634="FINANCIADO", E634="MCP"), 2.5%, "")))</f>
        <v/>
      </c>
      <c r="G634" s="122" t="str">
        <f aca="false">IF(F634="", "", F634*D634)</f>
        <v/>
      </c>
      <c r="H634" s="131" t="b">
        <f aca="false">FALSE()</f>
        <v>0</v>
      </c>
      <c r="I634" s="131" t="b">
        <f aca="false">FALSE()</f>
        <v>0</v>
      </c>
      <c r="J634" s="130"/>
      <c r="K634" s="110"/>
      <c r="L634" s="83"/>
      <c r="M634" s="103"/>
      <c r="N634" s="103"/>
      <c r="O634" s="103"/>
      <c r="P634" s="103"/>
      <c r="Q634" s="103"/>
      <c r="R634" s="83"/>
      <c r="S634" s="103"/>
      <c r="T634" s="103"/>
      <c r="U634" s="103"/>
    </row>
    <row r="635" customFormat="false" ht="22.5" hidden="false" customHeight="true" outlineLevel="0" collapsed="false">
      <c r="A635" s="99"/>
      <c r="B635" s="99"/>
      <c r="C635" s="99"/>
      <c r="D635" s="121"/>
      <c r="E635" s="99"/>
      <c r="F635" s="124" t="str">
        <f aca="false">IF(E635="CONTADO", 4%, IF(E635="TARJETA / CHEQUE", 3%, IF(OR(E635="FINANCIADO", E635="MCP"), 2.5%, "")))</f>
        <v/>
      </c>
      <c r="G635" s="121" t="str">
        <f aca="false">IF(F635="", "", F635*D635)</f>
        <v/>
      </c>
      <c r="H635" s="132" t="b">
        <f aca="false">FALSE()</f>
        <v>0</v>
      </c>
      <c r="I635" s="132" t="b">
        <f aca="false">FALSE()</f>
        <v>0</v>
      </c>
      <c r="J635" s="126"/>
      <c r="K635" s="99"/>
      <c r="L635" s="83"/>
      <c r="M635" s="103"/>
      <c r="N635" s="103"/>
      <c r="O635" s="103"/>
      <c r="P635" s="103"/>
      <c r="Q635" s="103"/>
      <c r="R635" s="83"/>
      <c r="S635" s="103"/>
      <c r="T635" s="103"/>
      <c r="U635" s="103"/>
    </row>
    <row r="636" customFormat="false" ht="22.5" hidden="false" customHeight="true" outlineLevel="0" collapsed="false">
      <c r="A636" s="110"/>
      <c r="B636" s="110"/>
      <c r="C636" s="110"/>
      <c r="D636" s="122"/>
      <c r="E636" s="110"/>
      <c r="F636" s="128" t="str">
        <f aca="false">IF(E636="CONTADO", 4%, IF(E636="TARJETA / CHEQUE", 3%, IF(OR(E636="FINANCIADO", E636="MCP"), 2.5%, "")))</f>
        <v/>
      </c>
      <c r="G636" s="122" t="str">
        <f aca="false">IF(F636="", "", F636*D636)</f>
        <v/>
      </c>
      <c r="H636" s="131" t="b">
        <f aca="false">FALSE()</f>
        <v>0</v>
      </c>
      <c r="I636" s="131" t="b">
        <f aca="false">FALSE()</f>
        <v>0</v>
      </c>
      <c r="J636" s="130"/>
      <c r="K636" s="110"/>
      <c r="L636" s="83"/>
      <c r="M636" s="103"/>
      <c r="N636" s="103"/>
      <c r="O636" s="103"/>
      <c r="P636" s="103"/>
      <c r="Q636" s="103"/>
      <c r="R636" s="83"/>
      <c r="S636" s="103"/>
      <c r="T636" s="103"/>
      <c r="U636" s="103"/>
    </row>
    <row r="637" customFormat="false" ht="22.5" hidden="false" customHeight="true" outlineLevel="0" collapsed="false">
      <c r="A637" s="99"/>
      <c r="B637" s="99"/>
      <c r="C637" s="99"/>
      <c r="D637" s="121"/>
      <c r="E637" s="99"/>
      <c r="F637" s="124" t="str">
        <f aca="false">IF(E637="CONTADO", 4%, IF(E637="TARJETA / CHEQUE", 3%, IF(OR(E637="FINANCIADO", E637="MCP"), 2.5%, "")))</f>
        <v/>
      </c>
      <c r="G637" s="121" t="str">
        <f aca="false">IF(F637="", "", F637*D637)</f>
        <v/>
      </c>
      <c r="H637" s="132" t="b">
        <f aca="false">FALSE()</f>
        <v>0</v>
      </c>
      <c r="I637" s="132" t="b">
        <f aca="false">FALSE()</f>
        <v>0</v>
      </c>
      <c r="J637" s="126"/>
      <c r="K637" s="99"/>
      <c r="L637" s="83"/>
      <c r="M637" s="103"/>
      <c r="N637" s="103"/>
      <c r="O637" s="103"/>
      <c r="P637" s="103"/>
      <c r="Q637" s="103"/>
      <c r="R637" s="83"/>
      <c r="S637" s="103"/>
      <c r="T637" s="103"/>
      <c r="U637" s="103"/>
    </row>
    <row r="638" customFormat="false" ht="22.5" hidden="false" customHeight="true" outlineLevel="0" collapsed="false">
      <c r="A638" s="110"/>
      <c r="B638" s="110"/>
      <c r="C638" s="110"/>
      <c r="D638" s="122"/>
      <c r="E638" s="110"/>
      <c r="F638" s="128" t="str">
        <f aca="false">IF(E638="CONTADO", 4%, IF(E638="TARJETA / CHEQUE", 3%, IF(OR(E638="FINANCIADO", E638="MCP"), 2.5%, "")))</f>
        <v/>
      </c>
      <c r="G638" s="122" t="str">
        <f aca="false">IF(F638="", "", F638*D638)</f>
        <v/>
      </c>
      <c r="H638" s="131" t="b">
        <f aca="false">FALSE()</f>
        <v>0</v>
      </c>
      <c r="I638" s="131" t="b">
        <f aca="false">FALSE()</f>
        <v>0</v>
      </c>
      <c r="J638" s="130"/>
      <c r="K638" s="110"/>
      <c r="L638" s="83"/>
      <c r="M638" s="103"/>
      <c r="N638" s="103"/>
      <c r="O638" s="103"/>
      <c r="P638" s="103"/>
      <c r="Q638" s="103"/>
      <c r="R638" s="83"/>
      <c r="S638" s="103"/>
      <c r="T638" s="103"/>
      <c r="U638" s="103"/>
    </row>
    <row r="639" customFormat="false" ht="22.5" hidden="false" customHeight="true" outlineLevel="0" collapsed="false">
      <c r="A639" s="99"/>
      <c r="B639" s="99"/>
      <c r="C639" s="99"/>
      <c r="D639" s="121"/>
      <c r="E639" s="99"/>
      <c r="F639" s="124" t="str">
        <f aca="false">IF(E639="CONTADO", 4%, IF(E639="TARJETA / CHEQUE", 3%, IF(OR(E639="FINANCIADO", E639="MCP"), 2.5%, "")))</f>
        <v/>
      </c>
      <c r="G639" s="121" t="str">
        <f aca="false">IF(F639="", "", F639*D639)</f>
        <v/>
      </c>
      <c r="H639" s="132" t="b">
        <f aca="false">FALSE()</f>
        <v>0</v>
      </c>
      <c r="I639" s="132" t="b">
        <f aca="false">FALSE()</f>
        <v>0</v>
      </c>
      <c r="J639" s="126"/>
      <c r="K639" s="99"/>
      <c r="L639" s="83"/>
      <c r="M639" s="103"/>
      <c r="N639" s="103"/>
      <c r="O639" s="103"/>
      <c r="P639" s="103"/>
      <c r="Q639" s="103"/>
      <c r="R639" s="83"/>
      <c r="S639" s="103"/>
      <c r="T639" s="103"/>
      <c r="U639" s="103"/>
    </row>
    <row r="640" customFormat="false" ht="22.5" hidden="false" customHeight="true" outlineLevel="0" collapsed="false">
      <c r="A640" s="110"/>
      <c r="B640" s="110"/>
      <c r="C640" s="110"/>
      <c r="D640" s="122"/>
      <c r="E640" s="110"/>
      <c r="F640" s="128" t="str">
        <f aca="false">IF(E640="CONTADO", 4%, IF(E640="TARJETA / CHEQUE", 3%, IF(OR(E640="FINANCIADO", E640="MCP"), 2.5%, "")))</f>
        <v/>
      </c>
      <c r="G640" s="122" t="str">
        <f aca="false">IF(F640="", "", F640*D640)</f>
        <v/>
      </c>
      <c r="H640" s="131" t="b">
        <f aca="false">FALSE()</f>
        <v>0</v>
      </c>
      <c r="I640" s="131" t="b">
        <f aca="false">FALSE()</f>
        <v>0</v>
      </c>
      <c r="J640" s="130"/>
      <c r="K640" s="110"/>
      <c r="L640" s="83"/>
      <c r="M640" s="103"/>
      <c r="N640" s="103"/>
      <c r="O640" s="103"/>
      <c r="P640" s="103"/>
      <c r="Q640" s="103"/>
      <c r="R640" s="83"/>
      <c r="S640" s="103"/>
      <c r="T640" s="103"/>
      <c r="U640" s="103"/>
    </row>
    <row r="641" customFormat="false" ht="22.5" hidden="false" customHeight="true" outlineLevel="0" collapsed="false">
      <c r="A641" s="99"/>
      <c r="B641" s="99"/>
      <c r="C641" s="99"/>
      <c r="D641" s="121"/>
      <c r="E641" s="99"/>
      <c r="F641" s="124" t="str">
        <f aca="false">IF(E641="CONTADO", 4%, IF(E641="TARJETA / CHEQUE", 3%, IF(OR(E641="FINANCIADO", E641="MCP"), 2.5%, "")))</f>
        <v/>
      </c>
      <c r="G641" s="121" t="str">
        <f aca="false">IF(F641="", "", F641*D641)</f>
        <v/>
      </c>
      <c r="H641" s="132" t="b">
        <f aca="false">FALSE()</f>
        <v>0</v>
      </c>
      <c r="I641" s="132" t="b">
        <f aca="false">FALSE()</f>
        <v>0</v>
      </c>
      <c r="J641" s="126"/>
      <c r="K641" s="99"/>
      <c r="L641" s="83"/>
      <c r="M641" s="103"/>
      <c r="N641" s="103"/>
      <c r="O641" s="103"/>
      <c r="P641" s="103"/>
      <c r="Q641" s="103"/>
      <c r="R641" s="83"/>
      <c r="S641" s="103"/>
      <c r="T641" s="103"/>
      <c r="U641" s="103"/>
    </row>
    <row r="642" customFormat="false" ht="22.5" hidden="false" customHeight="true" outlineLevel="0" collapsed="false">
      <c r="A642" s="110"/>
      <c r="B642" s="110"/>
      <c r="C642" s="110"/>
      <c r="D642" s="122"/>
      <c r="E642" s="110"/>
      <c r="F642" s="128" t="str">
        <f aca="false">IF(E642="CONTADO", 4%, IF(E642="TARJETA / CHEQUE", 3%, IF(OR(E642="FINANCIADO", E642="MCP"), 2.5%, "")))</f>
        <v/>
      </c>
      <c r="G642" s="122" t="str">
        <f aca="false">IF(F642="", "", F642*D642)</f>
        <v/>
      </c>
      <c r="H642" s="131" t="b">
        <f aca="false">FALSE()</f>
        <v>0</v>
      </c>
      <c r="I642" s="131" t="b">
        <f aca="false">FALSE()</f>
        <v>0</v>
      </c>
      <c r="J642" s="130"/>
      <c r="K642" s="110"/>
      <c r="L642" s="83"/>
      <c r="M642" s="103"/>
      <c r="N642" s="103"/>
      <c r="O642" s="103"/>
      <c r="P642" s="103"/>
      <c r="Q642" s="103"/>
      <c r="R642" s="83"/>
      <c r="S642" s="103"/>
      <c r="T642" s="103"/>
      <c r="U642" s="103"/>
    </row>
    <row r="643" customFormat="false" ht="22.5" hidden="false" customHeight="true" outlineLevel="0" collapsed="false">
      <c r="A643" s="99"/>
      <c r="B643" s="99"/>
      <c r="C643" s="99"/>
      <c r="D643" s="121"/>
      <c r="E643" s="99"/>
      <c r="F643" s="124" t="str">
        <f aca="false">IF(E643="CONTADO", 4%, IF(E643="TARJETA / CHEQUE", 3%, IF(OR(E643="FINANCIADO", E643="MCP"), 2.5%, "")))</f>
        <v/>
      </c>
      <c r="G643" s="121" t="str">
        <f aca="false">IF(F643="", "", F643*D643)</f>
        <v/>
      </c>
      <c r="H643" s="132" t="b">
        <f aca="false">FALSE()</f>
        <v>0</v>
      </c>
      <c r="I643" s="132" t="b">
        <f aca="false">FALSE()</f>
        <v>0</v>
      </c>
      <c r="J643" s="126"/>
      <c r="K643" s="99"/>
      <c r="L643" s="83"/>
      <c r="M643" s="103"/>
      <c r="N643" s="103"/>
      <c r="O643" s="103"/>
      <c r="P643" s="103"/>
      <c r="Q643" s="103"/>
      <c r="R643" s="83"/>
      <c r="S643" s="103"/>
      <c r="T643" s="103"/>
      <c r="U643" s="103"/>
    </row>
    <row r="644" customFormat="false" ht="22.5" hidden="false" customHeight="true" outlineLevel="0" collapsed="false">
      <c r="A644" s="110"/>
      <c r="B644" s="110"/>
      <c r="C644" s="110"/>
      <c r="D644" s="122"/>
      <c r="E644" s="110"/>
      <c r="F644" s="128" t="str">
        <f aca="false">IF(E644="CONTADO", 4%, IF(E644="TARJETA / CHEQUE", 3%, IF(OR(E644="FINANCIADO", E644="MCP"), 2.5%, "")))</f>
        <v/>
      </c>
      <c r="G644" s="122" t="str">
        <f aca="false">IF(F644="", "", F644*D644)</f>
        <v/>
      </c>
      <c r="H644" s="131" t="b">
        <f aca="false">FALSE()</f>
        <v>0</v>
      </c>
      <c r="I644" s="131" t="b">
        <f aca="false">FALSE()</f>
        <v>0</v>
      </c>
      <c r="J644" s="130"/>
      <c r="K644" s="110"/>
      <c r="L644" s="83"/>
      <c r="M644" s="103"/>
      <c r="N644" s="103"/>
      <c r="O644" s="103"/>
      <c r="P644" s="103"/>
      <c r="Q644" s="103"/>
      <c r="R644" s="83"/>
      <c r="S644" s="103"/>
      <c r="T644" s="103"/>
      <c r="U644" s="103"/>
    </row>
    <row r="645" customFormat="false" ht="22.5" hidden="false" customHeight="true" outlineLevel="0" collapsed="false">
      <c r="A645" s="99"/>
      <c r="B645" s="99"/>
      <c r="C645" s="99"/>
      <c r="D645" s="121"/>
      <c r="E645" s="99"/>
      <c r="F645" s="124" t="str">
        <f aca="false">IF(E645="CONTADO", 4%, IF(E645="TARJETA / CHEQUE", 3%, IF(OR(E645="FINANCIADO", E645="MCP"), 2.5%, "")))</f>
        <v/>
      </c>
      <c r="G645" s="121" t="str">
        <f aca="false">IF(F645="", "", F645*D645)</f>
        <v/>
      </c>
      <c r="H645" s="132" t="b">
        <f aca="false">FALSE()</f>
        <v>0</v>
      </c>
      <c r="I645" s="132" t="b">
        <f aca="false">FALSE()</f>
        <v>0</v>
      </c>
      <c r="J645" s="126"/>
      <c r="K645" s="99"/>
      <c r="L645" s="83"/>
      <c r="M645" s="103"/>
      <c r="N645" s="103"/>
      <c r="O645" s="103"/>
      <c r="P645" s="103"/>
      <c r="Q645" s="103"/>
      <c r="R645" s="83"/>
      <c r="S645" s="103"/>
      <c r="T645" s="103"/>
      <c r="U645" s="103"/>
    </row>
    <row r="646" customFormat="false" ht="22.5" hidden="false" customHeight="true" outlineLevel="0" collapsed="false">
      <c r="A646" s="110"/>
      <c r="B646" s="110"/>
      <c r="C646" s="110"/>
      <c r="D646" s="122"/>
      <c r="E646" s="110"/>
      <c r="F646" s="128" t="str">
        <f aca="false">IF(E646="CONTADO", 4%, IF(E646="TARJETA / CHEQUE", 3%, IF(OR(E646="FINANCIADO", E646="MCP"), 2.5%, "")))</f>
        <v/>
      </c>
      <c r="G646" s="122" t="str">
        <f aca="false">IF(F646="", "", F646*D646)</f>
        <v/>
      </c>
      <c r="H646" s="131" t="b">
        <f aca="false">FALSE()</f>
        <v>0</v>
      </c>
      <c r="I646" s="131" t="b">
        <f aca="false">FALSE()</f>
        <v>0</v>
      </c>
      <c r="J646" s="130"/>
      <c r="K646" s="110"/>
      <c r="L646" s="83"/>
      <c r="M646" s="103"/>
      <c r="N646" s="103"/>
      <c r="O646" s="103"/>
      <c r="P646" s="103"/>
      <c r="Q646" s="103"/>
      <c r="R646" s="83"/>
      <c r="S646" s="103"/>
      <c r="T646" s="103"/>
      <c r="U646" s="103"/>
    </row>
    <row r="647" customFormat="false" ht="22.5" hidden="false" customHeight="true" outlineLevel="0" collapsed="false">
      <c r="A647" s="99"/>
      <c r="B647" s="99"/>
      <c r="C647" s="99"/>
      <c r="D647" s="121"/>
      <c r="E647" s="99"/>
      <c r="F647" s="124" t="str">
        <f aca="false">IF(E647="CONTADO", 4%, IF(E647="TARJETA / CHEQUE", 3%, IF(OR(E647="FINANCIADO", E647="MCP"), 2.5%, "")))</f>
        <v/>
      </c>
      <c r="G647" s="121" t="str">
        <f aca="false">IF(F647="", "", F647*D647)</f>
        <v/>
      </c>
      <c r="H647" s="132" t="b">
        <f aca="false">FALSE()</f>
        <v>0</v>
      </c>
      <c r="I647" s="132" t="b">
        <f aca="false">FALSE()</f>
        <v>0</v>
      </c>
      <c r="J647" s="126"/>
      <c r="K647" s="99"/>
      <c r="L647" s="83"/>
      <c r="M647" s="103"/>
      <c r="N647" s="103"/>
      <c r="O647" s="103"/>
      <c r="P647" s="103"/>
      <c r="Q647" s="103"/>
      <c r="R647" s="83"/>
      <c r="S647" s="103"/>
      <c r="T647" s="103"/>
      <c r="U647" s="103"/>
    </row>
    <row r="648" customFormat="false" ht="22.5" hidden="false" customHeight="true" outlineLevel="0" collapsed="false">
      <c r="A648" s="110"/>
      <c r="B648" s="110"/>
      <c r="C648" s="110"/>
      <c r="D648" s="122"/>
      <c r="E648" s="110"/>
      <c r="F648" s="128" t="str">
        <f aca="false">IF(E648="CONTADO", 4%, IF(E648="TARJETA / CHEQUE", 3%, IF(OR(E648="FINANCIADO", E648="MCP"), 2.5%, "")))</f>
        <v/>
      </c>
      <c r="G648" s="122" t="str">
        <f aca="false">IF(F648="", "", F648*D648)</f>
        <v/>
      </c>
      <c r="H648" s="131" t="b">
        <f aca="false">FALSE()</f>
        <v>0</v>
      </c>
      <c r="I648" s="131" t="b">
        <f aca="false">FALSE()</f>
        <v>0</v>
      </c>
      <c r="J648" s="130"/>
      <c r="K648" s="110"/>
      <c r="L648" s="83"/>
      <c r="M648" s="103"/>
      <c r="N648" s="103"/>
      <c r="O648" s="103"/>
      <c r="P648" s="103"/>
      <c r="Q648" s="103"/>
      <c r="R648" s="83"/>
      <c r="S648" s="103"/>
      <c r="T648" s="103"/>
      <c r="U648" s="103"/>
    </row>
    <row r="649" customFormat="false" ht="22.5" hidden="false" customHeight="true" outlineLevel="0" collapsed="false">
      <c r="A649" s="99"/>
      <c r="B649" s="99"/>
      <c r="C649" s="99"/>
      <c r="D649" s="121"/>
      <c r="E649" s="99"/>
      <c r="F649" s="124" t="str">
        <f aca="false">IF(E649="CONTADO", 4%, IF(E649="TARJETA / CHEQUE", 3%, IF(OR(E649="FINANCIADO", E649="MCP"), 2.5%, "")))</f>
        <v/>
      </c>
      <c r="G649" s="121" t="str">
        <f aca="false">IF(F649="", "", F649*D649)</f>
        <v/>
      </c>
      <c r="H649" s="132" t="b">
        <f aca="false">FALSE()</f>
        <v>0</v>
      </c>
      <c r="I649" s="132" t="b">
        <f aca="false">FALSE()</f>
        <v>0</v>
      </c>
      <c r="J649" s="126"/>
      <c r="K649" s="99"/>
      <c r="L649" s="83"/>
      <c r="M649" s="103"/>
      <c r="N649" s="103"/>
      <c r="O649" s="103"/>
      <c r="P649" s="103"/>
      <c r="Q649" s="103"/>
      <c r="R649" s="83"/>
      <c r="S649" s="103"/>
      <c r="T649" s="103"/>
      <c r="U649" s="103"/>
    </row>
    <row r="650" customFormat="false" ht="22.5" hidden="false" customHeight="true" outlineLevel="0" collapsed="false">
      <c r="A650" s="110"/>
      <c r="B650" s="110"/>
      <c r="C650" s="110"/>
      <c r="D650" s="122"/>
      <c r="E650" s="110"/>
      <c r="F650" s="128" t="str">
        <f aca="false">IF(E650="CONTADO", 4%, IF(E650="TARJETA / CHEQUE", 3%, IF(OR(E650="FINANCIADO", E650="MCP"), 2.5%, "")))</f>
        <v/>
      </c>
      <c r="G650" s="122" t="str">
        <f aca="false">IF(F650="", "", F650*D650)</f>
        <v/>
      </c>
      <c r="H650" s="131" t="b">
        <f aca="false">FALSE()</f>
        <v>0</v>
      </c>
      <c r="I650" s="131" t="b">
        <f aca="false">FALSE()</f>
        <v>0</v>
      </c>
      <c r="J650" s="130"/>
      <c r="K650" s="110"/>
      <c r="L650" s="83"/>
      <c r="M650" s="103"/>
      <c r="N650" s="103"/>
      <c r="O650" s="103"/>
      <c r="P650" s="103"/>
      <c r="Q650" s="103"/>
      <c r="R650" s="83"/>
      <c r="S650" s="103"/>
      <c r="T650" s="103"/>
      <c r="U650" s="103"/>
    </row>
    <row r="651" customFormat="false" ht="22.5" hidden="false" customHeight="true" outlineLevel="0" collapsed="false">
      <c r="A651" s="99"/>
      <c r="B651" s="99"/>
      <c r="C651" s="99"/>
      <c r="D651" s="121"/>
      <c r="E651" s="99"/>
      <c r="F651" s="124" t="str">
        <f aca="false">IF(E651="CONTADO", 4%, IF(E651="TARJETA / CHEQUE", 3%, IF(OR(E651="FINANCIADO", E651="MCP"), 2.5%, "")))</f>
        <v/>
      </c>
      <c r="G651" s="121" t="str">
        <f aca="false">IF(F651="", "", F651*D651)</f>
        <v/>
      </c>
      <c r="H651" s="132" t="b">
        <f aca="false">FALSE()</f>
        <v>0</v>
      </c>
      <c r="I651" s="132" t="b">
        <f aca="false">FALSE()</f>
        <v>0</v>
      </c>
      <c r="J651" s="126"/>
      <c r="K651" s="99"/>
      <c r="L651" s="83"/>
      <c r="M651" s="103"/>
      <c r="N651" s="103"/>
      <c r="O651" s="103"/>
      <c r="P651" s="103"/>
      <c r="Q651" s="103"/>
      <c r="R651" s="83"/>
      <c r="S651" s="103"/>
      <c r="T651" s="103"/>
      <c r="U651" s="103"/>
    </row>
    <row r="652" customFormat="false" ht="22.5" hidden="false" customHeight="true" outlineLevel="0" collapsed="false">
      <c r="A652" s="110"/>
      <c r="B652" s="110"/>
      <c r="C652" s="110"/>
      <c r="D652" s="122"/>
      <c r="E652" s="110"/>
      <c r="F652" s="128" t="str">
        <f aca="false">IF(E652="CONTADO", 4%, IF(E652="TARJETA / CHEQUE", 3%, IF(OR(E652="FINANCIADO", E652="MCP"), 2.5%, "")))</f>
        <v/>
      </c>
      <c r="G652" s="122" t="str">
        <f aca="false">IF(F652="", "", F652*D652)</f>
        <v/>
      </c>
      <c r="H652" s="131" t="b">
        <f aca="false">FALSE()</f>
        <v>0</v>
      </c>
      <c r="I652" s="131" t="b">
        <f aca="false">FALSE()</f>
        <v>0</v>
      </c>
      <c r="J652" s="130"/>
      <c r="K652" s="110"/>
      <c r="L652" s="83"/>
      <c r="M652" s="103"/>
      <c r="N652" s="103"/>
      <c r="O652" s="103"/>
      <c r="P652" s="103"/>
      <c r="Q652" s="103"/>
      <c r="R652" s="83"/>
      <c r="S652" s="103"/>
      <c r="T652" s="103"/>
      <c r="U652" s="103"/>
    </row>
    <row r="653" customFormat="false" ht="22.5" hidden="false" customHeight="true" outlineLevel="0" collapsed="false">
      <c r="A653" s="99"/>
      <c r="B653" s="99"/>
      <c r="C653" s="99"/>
      <c r="D653" s="121"/>
      <c r="E653" s="99"/>
      <c r="F653" s="124" t="str">
        <f aca="false">IF(E653="CONTADO", 4%, IF(E653="TARJETA / CHEQUE", 3%, IF(OR(E653="FINANCIADO", E653="MCP"), 2.5%, "")))</f>
        <v/>
      </c>
      <c r="G653" s="121" t="str">
        <f aca="false">IF(F653="", "", F653*D653)</f>
        <v/>
      </c>
      <c r="H653" s="132" t="b">
        <f aca="false">FALSE()</f>
        <v>0</v>
      </c>
      <c r="I653" s="132" t="b">
        <f aca="false">FALSE()</f>
        <v>0</v>
      </c>
      <c r="J653" s="126"/>
      <c r="K653" s="99"/>
      <c r="L653" s="83"/>
      <c r="M653" s="103"/>
      <c r="N653" s="103"/>
      <c r="O653" s="103"/>
      <c r="P653" s="103"/>
      <c r="Q653" s="103"/>
      <c r="R653" s="83"/>
      <c r="S653" s="103"/>
      <c r="T653" s="103"/>
      <c r="U653" s="103"/>
    </row>
    <row r="654" customFormat="false" ht="22.5" hidden="false" customHeight="true" outlineLevel="0" collapsed="false">
      <c r="A654" s="110"/>
      <c r="B654" s="110"/>
      <c r="C654" s="110"/>
      <c r="D654" s="122"/>
      <c r="E654" s="110"/>
      <c r="F654" s="128" t="str">
        <f aca="false">IF(E654="CONTADO", 4%, IF(E654="TARJETA / CHEQUE", 3%, IF(OR(E654="FINANCIADO", E654="MCP"), 2.5%, "")))</f>
        <v/>
      </c>
      <c r="G654" s="122" t="str">
        <f aca="false">IF(F654="", "", F654*D654)</f>
        <v/>
      </c>
      <c r="H654" s="131" t="b">
        <f aca="false">FALSE()</f>
        <v>0</v>
      </c>
      <c r="I654" s="131" t="b">
        <f aca="false">FALSE()</f>
        <v>0</v>
      </c>
      <c r="J654" s="130"/>
      <c r="K654" s="110"/>
      <c r="L654" s="83"/>
      <c r="M654" s="103"/>
      <c r="N654" s="103"/>
      <c r="O654" s="103"/>
      <c r="P654" s="103"/>
      <c r="Q654" s="103"/>
      <c r="R654" s="83"/>
      <c r="S654" s="103"/>
      <c r="T654" s="103"/>
      <c r="U654" s="103"/>
    </row>
    <row r="655" customFormat="false" ht="22.5" hidden="false" customHeight="true" outlineLevel="0" collapsed="false">
      <c r="A655" s="99"/>
      <c r="B655" s="99"/>
      <c r="C655" s="99"/>
      <c r="D655" s="121"/>
      <c r="E655" s="99"/>
      <c r="F655" s="124" t="str">
        <f aca="false">IF(E655="CONTADO", 4%, IF(E655="TARJETA / CHEQUE", 3%, IF(OR(E655="FINANCIADO", E655="MCP"), 2.5%, "")))</f>
        <v/>
      </c>
      <c r="G655" s="121" t="str">
        <f aca="false">IF(F655="", "", F655*D655)</f>
        <v/>
      </c>
      <c r="H655" s="132" t="b">
        <f aca="false">FALSE()</f>
        <v>0</v>
      </c>
      <c r="I655" s="132" t="b">
        <f aca="false">FALSE()</f>
        <v>0</v>
      </c>
      <c r="J655" s="126"/>
      <c r="K655" s="99"/>
      <c r="L655" s="83"/>
      <c r="M655" s="103"/>
      <c r="N655" s="103"/>
      <c r="O655" s="103"/>
      <c r="P655" s="103"/>
      <c r="Q655" s="103"/>
      <c r="R655" s="83"/>
      <c r="S655" s="103"/>
      <c r="T655" s="103"/>
      <c r="U655" s="103"/>
    </row>
    <row r="656" customFormat="false" ht="22.5" hidden="false" customHeight="true" outlineLevel="0" collapsed="false">
      <c r="A656" s="110"/>
      <c r="B656" s="110"/>
      <c r="C656" s="110"/>
      <c r="D656" s="122"/>
      <c r="E656" s="110"/>
      <c r="F656" s="128" t="str">
        <f aca="false">IF(E656="CONTADO", 4%, IF(E656="TARJETA / CHEQUE", 3%, IF(OR(E656="FINANCIADO", E656="MCP"), 2.5%, "")))</f>
        <v/>
      </c>
      <c r="G656" s="122" t="str">
        <f aca="false">IF(F656="", "", F656*D656)</f>
        <v/>
      </c>
      <c r="H656" s="131" t="b">
        <f aca="false">FALSE()</f>
        <v>0</v>
      </c>
      <c r="I656" s="131" t="b">
        <f aca="false">FALSE()</f>
        <v>0</v>
      </c>
      <c r="J656" s="130"/>
      <c r="K656" s="110"/>
      <c r="L656" s="83"/>
      <c r="M656" s="103"/>
      <c r="N656" s="103"/>
      <c r="O656" s="103"/>
      <c r="P656" s="103"/>
      <c r="Q656" s="103"/>
      <c r="R656" s="83"/>
      <c r="S656" s="103"/>
      <c r="T656" s="103"/>
      <c r="U656" s="103"/>
    </row>
    <row r="657" customFormat="false" ht="22.5" hidden="false" customHeight="true" outlineLevel="0" collapsed="false">
      <c r="A657" s="99"/>
      <c r="B657" s="99"/>
      <c r="C657" s="99"/>
      <c r="D657" s="121"/>
      <c r="E657" s="99"/>
      <c r="F657" s="124" t="str">
        <f aca="false">IF(E657="CONTADO", 4%, IF(E657="TARJETA / CHEQUE", 3%, IF(OR(E657="FINANCIADO", E657="MCP"), 2.5%, "")))</f>
        <v/>
      </c>
      <c r="G657" s="121" t="str">
        <f aca="false">IF(F657="", "", F657*D657)</f>
        <v/>
      </c>
      <c r="H657" s="132" t="b">
        <f aca="false">FALSE()</f>
        <v>0</v>
      </c>
      <c r="I657" s="132" t="b">
        <f aca="false">FALSE()</f>
        <v>0</v>
      </c>
      <c r="J657" s="126"/>
      <c r="K657" s="99"/>
      <c r="L657" s="83"/>
      <c r="M657" s="103"/>
      <c r="N657" s="103"/>
      <c r="O657" s="103"/>
      <c r="P657" s="103"/>
      <c r="Q657" s="103"/>
      <c r="R657" s="83"/>
      <c r="S657" s="103"/>
      <c r="T657" s="103"/>
      <c r="U657" s="103"/>
    </row>
    <row r="658" customFormat="false" ht="22.5" hidden="false" customHeight="true" outlineLevel="0" collapsed="false">
      <c r="A658" s="110"/>
      <c r="B658" s="110"/>
      <c r="C658" s="110"/>
      <c r="D658" s="122"/>
      <c r="E658" s="110"/>
      <c r="F658" s="128" t="str">
        <f aca="false">IF(E658="CONTADO", 4%, IF(E658="TARJETA / CHEQUE", 3%, IF(OR(E658="FINANCIADO", E658="MCP"), 2.5%, "")))</f>
        <v/>
      </c>
      <c r="G658" s="122" t="str">
        <f aca="false">IF(F658="", "", F658*D658)</f>
        <v/>
      </c>
      <c r="H658" s="131" t="b">
        <f aca="false">FALSE()</f>
        <v>0</v>
      </c>
      <c r="I658" s="131" t="b">
        <f aca="false">FALSE()</f>
        <v>0</v>
      </c>
      <c r="J658" s="130"/>
      <c r="K658" s="110"/>
      <c r="L658" s="83"/>
      <c r="M658" s="103"/>
      <c r="N658" s="103"/>
      <c r="O658" s="103"/>
      <c r="P658" s="103"/>
      <c r="Q658" s="103"/>
      <c r="R658" s="83"/>
      <c r="S658" s="103"/>
      <c r="T658" s="103"/>
      <c r="U658" s="103"/>
    </row>
    <row r="659" customFormat="false" ht="22.5" hidden="false" customHeight="true" outlineLevel="0" collapsed="false">
      <c r="A659" s="99"/>
      <c r="B659" s="99"/>
      <c r="C659" s="99"/>
      <c r="D659" s="121"/>
      <c r="E659" s="99"/>
      <c r="F659" s="124" t="str">
        <f aca="false">IF(E659="CONTADO", 4%, IF(E659="TARJETA / CHEQUE", 3%, IF(OR(E659="FINANCIADO", E659="MCP"), 2.5%, "")))</f>
        <v/>
      </c>
      <c r="G659" s="121" t="str">
        <f aca="false">IF(F659="", "", F659*D659)</f>
        <v/>
      </c>
      <c r="H659" s="132" t="b">
        <f aca="false">FALSE()</f>
        <v>0</v>
      </c>
      <c r="I659" s="132" t="b">
        <f aca="false">FALSE()</f>
        <v>0</v>
      </c>
      <c r="J659" s="126"/>
      <c r="K659" s="99"/>
      <c r="L659" s="83"/>
      <c r="M659" s="103"/>
      <c r="N659" s="103"/>
      <c r="O659" s="103"/>
      <c r="P659" s="103"/>
      <c r="Q659" s="103"/>
      <c r="R659" s="83"/>
      <c r="S659" s="103"/>
      <c r="T659" s="103"/>
      <c r="U659" s="103"/>
    </row>
    <row r="660" customFormat="false" ht="22.5" hidden="false" customHeight="true" outlineLevel="0" collapsed="false">
      <c r="A660" s="110"/>
      <c r="B660" s="110"/>
      <c r="C660" s="110"/>
      <c r="D660" s="122"/>
      <c r="E660" s="110"/>
      <c r="F660" s="128" t="str">
        <f aca="false">IF(E660="CONTADO", 4%, IF(E660="TARJETA / CHEQUE", 3%, IF(OR(E660="FINANCIADO", E660="MCP"), 2.5%, "")))</f>
        <v/>
      </c>
      <c r="G660" s="122" t="str">
        <f aca="false">IF(F660="", "", F660*D660)</f>
        <v/>
      </c>
      <c r="H660" s="131" t="b">
        <f aca="false">FALSE()</f>
        <v>0</v>
      </c>
      <c r="I660" s="131" t="b">
        <f aca="false">FALSE()</f>
        <v>0</v>
      </c>
      <c r="J660" s="130"/>
      <c r="K660" s="110"/>
      <c r="L660" s="83"/>
      <c r="M660" s="103"/>
      <c r="N660" s="103"/>
      <c r="O660" s="103"/>
      <c r="P660" s="103"/>
      <c r="Q660" s="103"/>
      <c r="R660" s="83"/>
      <c r="S660" s="103"/>
      <c r="T660" s="103"/>
      <c r="U660" s="103"/>
    </row>
    <row r="661" customFormat="false" ht="22.5" hidden="false" customHeight="true" outlineLevel="0" collapsed="false">
      <c r="A661" s="99"/>
      <c r="B661" s="99"/>
      <c r="C661" s="99"/>
      <c r="D661" s="121"/>
      <c r="E661" s="99"/>
      <c r="F661" s="124" t="str">
        <f aca="false">IF(E661="CONTADO", 4%, IF(E661="TARJETA / CHEQUE", 3%, IF(OR(E661="FINANCIADO", E661="MCP"), 2.5%, "")))</f>
        <v/>
      </c>
      <c r="G661" s="121" t="str">
        <f aca="false">IF(F661="", "", F661*D661)</f>
        <v/>
      </c>
      <c r="H661" s="132" t="b">
        <f aca="false">FALSE()</f>
        <v>0</v>
      </c>
      <c r="I661" s="132" t="b">
        <f aca="false">FALSE()</f>
        <v>0</v>
      </c>
      <c r="J661" s="126"/>
      <c r="K661" s="99"/>
      <c r="L661" s="83"/>
      <c r="M661" s="103"/>
      <c r="N661" s="103"/>
      <c r="O661" s="103"/>
      <c r="P661" s="103"/>
      <c r="Q661" s="103"/>
      <c r="R661" s="83"/>
      <c r="S661" s="103"/>
      <c r="T661" s="103"/>
      <c r="U661" s="103"/>
    </row>
    <row r="662" customFormat="false" ht="22.5" hidden="false" customHeight="true" outlineLevel="0" collapsed="false">
      <c r="A662" s="110"/>
      <c r="B662" s="110"/>
      <c r="C662" s="110"/>
      <c r="D662" s="122"/>
      <c r="E662" s="110"/>
      <c r="F662" s="128" t="str">
        <f aca="false">IF(E662="CONTADO", 4%, IF(E662="TARJETA / CHEQUE", 3%, IF(OR(E662="FINANCIADO", E662="MCP"), 2.5%, "")))</f>
        <v/>
      </c>
      <c r="G662" s="122" t="str">
        <f aca="false">IF(F662="", "", F662*D662)</f>
        <v/>
      </c>
      <c r="H662" s="131" t="b">
        <f aca="false">FALSE()</f>
        <v>0</v>
      </c>
      <c r="I662" s="131" t="b">
        <f aca="false">FALSE()</f>
        <v>0</v>
      </c>
      <c r="J662" s="130"/>
      <c r="K662" s="110"/>
      <c r="L662" s="83"/>
      <c r="M662" s="103"/>
      <c r="N662" s="103"/>
      <c r="O662" s="103"/>
      <c r="P662" s="103"/>
      <c r="Q662" s="103"/>
      <c r="R662" s="83"/>
      <c r="S662" s="103"/>
      <c r="T662" s="103"/>
      <c r="U662" s="103"/>
    </row>
    <row r="663" customFormat="false" ht="22.5" hidden="false" customHeight="true" outlineLevel="0" collapsed="false">
      <c r="A663" s="99"/>
      <c r="B663" s="99"/>
      <c r="C663" s="99"/>
      <c r="D663" s="121"/>
      <c r="E663" s="99"/>
      <c r="F663" s="124" t="str">
        <f aca="false">IF(E663="CONTADO", 4%, IF(E663="TARJETA / CHEQUE", 3%, IF(OR(E663="FINANCIADO", E663="MCP"), 2.5%, "")))</f>
        <v/>
      </c>
      <c r="G663" s="121" t="str">
        <f aca="false">IF(F663="", "", F663*D663)</f>
        <v/>
      </c>
      <c r="H663" s="132" t="b">
        <f aca="false">FALSE()</f>
        <v>0</v>
      </c>
      <c r="I663" s="132" t="b">
        <f aca="false">FALSE()</f>
        <v>0</v>
      </c>
      <c r="J663" s="126"/>
      <c r="K663" s="99"/>
      <c r="L663" s="83"/>
      <c r="M663" s="103"/>
      <c r="N663" s="103"/>
      <c r="O663" s="103"/>
      <c r="P663" s="103"/>
      <c r="Q663" s="103"/>
      <c r="R663" s="83"/>
      <c r="S663" s="103"/>
      <c r="T663" s="103"/>
      <c r="U663" s="103"/>
    </row>
    <row r="664" customFormat="false" ht="22.5" hidden="false" customHeight="true" outlineLevel="0" collapsed="false">
      <c r="A664" s="110"/>
      <c r="B664" s="110"/>
      <c r="C664" s="110"/>
      <c r="D664" s="122"/>
      <c r="E664" s="110"/>
      <c r="F664" s="128" t="str">
        <f aca="false">IF(E664="CONTADO", 4%, IF(E664="TARJETA / CHEQUE", 3%, IF(OR(E664="FINANCIADO", E664="MCP"), 2.5%, "")))</f>
        <v/>
      </c>
      <c r="G664" s="122" t="str">
        <f aca="false">IF(F664="", "", F664*D664)</f>
        <v/>
      </c>
      <c r="H664" s="131" t="b">
        <f aca="false">FALSE()</f>
        <v>0</v>
      </c>
      <c r="I664" s="131" t="b">
        <f aca="false">FALSE()</f>
        <v>0</v>
      </c>
      <c r="J664" s="130"/>
      <c r="K664" s="110"/>
      <c r="L664" s="83"/>
      <c r="M664" s="103"/>
      <c r="N664" s="103"/>
      <c r="O664" s="103"/>
      <c r="P664" s="103"/>
      <c r="Q664" s="103"/>
      <c r="R664" s="83"/>
      <c r="S664" s="103"/>
      <c r="T664" s="103"/>
      <c r="U664" s="103"/>
    </row>
    <row r="665" customFormat="false" ht="22.5" hidden="false" customHeight="true" outlineLevel="0" collapsed="false">
      <c r="A665" s="99"/>
      <c r="B665" s="99"/>
      <c r="C665" s="99"/>
      <c r="D665" s="121"/>
      <c r="E665" s="99"/>
      <c r="F665" s="124" t="str">
        <f aca="false">IF(E665="CONTADO", 4%, IF(E665="TARJETA / CHEQUE", 3%, IF(OR(E665="FINANCIADO", E665="MCP"), 2.5%, "")))</f>
        <v/>
      </c>
      <c r="G665" s="121" t="str">
        <f aca="false">IF(F665="", "", F665*D665)</f>
        <v/>
      </c>
      <c r="H665" s="132" t="b">
        <f aca="false">FALSE()</f>
        <v>0</v>
      </c>
      <c r="I665" s="132" t="b">
        <f aca="false">FALSE()</f>
        <v>0</v>
      </c>
      <c r="J665" s="126"/>
      <c r="K665" s="99"/>
      <c r="L665" s="83"/>
      <c r="M665" s="103"/>
      <c r="N665" s="103"/>
      <c r="O665" s="103"/>
      <c r="P665" s="103"/>
      <c r="Q665" s="103"/>
      <c r="R665" s="83"/>
      <c r="S665" s="103"/>
      <c r="T665" s="103"/>
      <c r="U665" s="103"/>
    </row>
    <row r="666" customFormat="false" ht="22.5" hidden="false" customHeight="true" outlineLevel="0" collapsed="false">
      <c r="A666" s="110"/>
      <c r="B666" s="110"/>
      <c r="C666" s="110"/>
      <c r="D666" s="122"/>
      <c r="E666" s="110"/>
      <c r="F666" s="128" t="str">
        <f aca="false">IF(E666="CONTADO", 4%, IF(E666="TARJETA / CHEQUE", 3%, IF(OR(E666="FINANCIADO", E666="MCP"), 2.5%, "")))</f>
        <v/>
      </c>
      <c r="G666" s="122" t="str">
        <f aca="false">IF(F666="", "", F666*D666)</f>
        <v/>
      </c>
      <c r="H666" s="131" t="b">
        <f aca="false">FALSE()</f>
        <v>0</v>
      </c>
      <c r="I666" s="131" t="b">
        <f aca="false">FALSE()</f>
        <v>0</v>
      </c>
      <c r="J666" s="130"/>
      <c r="K666" s="110"/>
      <c r="L666" s="83"/>
      <c r="M666" s="103"/>
      <c r="N666" s="103"/>
      <c r="O666" s="103"/>
      <c r="P666" s="103"/>
      <c r="Q666" s="103"/>
      <c r="R666" s="83"/>
      <c r="S666" s="103"/>
      <c r="T666" s="103"/>
      <c r="U666" s="103"/>
    </row>
    <row r="667" customFormat="false" ht="22.5" hidden="false" customHeight="true" outlineLevel="0" collapsed="false">
      <c r="A667" s="99"/>
      <c r="B667" s="99"/>
      <c r="C667" s="99"/>
      <c r="D667" s="121"/>
      <c r="E667" s="99"/>
      <c r="F667" s="124" t="str">
        <f aca="false">IF(E667="CONTADO", 4%, IF(E667="TARJETA / CHEQUE", 3%, IF(OR(E667="FINANCIADO", E667="MCP"), 2.5%, "")))</f>
        <v/>
      </c>
      <c r="G667" s="121" t="str">
        <f aca="false">IF(F667="", "", F667*D667)</f>
        <v/>
      </c>
      <c r="H667" s="132" t="b">
        <f aca="false">FALSE()</f>
        <v>0</v>
      </c>
      <c r="I667" s="132" t="b">
        <f aca="false">FALSE()</f>
        <v>0</v>
      </c>
      <c r="J667" s="126"/>
      <c r="K667" s="99"/>
      <c r="L667" s="83"/>
      <c r="M667" s="103"/>
      <c r="N667" s="103"/>
      <c r="O667" s="103"/>
      <c r="P667" s="103"/>
      <c r="Q667" s="103"/>
      <c r="R667" s="83"/>
      <c r="S667" s="103"/>
      <c r="T667" s="103"/>
      <c r="U667" s="103"/>
    </row>
    <row r="668" customFormat="false" ht="22.5" hidden="false" customHeight="true" outlineLevel="0" collapsed="false">
      <c r="A668" s="110"/>
      <c r="B668" s="110"/>
      <c r="C668" s="110"/>
      <c r="D668" s="122"/>
      <c r="E668" s="110"/>
      <c r="F668" s="128" t="str">
        <f aca="false">IF(E668="CONTADO", 4%, IF(E668="TARJETA / CHEQUE", 3%, IF(OR(E668="FINANCIADO", E668="MCP"), 2.5%, "")))</f>
        <v/>
      </c>
      <c r="G668" s="122" t="str">
        <f aca="false">IF(F668="", "", F668*D668)</f>
        <v/>
      </c>
      <c r="H668" s="131" t="b">
        <f aca="false">FALSE()</f>
        <v>0</v>
      </c>
      <c r="I668" s="131" t="b">
        <f aca="false">FALSE()</f>
        <v>0</v>
      </c>
      <c r="J668" s="130"/>
      <c r="K668" s="110"/>
      <c r="L668" s="83"/>
      <c r="M668" s="103"/>
      <c r="N668" s="103"/>
      <c r="O668" s="103"/>
      <c r="P668" s="103"/>
      <c r="Q668" s="103"/>
      <c r="R668" s="83"/>
      <c r="S668" s="103"/>
      <c r="T668" s="103"/>
      <c r="U668" s="103"/>
    </row>
    <row r="669" customFormat="false" ht="22.5" hidden="false" customHeight="true" outlineLevel="0" collapsed="false">
      <c r="A669" s="99"/>
      <c r="B669" s="99"/>
      <c r="C669" s="99"/>
      <c r="D669" s="121"/>
      <c r="E669" s="99"/>
      <c r="F669" s="124" t="str">
        <f aca="false">IF(E669="CONTADO", 4%, IF(E669="TARJETA / CHEQUE", 3%, IF(OR(E669="FINANCIADO", E669="MCP"), 2.5%, "")))</f>
        <v/>
      </c>
      <c r="G669" s="121" t="str">
        <f aca="false">IF(F669="", "", F669*D669)</f>
        <v/>
      </c>
      <c r="H669" s="132" t="b">
        <f aca="false">FALSE()</f>
        <v>0</v>
      </c>
      <c r="I669" s="132" t="b">
        <f aca="false">FALSE()</f>
        <v>0</v>
      </c>
      <c r="J669" s="126"/>
      <c r="K669" s="99"/>
      <c r="L669" s="83"/>
      <c r="M669" s="103"/>
      <c r="N669" s="103"/>
      <c r="O669" s="103"/>
      <c r="P669" s="103"/>
      <c r="Q669" s="103"/>
      <c r="R669" s="83"/>
      <c r="S669" s="103"/>
      <c r="T669" s="103"/>
      <c r="U669" s="103"/>
    </row>
    <row r="670" customFormat="false" ht="22.5" hidden="false" customHeight="true" outlineLevel="0" collapsed="false">
      <c r="A670" s="110"/>
      <c r="B670" s="110"/>
      <c r="C670" s="110"/>
      <c r="D670" s="122"/>
      <c r="E670" s="110"/>
      <c r="F670" s="128" t="str">
        <f aca="false">IF(E670="CONTADO", 4%, IF(E670="TARJETA / CHEQUE", 3%, IF(OR(E670="FINANCIADO", E670="MCP"), 2.5%, "")))</f>
        <v/>
      </c>
      <c r="G670" s="122" t="str">
        <f aca="false">IF(F670="", "", F670*D670)</f>
        <v/>
      </c>
      <c r="H670" s="131" t="b">
        <f aca="false">FALSE()</f>
        <v>0</v>
      </c>
      <c r="I670" s="131" t="b">
        <f aca="false">FALSE()</f>
        <v>0</v>
      </c>
      <c r="J670" s="130"/>
      <c r="K670" s="110"/>
      <c r="L670" s="83"/>
      <c r="M670" s="103"/>
      <c r="N670" s="103"/>
      <c r="O670" s="103"/>
      <c r="P670" s="103"/>
      <c r="Q670" s="103"/>
      <c r="R670" s="83"/>
      <c r="S670" s="103"/>
      <c r="T670" s="103"/>
      <c r="U670" s="103"/>
    </row>
    <row r="671" customFormat="false" ht="22.5" hidden="false" customHeight="true" outlineLevel="0" collapsed="false">
      <c r="A671" s="99"/>
      <c r="B671" s="99"/>
      <c r="C671" s="99"/>
      <c r="D671" s="121"/>
      <c r="E671" s="99"/>
      <c r="F671" s="124" t="str">
        <f aca="false">IF(E671="CONTADO", 4%, IF(E671="TARJETA / CHEQUE", 3%, IF(OR(E671="FINANCIADO", E671="MCP"), 2.5%, "")))</f>
        <v/>
      </c>
      <c r="G671" s="121" t="str">
        <f aca="false">IF(F671="", "", F671*D671)</f>
        <v/>
      </c>
      <c r="H671" s="132" t="b">
        <f aca="false">FALSE()</f>
        <v>0</v>
      </c>
      <c r="I671" s="132" t="b">
        <f aca="false">FALSE()</f>
        <v>0</v>
      </c>
      <c r="J671" s="126"/>
      <c r="K671" s="99"/>
      <c r="L671" s="83"/>
      <c r="M671" s="103"/>
      <c r="N671" s="103"/>
      <c r="O671" s="103"/>
      <c r="P671" s="103"/>
      <c r="Q671" s="103"/>
      <c r="R671" s="83"/>
      <c r="S671" s="103"/>
      <c r="T671" s="103"/>
      <c r="U671" s="103"/>
    </row>
    <row r="672" customFormat="false" ht="22.5" hidden="false" customHeight="true" outlineLevel="0" collapsed="false">
      <c r="A672" s="110"/>
      <c r="B672" s="110"/>
      <c r="C672" s="110"/>
      <c r="D672" s="122"/>
      <c r="E672" s="110"/>
      <c r="F672" s="128" t="str">
        <f aca="false">IF(E672="CONTADO", 4%, IF(E672="TARJETA / CHEQUE", 3%, IF(OR(E672="FINANCIADO", E672="MCP"), 2.5%, "")))</f>
        <v/>
      </c>
      <c r="G672" s="122" t="str">
        <f aca="false">IF(F672="", "", F672*D672)</f>
        <v/>
      </c>
      <c r="H672" s="131" t="b">
        <f aca="false">FALSE()</f>
        <v>0</v>
      </c>
      <c r="I672" s="131" t="b">
        <f aca="false">FALSE()</f>
        <v>0</v>
      </c>
      <c r="J672" s="130"/>
      <c r="K672" s="110"/>
      <c r="L672" s="83"/>
      <c r="M672" s="103"/>
      <c r="N672" s="103"/>
      <c r="O672" s="103"/>
      <c r="P672" s="103"/>
      <c r="Q672" s="103"/>
      <c r="R672" s="83"/>
      <c r="S672" s="103"/>
      <c r="T672" s="103"/>
      <c r="U672" s="103"/>
    </row>
    <row r="673" customFormat="false" ht="22.5" hidden="false" customHeight="true" outlineLevel="0" collapsed="false">
      <c r="A673" s="99"/>
      <c r="B673" s="99"/>
      <c r="C673" s="99"/>
      <c r="D673" s="121"/>
      <c r="E673" s="99"/>
      <c r="F673" s="124" t="str">
        <f aca="false">IF(E673="CONTADO", 4%, IF(E673="TARJETA / CHEQUE", 3%, IF(OR(E673="FINANCIADO", E673="MCP"), 2.5%, "")))</f>
        <v/>
      </c>
      <c r="G673" s="121" t="str">
        <f aca="false">IF(F673="", "", F673*D673)</f>
        <v/>
      </c>
      <c r="H673" s="132" t="b">
        <f aca="false">FALSE()</f>
        <v>0</v>
      </c>
      <c r="I673" s="132" t="b">
        <f aca="false">FALSE()</f>
        <v>0</v>
      </c>
      <c r="J673" s="126"/>
      <c r="K673" s="99"/>
      <c r="L673" s="83"/>
      <c r="M673" s="103"/>
      <c r="N673" s="103"/>
      <c r="O673" s="103"/>
      <c r="P673" s="103"/>
      <c r="Q673" s="103"/>
      <c r="R673" s="83"/>
      <c r="S673" s="103"/>
      <c r="T673" s="103"/>
      <c r="U673" s="103"/>
    </row>
    <row r="674" customFormat="false" ht="22.5" hidden="false" customHeight="true" outlineLevel="0" collapsed="false">
      <c r="A674" s="110"/>
      <c r="B674" s="110"/>
      <c r="C674" s="110"/>
      <c r="D674" s="122"/>
      <c r="E674" s="110"/>
      <c r="F674" s="128" t="str">
        <f aca="false">IF(E674="CONTADO", 4%, IF(E674="TARJETA / CHEQUE", 3%, IF(OR(E674="FINANCIADO", E674="MCP"), 2.5%, "")))</f>
        <v/>
      </c>
      <c r="G674" s="122" t="str">
        <f aca="false">IF(F674="", "", F674*D674)</f>
        <v/>
      </c>
      <c r="H674" s="131" t="b">
        <f aca="false">FALSE()</f>
        <v>0</v>
      </c>
      <c r="I674" s="131" t="b">
        <f aca="false">FALSE()</f>
        <v>0</v>
      </c>
      <c r="J674" s="130"/>
      <c r="K674" s="110"/>
      <c r="L674" s="83"/>
      <c r="M674" s="103"/>
      <c r="N674" s="103"/>
      <c r="O674" s="103"/>
      <c r="P674" s="103"/>
      <c r="Q674" s="103"/>
      <c r="R674" s="83"/>
      <c r="S674" s="103"/>
      <c r="T674" s="103"/>
      <c r="U674" s="103"/>
    </row>
    <row r="675" customFormat="false" ht="22.5" hidden="false" customHeight="true" outlineLevel="0" collapsed="false">
      <c r="A675" s="99"/>
      <c r="B675" s="99"/>
      <c r="C675" s="99"/>
      <c r="D675" s="121"/>
      <c r="E675" s="99"/>
      <c r="F675" s="124" t="str">
        <f aca="false">IF(E675="CONTADO", 4%, IF(E675="TARJETA / CHEQUE", 3%, IF(OR(E675="FINANCIADO", E675="MCP"), 2.5%, "")))</f>
        <v/>
      </c>
      <c r="G675" s="121" t="str">
        <f aca="false">IF(F675="", "", F675*D675)</f>
        <v/>
      </c>
      <c r="H675" s="132" t="b">
        <f aca="false">FALSE()</f>
        <v>0</v>
      </c>
      <c r="I675" s="132" t="b">
        <f aca="false">FALSE()</f>
        <v>0</v>
      </c>
      <c r="J675" s="126"/>
      <c r="K675" s="99"/>
      <c r="L675" s="83"/>
      <c r="M675" s="103"/>
      <c r="N675" s="103"/>
      <c r="O675" s="103"/>
      <c r="P675" s="103"/>
      <c r="Q675" s="103"/>
      <c r="R675" s="83"/>
      <c r="S675" s="103"/>
      <c r="T675" s="103"/>
      <c r="U675" s="103"/>
    </row>
    <row r="676" customFormat="false" ht="22.5" hidden="false" customHeight="true" outlineLevel="0" collapsed="false">
      <c r="A676" s="110"/>
      <c r="B676" s="110"/>
      <c r="C676" s="110"/>
      <c r="D676" s="122"/>
      <c r="E676" s="110"/>
      <c r="F676" s="128" t="str">
        <f aca="false">IF(E676="CONTADO", 4%, IF(E676="TARJETA / CHEQUE", 3%, IF(OR(E676="FINANCIADO", E676="MCP"), 2.5%, "")))</f>
        <v/>
      </c>
      <c r="G676" s="122" t="str">
        <f aca="false">IF(F676="", "", F676*D676)</f>
        <v/>
      </c>
      <c r="H676" s="131" t="b">
        <f aca="false">FALSE()</f>
        <v>0</v>
      </c>
      <c r="I676" s="131" t="b">
        <f aca="false">FALSE()</f>
        <v>0</v>
      </c>
      <c r="J676" s="130"/>
      <c r="K676" s="110"/>
      <c r="L676" s="83"/>
      <c r="M676" s="103"/>
      <c r="N676" s="103"/>
      <c r="O676" s="103"/>
      <c r="P676" s="103"/>
      <c r="Q676" s="103"/>
      <c r="R676" s="83"/>
      <c r="S676" s="103"/>
      <c r="T676" s="103"/>
      <c r="U676" s="103"/>
    </row>
    <row r="677" customFormat="false" ht="22.5" hidden="false" customHeight="true" outlineLevel="0" collapsed="false">
      <c r="A677" s="99"/>
      <c r="B677" s="99"/>
      <c r="C677" s="99"/>
      <c r="D677" s="121"/>
      <c r="E677" s="99"/>
      <c r="F677" s="124" t="str">
        <f aca="false">IF(E677="CONTADO", 4%, IF(E677="TARJETA / CHEQUE", 3%, IF(OR(E677="FINANCIADO", E677="MCP"), 2.5%, "")))</f>
        <v/>
      </c>
      <c r="G677" s="121" t="str">
        <f aca="false">IF(F677="", "", F677*D677)</f>
        <v/>
      </c>
      <c r="H677" s="132" t="b">
        <f aca="false">FALSE()</f>
        <v>0</v>
      </c>
      <c r="I677" s="132" t="b">
        <f aca="false">FALSE()</f>
        <v>0</v>
      </c>
      <c r="J677" s="126"/>
      <c r="K677" s="99"/>
      <c r="L677" s="83"/>
      <c r="M677" s="103"/>
      <c r="N677" s="103"/>
      <c r="O677" s="103"/>
      <c r="P677" s="103"/>
      <c r="Q677" s="103"/>
      <c r="R677" s="83"/>
      <c r="S677" s="103"/>
      <c r="T677" s="103"/>
      <c r="U677" s="103"/>
    </row>
    <row r="678" customFormat="false" ht="22.5" hidden="false" customHeight="true" outlineLevel="0" collapsed="false">
      <c r="A678" s="110"/>
      <c r="B678" s="110"/>
      <c r="C678" s="110"/>
      <c r="D678" s="122"/>
      <c r="E678" s="110"/>
      <c r="F678" s="128" t="str">
        <f aca="false">IF(E678="CONTADO", 4%, IF(E678="TARJETA / CHEQUE", 3%, IF(OR(E678="FINANCIADO", E678="MCP"), 2.5%, "")))</f>
        <v/>
      </c>
      <c r="G678" s="122" t="str">
        <f aca="false">IF(F678="", "", F678*D678)</f>
        <v/>
      </c>
      <c r="H678" s="131" t="b">
        <f aca="false">FALSE()</f>
        <v>0</v>
      </c>
      <c r="I678" s="131" t="b">
        <f aca="false">FALSE()</f>
        <v>0</v>
      </c>
      <c r="J678" s="130"/>
      <c r="K678" s="110"/>
      <c r="L678" s="83"/>
      <c r="M678" s="103"/>
      <c r="N678" s="103"/>
      <c r="O678" s="103"/>
      <c r="P678" s="103"/>
      <c r="Q678" s="103"/>
      <c r="R678" s="83"/>
      <c r="S678" s="103"/>
      <c r="T678" s="103"/>
      <c r="U678" s="103"/>
    </row>
    <row r="679" customFormat="false" ht="22.5" hidden="false" customHeight="true" outlineLevel="0" collapsed="false">
      <c r="A679" s="99"/>
      <c r="B679" s="99"/>
      <c r="C679" s="99"/>
      <c r="D679" s="121"/>
      <c r="E679" s="99"/>
      <c r="F679" s="124" t="str">
        <f aca="false">IF(E679="CONTADO", 4%, IF(E679="TARJETA / CHEQUE", 3%, IF(OR(E679="FINANCIADO", E679="MCP"), 2.5%, "")))</f>
        <v/>
      </c>
      <c r="G679" s="121" t="str">
        <f aca="false">IF(F679="", "", F679*D679)</f>
        <v/>
      </c>
      <c r="H679" s="132" t="b">
        <f aca="false">FALSE()</f>
        <v>0</v>
      </c>
      <c r="I679" s="132" t="b">
        <f aca="false">FALSE()</f>
        <v>0</v>
      </c>
      <c r="J679" s="126"/>
      <c r="K679" s="99"/>
      <c r="L679" s="83"/>
      <c r="M679" s="103"/>
      <c r="N679" s="103"/>
      <c r="O679" s="103"/>
      <c r="P679" s="103"/>
      <c r="Q679" s="103"/>
      <c r="R679" s="83"/>
      <c r="S679" s="103"/>
      <c r="T679" s="103"/>
      <c r="U679" s="103"/>
    </row>
    <row r="680" customFormat="false" ht="22.5" hidden="false" customHeight="true" outlineLevel="0" collapsed="false">
      <c r="A680" s="110"/>
      <c r="B680" s="110"/>
      <c r="C680" s="110"/>
      <c r="D680" s="122"/>
      <c r="E680" s="110"/>
      <c r="F680" s="128" t="str">
        <f aca="false">IF(E680="CONTADO", 4%, IF(E680="TARJETA / CHEQUE", 3%, IF(OR(E680="FINANCIADO", E680="MCP"), 2.5%, "")))</f>
        <v/>
      </c>
      <c r="G680" s="122" t="str">
        <f aca="false">IF(F680="", "", F680*D680)</f>
        <v/>
      </c>
      <c r="H680" s="131" t="b">
        <f aca="false">FALSE()</f>
        <v>0</v>
      </c>
      <c r="I680" s="131" t="b">
        <f aca="false">FALSE()</f>
        <v>0</v>
      </c>
      <c r="J680" s="130"/>
      <c r="K680" s="110"/>
      <c r="L680" s="83"/>
      <c r="M680" s="103"/>
      <c r="N680" s="103"/>
      <c r="O680" s="103"/>
      <c r="P680" s="103"/>
      <c r="Q680" s="103"/>
      <c r="R680" s="83"/>
      <c r="S680" s="103"/>
      <c r="T680" s="103"/>
      <c r="U680" s="103"/>
    </row>
    <row r="681" customFormat="false" ht="22.5" hidden="false" customHeight="true" outlineLevel="0" collapsed="false">
      <c r="A681" s="99"/>
      <c r="B681" s="99"/>
      <c r="C681" s="99"/>
      <c r="D681" s="121"/>
      <c r="E681" s="99"/>
      <c r="F681" s="124" t="str">
        <f aca="false">IF(E681="CONTADO", 4%, IF(E681="TARJETA / CHEQUE", 3%, IF(OR(E681="FINANCIADO", E681="MCP"), 2.5%, "")))</f>
        <v/>
      </c>
      <c r="G681" s="121" t="str">
        <f aca="false">IF(F681="", "", F681*D681)</f>
        <v/>
      </c>
      <c r="H681" s="132" t="b">
        <f aca="false">FALSE()</f>
        <v>0</v>
      </c>
      <c r="I681" s="132" t="b">
        <f aca="false">FALSE()</f>
        <v>0</v>
      </c>
      <c r="J681" s="126"/>
      <c r="K681" s="99"/>
      <c r="L681" s="83"/>
      <c r="M681" s="103"/>
      <c r="N681" s="103"/>
      <c r="O681" s="103"/>
      <c r="P681" s="103"/>
      <c r="Q681" s="103"/>
      <c r="R681" s="83"/>
      <c r="S681" s="103"/>
      <c r="T681" s="103"/>
      <c r="U681" s="103"/>
    </row>
    <row r="682" customFormat="false" ht="22.5" hidden="false" customHeight="true" outlineLevel="0" collapsed="false">
      <c r="A682" s="110"/>
      <c r="B682" s="110"/>
      <c r="C682" s="110"/>
      <c r="D682" s="122"/>
      <c r="E682" s="110"/>
      <c r="F682" s="128" t="str">
        <f aca="false">IF(E682="CONTADO", 4%, IF(E682="TARJETA / CHEQUE", 3%, IF(OR(E682="FINANCIADO", E682="MCP"), 2.5%, "")))</f>
        <v/>
      </c>
      <c r="G682" s="122" t="str">
        <f aca="false">IF(F682="", "", F682*D682)</f>
        <v/>
      </c>
      <c r="H682" s="131" t="b">
        <f aca="false">FALSE()</f>
        <v>0</v>
      </c>
      <c r="I682" s="131" t="b">
        <f aca="false">FALSE()</f>
        <v>0</v>
      </c>
      <c r="J682" s="130"/>
      <c r="K682" s="110"/>
      <c r="L682" s="83"/>
      <c r="M682" s="103"/>
      <c r="N682" s="103"/>
      <c r="O682" s="103"/>
      <c r="P682" s="103"/>
      <c r="Q682" s="103"/>
      <c r="R682" s="83"/>
      <c r="S682" s="103"/>
      <c r="T682" s="103"/>
      <c r="U682" s="103"/>
    </row>
    <row r="683" customFormat="false" ht="22.5" hidden="false" customHeight="true" outlineLevel="0" collapsed="false">
      <c r="A683" s="99"/>
      <c r="B683" s="99"/>
      <c r="C683" s="99"/>
      <c r="D683" s="121"/>
      <c r="E683" s="99"/>
      <c r="F683" s="124" t="str">
        <f aca="false">IF(E683="CONTADO", 4%, IF(E683="TARJETA / CHEQUE", 3%, IF(OR(E683="FINANCIADO", E683="MCP"), 2.5%, "")))</f>
        <v/>
      </c>
      <c r="G683" s="121" t="str">
        <f aca="false">IF(F683="", "", F683*D683)</f>
        <v/>
      </c>
      <c r="H683" s="132" t="b">
        <f aca="false">FALSE()</f>
        <v>0</v>
      </c>
      <c r="I683" s="132" t="b">
        <f aca="false">FALSE()</f>
        <v>0</v>
      </c>
      <c r="J683" s="126"/>
      <c r="K683" s="99"/>
      <c r="L683" s="83"/>
      <c r="M683" s="103"/>
      <c r="N683" s="103"/>
      <c r="O683" s="103"/>
      <c r="P683" s="103"/>
      <c r="Q683" s="103"/>
      <c r="R683" s="83"/>
      <c r="S683" s="103"/>
      <c r="T683" s="103"/>
      <c r="U683" s="103"/>
    </row>
    <row r="684" customFormat="false" ht="22.5" hidden="false" customHeight="true" outlineLevel="0" collapsed="false">
      <c r="A684" s="110"/>
      <c r="B684" s="110"/>
      <c r="C684" s="110"/>
      <c r="D684" s="122"/>
      <c r="E684" s="110"/>
      <c r="F684" s="128" t="str">
        <f aca="false">IF(E684="CONTADO", 4%, IF(E684="TARJETA / CHEQUE", 3%, IF(OR(E684="FINANCIADO", E684="MCP"), 2.5%, "")))</f>
        <v/>
      </c>
      <c r="G684" s="122" t="str">
        <f aca="false">IF(F684="", "", F684*D684)</f>
        <v/>
      </c>
      <c r="H684" s="131" t="b">
        <f aca="false">FALSE()</f>
        <v>0</v>
      </c>
      <c r="I684" s="131" t="b">
        <f aca="false">FALSE()</f>
        <v>0</v>
      </c>
      <c r="J684" s="130"/>
      <c r="K684" s="110"/>
      <c r="L684" s="83"/>
      <c r="M684" s="103"/>
      <c r="N684" s="103"/>
      <c r="O684" s="103"/>
      <c r="P684" s="103"/>
      <c r="Q684" s="103"/>
      <c r="R684" s="83"/>
      <c r="S684" s="103"/>
      <c r="T684" s="103"/>
      <c r="U684" s="103"/>
    </row>
    <row r="685" customFormat="false" ht="22.5" hidden="false" customHeight="true" outlineLevel="0" collapsed="false">
      <c r="A685" s="99"/>
      <c r="B685" s="99"/>
      <c r="C685" s="99"/>
      <c r="D685" s="121"/>
      <c r="E685" s="99"/>
      <c r="F685" s="124" t="str">
        <f aca="false">IF(E685="CONTADO", 4%, IF(E685="TARJETA / CHEQUE", 3%, IF(OR(E685="FINANCIADO", E685="MCP"), 2.5%, "")))</f>
        <v/>
      </c>
      <c r="G685" s="121" t="str">
        <f aca="false">IF(F685="", "", F685*D685)</f>
        <v/>
      </c>
      <c r="H685" s="132" t="b">
        <f aca="false">FALSE()</f>
        <v>0</v>
      </c>
      <c r="I685" s="132" t="b">
        <f aca="false">FALSE()</f>
        <v>0</v>
      </c>
      <c r="J685" s="126"/>
      <c r="K685" s="99"/>
      <c r="L685" s="83"/>
      <c r="M685" s="103"/>
      <c r="N685" s="103"/>
      <c r="O685" s="103"/>
      <c r="P685" s="103"/>
      <c r="Q685" s="103"/>
      <c r="R685" s="83"/>
      <c r="S685" s="103"/>
      <c r="T685" s="103"/>
      <c r="U685" s="103"/>
    </row>
    <row r="686" customFormat="false" ht="22.5" hidden="false" customHeight="true" outlineLevel="0" collapsed="false">
      <c r="A686" s="110"/>
      <c r="B686" s="110"/>
      <c r="C686" s="110"/>
      <c r="D686" s="122"/>
      <c r="E686" s="110"/>
      <c r="F686" s="128" t="str">
        <f aca="false">IF(E686="CONTADO", 4%, IF(E686="TARJETA / CHEQUE", 3%, IF(OR(E686="FINANCIADO", E686="MCP"), 2.5%, "")))</f>
        <v/>
      </c>
      <c r="G686" s="122" t="str">
        <f aca="false">IF(F686="", "", F686*D686)</f>
        <v/>
      </c>
      <c r="H686" s="131" t="b">
        <f aca="false">FALSE()</f>
        <v>0</v>
      </c>
      <c r="I686" s="131" t="b">
        <f aca="false">FALSE()</f>
        <v>0</v>
      </c>
      <c r="J686" s="130"/>
      <c r="K686" s="110"/>
      <c r="L686" s="83"/>
      <c r="M686" s="103"/>
      <c r="N686" s="103"/>
      <c r="O686" s="103"/>
      <c r="P686" s="103"/>
      <c r="Q686" s="103"/>
      <c r="R686" s="83"/>
      <c r="S686" s="103"/>
      <c r="T686" s="103"/>
      <c r="U686" s="103"/>
    </row>
    <row r="687" customFormat="false" ht="22.5" hidden="false" customHeight="true" outlineLevel="0" collapsed="false">
      <c r="A687" s="99"/>
      <c r="B687" s="99"/>
      <c r="C687" s="99"/>
      <c r="D687" s="121"/>
      <c r="E687" s="99"/>
      <c r="F687" s="124" t="str">
        <f aca="false">IF(E687="CONTADO", 4%, IF(E687="TARJETA / CHEQUE", 3%, IF(OR(E687="FINANCIADO", E687="MCP"), 2.5%, "")))</f>
        <v/>
      </c>
      <c r="G687" s="121" t="str">
        <f aca="false">IF(F687="", "", F687*D687)</f>
        <v/>
      </c>
      <c r="H687" s="132" t="b">
        <f aca="false">FALSE()</f>
        <v>0</v>
      </c>
      <c r="I687" s="132" t="b">
        <f aca="false">FALSE()</f>
        <v>0</v>
      </c>
      <c r="J687" s="126"/>
      <c r="K687" s="99"/>
      <c r="L687" s="83"/>
      <c r="M687" s="103"/>
      <c r="N687" s="103"/>
      <c r="O687" s="103"/>
      <c r="P687" s="103"/>
      <c r="Q687" s="103"/>
      <c r="R687" s="83"/>
      <c r="S687" s="103"/>
      <c r="T687" s="103"/>
      <c r="U687" s="103"/>
    </row>
    <row r="688" customFormat="false" ht="22.5" hidden="false" customHeight="true" outlineLevel="0" collapsed="false">
      <c r="A688" s="110"/>
      <c r="B688" s="110"/>
      <c r="C688" s="110"/>
      <c r="D688" s="122"/>
      <c r="E688" s="110"/>
      <c r="F688" s="128" t="str">
        <f aca="false">IF(E688="CONTADO", 4%, IF(E688="TARJETA / CHEQUE", 3%, IF(OR(E688="FINANCIADO", E688="MCP"), 2.5%, "")))</f>
        <v/>
      </c>
      <c r="G688" s="122" t="str">
        <f aca="false">IF(F688="", "", F688*D688)</f>
        <v/>
      </c>
      <c r="H688" s="131" t="b">
        <f aca="false">FALSE()</f>
        <v>0</v>
      </c>
      <c r="I688" s="131" t="b">
        <f aca="false">FALSE()</f>
        <v>0</v>
      </c>
      <c r="J688" s="130"/>
      <c r="K688" s="110"/>
      <c r="L688" s="83"/>
      <c r="M688" s="103"/>
      <c r="N688" s="103"/>
      <c r="O688" s="103"/>
      <c r="P688" s="103"/>
      <c r="Q688" s="103"/>
      <c r="R688" s="83"/>
      <c r="S688" s="103"/>
      <c r="T688" s="103"/>
      <c r="U688" s="103"/>
    </row>
    <row r="689" customFormat="false" ht="22.5" hidden="false" customHeight="true" outlineLevel="0" collapsed="false">
      <c r="A689" s="99"/>
      <c r="B689" s="99"/>
      <c r="C689" s="99"/>
      <c r="D689" s="121"/>
      <c r="E689" s="99"/>
      <c r="F689" s="124" t="str">
        <f aca="false">IF(E689="CONTADO", 4%, IF(E689="TARJETA / CHEQUE", 3%, IF(OR(E689="FINANCIADO", E689="MCP"), 2.5%, "")))</f>
        <v/>
      </c>
      <c r="G689" s="121" t="str">
        <f aca="false">IF(F689="", "", F689*D689)</f>
        <v/>
      </c>
      <c r="H689" s="132" t="b">
        <f aca="false">FALSE()</f>
        <v>0</v>
      </c>
      <c r="I689" s="132" t="b">
        <f aca="false">FALSE()</f>
        <v>0</v>
      </c>
      <c r="J689" s="126"/>
      <c r="K689" s="99"/>
      <c r="L689" s="83"/>
      <c r="M689" s="103"/>
      <c r="N689" s="103"/>
      <c r="O689" s="103"/>
      <c r="P689" s="103"/>
      <c r="Q689" s="103"/>
      <c r="R689" s="83"/>
      <c r="S689" s="103"/>
      <c r="T689" s="103"/>
      <c r="U689" s="103"/>
    </row>
    <row r="690" customFormat="false" ht="22.5" hidden="false" customHeight="true" outlineLevel="0" collapsed="false">
      <c r="A690" s="110"/>
      <c r="B690" s="110"/>
      <c r="C690" s="110"/>
      <c r="D690" s="122"/>
      <c r="E690" s="110"/>
      <c r="F690" s="128" t="str">
        <f aca="false">IF(E690="CONTADO", 4%, IF(E690="TARJETA / CHEQUE", 3%, IF(OR(E690="FINANCIADO", E690="MCP"), 2.5%, "")))</f>
        <v/>
      </c>
      <c r="G690" s="122" t="str">
        <f aca="false">IF(F690="", "", F690*D690)</f>
        <v/>
      </c>
      <c r="H690" s="131" t="b">
        <f aca="false">FALSE()</f>
        <v>0</v>
      </c>
      <c r="I690" s="131" t="b">
        <f aca="false">FALSE()</f>
        <v>0</v>
      </c>
      <c r="J690" s="130"/>
      <c r="K690" s="110"/>
      <c r="L690" s="83"/>
      <c r="M690" s="103"/>
      <c r="N690" s="103"/>
      <c r="O690" s="103"/>
      <c r="P690" s="103"/>
      <c r="Q690" s="103"/>
      <c r="R690" s="83"/>
      <c r="S690" s="103"/>
      <c r="T690" s="103"/>
      <c r="U690" s="103"/>
    </row>
    <row r="691" customFormat="false" ht="22.5" hidden="false" customHeight="true" outlineLevel="0" collapsed="false">
      <c r="A691" s="99"/>
      <c r="B691" s="99"/>
      <c r="C691" s="99"/>
      <c r="D691" s="121"/>
      <c r="E691" s="99"/>
      <c r="F691" s="124" t="str">
        <f aca="false">IF(E691="CONTADO", 4%, IF(E691="TARJETA / CHEQUE", 3%, IF(OR(E691="FINANCIADO", E691="MCP"), 2.5%, "")))</f>
        <v/>
      </c>
      <c r="G691" s="121" t="str">
        <f aca="false">IF(F691="", "", F691*D691)</f>
        <v/>
      </c>
      <c r="H691" s="132" t="b">
        <f aca="false">FALSE()</f>
        <v>0</v>
      </c>
      <c r="I691" s="132" t="b">
        <f aca="false">FALSE()</f>
        <v>0</v>
      </c>
      <c r="J691" s="126"/>
      <c r="K691" s="99"/>
      <c r="L691" s="83"/>
      <c r="M691" s="103"/>
      <c r="N691" s="103"/>
      <c r="O691" s="103"/>
      <c r="P691" s="103"/>
      <c r="Q691" s="103"/>
      <c r="R691" s="83"/>
      <c r="S691" s="103"/>
      <c r="T691" s="103"/>
      <c r="U691" s="103"/>
    </row>
    <row r="692" customFormat="false" ht="22.5" hidden="false" customHeight="true" outlineLevel="0" collapsed="false">
      <c r="A692" s="110"/>
      <c r="B692" s="110"/>
      <c r="C692" s="110"/>
      <c r="D692" s="122"/>
      <c r="E692" s="110"/>
      <c r="F692" s="128" t="str">
        <f aca="false">IF(E692="CONTADO", 4%, IF(E692="TARJETA / CHEQUE", 3%, IF(OR(E692="FINANCIADO", E692="MCP"), 2.5%, "")))</f>
        <v/>
      </c>
      <c r="G692" s="122" t="str">
        <f aca="false">IF(F692="", "", F692*D692)</f>
        <v/>
      </c>
      <c r="H692" s="131" t="b">
        <f aca="false">FALSE()</f>
        <v>0</v>
      </c>
      <c r="I692" s="131" t="b">
        <f aca="false">FALSE()</f>
        <v>0</v>
      </c>
      <c r="J692" s="130"/>
      <c r="K692" s="110"/>
      <c r="L692" s="83"/>
      <c r="M692" s="103"/>
      <c r="N692" s="103"/>
      <c r="O692" s="103"/>
      <c r="P692" s="103"/>
      <c r="Q692" s="103"/>
      <c r="R692" s="83"/>
      <c r="S692" s="103"/>
      <c r="T692" s="103"/>
      <c r="U692" s="103"/>
    </row>
    <row r="693" customFormat="false" ht="22.5" hidden="false" customHeight="true" outlineLevel="0" collapsed="false">
      <c r="A693" s="99"/>
      <c r="B693" s="99"/>
      <c r="C693" s="99"/>
      <c r="D693" s="121"/>
      <c r="E693" s="99"/>
      <c r="F693" s="124" t="str">
        <f aca="false">IF(E693="CONTADO", 4%, IF(E693="TARJETA / CHEQUE", 3%, IF(OR(E693="FINANCIADO", E693="MCP"), 2.5%, "")))</f>
        <v/>
      </c>
      <c r="G693" s="121" t="str">
        <f aca="false">IF(F693="", "", F693*D693)</f>
        <v/>
      </c>
      <c r="H693" s="132" t="b">
        <f aca="false">FALSE()</f>
        <v>0</v>
      </c>
      <c r="I693" s="132" t="b">
        <f aca="false">FALSE()</f>
        <v>0</v>
      </c>
      <c r="J693" s="126"/>
      <c r="K693" s="99"/>
      <c r="L693" s="83"/>
      <c r="M693" s="103"/>
      <c r="N693" s="103"/>
      <c r="O693" s="103"/>
      <c r="P693" s="103"/>
      <c r="Q693" s="103"/>
      <c r="R693" s="83"/>
      <c r="S693" s="103"/>
      <c r="T693" s="103"/>
      <c r="U693" s="103"/>
    </row>
    <row r="694" customFormat="false" ht="22.5" hidden="false" customHeight="true" outlineLevel="0" collapsed="false">
      <c r="A694" s="110"/>
      <c r="B694" s="110"/>
      <c r="C694" s="110"/>
      <c r="D694" s="122"/>
      <c r="E694" s="110"/>
      <c r="F694" s="128" t="str">
        <f aca="false">IF(E694="CONTADO", 4%, IF(E694="TARJETA / CHEQUE", 3%, IF(OR(E694="FINANCIADO", E694="MCP"), 2.5%, "")))</f>
        <v/>
      </c>
      <c r="G694" s="122" t="str">
        <f aca="false">IF(F694="", "", F694*D694)</f>
        <v/>
      </c>
      <c r="H694" s="131" t="b">
        <f aca="false">FALSE()</f>
        <v>0</v>
      </c>
      <c r="I694" s="131" t="b">
        <f aca="false">FALSE()</f>
        <v>0</v>
      </c>
      <c r="J694" s="130"/>
      <c r="K694" s="110"/>
      <c r="L694" s="83"/>
      <c r="M694" s="103"/>
      <c r="N694" s="103"/>
      <c r="O694" s="103"/>
      <c r="P694" s="103"/>
      <c r="Q694" s="103"/>
      <c r="R694" s="83"/>
      <c r="S694" s="103"/>
      <c r="T694" s="103"/>
      <c r="U694" s="103"/>
    </row>
    <row r="695" customFormat="false" ht="22.5" hidden="false" customHeight="true" outlineLevel="0" collapsed="false">
      <c r="A695" s="99"/>
      <c r="B695" s="99"/>
      <c r="C695" s="99"/>
      <c r="D695" s="121"/>
      <c r="E695" s="99"/>
      <c r="F695" s="124" t="str">
        <f aca="false">IF(E695="CONTADO", 4%, IF(E695="TARJETA / CHEQUE", 3%, IF(OR(E695="FINANCIADO", E695="MCP"), 2.5%, "")))</f>
        <v/>
      </c>
      <c r="G695" s="121" t="str">
        <f aca="false">IF(F695="", "", F695*D695)</f>
        <v/>
      </c>
      <c r="H695" s="132" t="b">
        <f aca="false">FALSE()</f>
        <v>0</v>
      </c>
      <c r="I695" s="132" t="b">
        <f aca="false">FALSE()</f>
        <v>0</v>
      </c>
      <c r="J695" s="126"/>
      <c r="K695" s="99"/>
      <c r="L695" s="83"/>
      <c r="M695" s="103"/>
      <c r="N695" s="103"/>
      <c r="O695" s="103"/>
      <c r="P695" s="103"/>
      <c r="Q695" s="103"/>
      <c r="R695" s="83"/>
      <c r="S695" s="103"/>
      <c r="T695" s="103"/>
      <c r="U695" s="103"/>
    </row>
    <row r="696" customFormat="false" ht="22.5" hidden="false" customHeight="true" outlineLevel="0" collapsed="false">
      <c r="A696" s="110"/>
      <c r="B696" s="110"/>
      <c r="C696" s="110"/>
      <c r="D696" s="122"/>
      <c r="E696" s="110"/>
      <c r="F696" s="128" t="str">
        <f aca="false">IF(E696="CONTADO", 4%, IF(E696="TARJETA / CHEQUE", 3%, IF(OR(E696="FINANCIADO", E696="MCP"), 2.5%, "")))</f>
        <v/>
      </c>
      <c r="G696" s="122" t="str">
        <f aca="false">IF(F696="", "", F696*D696)</f>
        <v/>
      </c>
      <c r="H696" s="131" t="b">
        <f aca="false">FALSE()</f>
        <v>0</v>
      </c>
      <c r="I696" s="131" t="b">
        <f aca="false">FALSE()</f>
        <v>0</v>
      </c>
      <c r="J696" s="130"/>
      <c r="K696" s="110"/>
      <c r="L696" s="83"/>
      <c r="M696" s="103"/>
      <c r="N696" s="103"/>
      <c r="O696" s="103"/>
      <c r="P696" s="103"/>
      <c r="Q696" s="103"/>
      <c r="R696" s="83"/>
      <c r="S696" s="103"/>
      <c r="T696" s="103"/>
      <c r="U696" s="103"/>
    </row>
    <row r="697" customFormat="false" ht="22.5" hidden="false" customHeight="true" outlineLevel="0" collapsed="false">
      <c r="A697" s="99"/>
      <c r="B697" s="99"/>
      <c r="C697" s="99"/>
      <c r="D697" s="121"/>
      <c r="E697" s="99"/>
      <c r="F697" s="124" t="str">
        <f aca="false">IF(E697="CONTADO", 4%, IF(E697="TARJETA / CHEQUE", 3%, IF(OR(E697="FINANCIADO", E697="MCP"), 2.5%, "")))</f>
        <v/>
      </c>
      <c r="G697" s="121" t="str">
        <f aca="false">IF(F697="", "", F697*D697)</f>
        <v/>
      </c>
      <c r="H697" s="132" t="b">
        <f aca="false">FALSE()</f>
        <v>0</v>
      </c>
      <c r="I697" s="132" t="b">
        <f aca="false">FALSE()</f>
        <v>0</v>
      </c>
      <c r="J697" s="126"/>
      <c r="K697" s="99"/>
      <c r="L697" s="83"/>
      <c r="M697" s="103"/>
      <c r="N697" s="103"/>
      <c r="O697" s="103"/>
      <c r="P697" s="103"/>
      <c r="Q697" s="103"/>
      <c r="R697" s="83"/>
      <c r="S697" s="103"/>
      <c r="T697" s="103"/>
      <c r="U697" s="103"/>
    </row>
    <row r="698" customFormat="false" ht="22.5" hidden="false" customHeight="true" outlineLevel="0" collapsed="false">
      <c r="A698" s="110"/>
      <c r="B698" s="110"/>
      <c r="C698" s="110"/>
      <c r="D698" s="122"/>
      <c r="E698" s="110"/>
      <c r="F698" s="128" t="str">
        <f aca="false">IF(E698="CONTADO", 4%, IF(E698="TARJETA / CHEQUE", 3%, IF(OR(E698="FINANCIADO", E698="MCP"), 2.5%, "")))</f>
        <v/>
      </c>
      <c r="G698" s="122" t="str">
        <f aca="false">IF(F698="", "", F698*D698)</f>
        <v/>
      </c>
      <c r="H698" s="131" t="b">
        <f aca="false">FALSE()</f>
        <v>0</v>
      </c>
      <c r="I698" s="131" t="b">
        <f aca="false">FALSE()</f>
        <v>0</v>
      </c>
      <c r="J698" s="130"/>
      <c r="K698" s="110"/>
      <c r="L698" s="83"/>
      <c r="M698" s="103"/>
      <c r="N698" s="103"/>
      <c r="O698" s="103"/>
      <c r="P698" s="103"/>
      <c r="Q698" s="103"/>
      <c r="R698" s="83"/>
      <c r="S698" s="103"/>
      <c r="T698" s="103"/>
      <c r="U698" s="103"/>
    </row>
    <row r="699" customFormat="false" ht="22.5" hidden="false" customHeight="true" outlineLevel="0" collapsed="false">
      <c r="A699" s="99"/>
      <c r="B699" s="99"/>
      <c r="C699" s="99"/>
      <c r="D699" s="121"/>
      <c r="E699" s="99"/>
      <c r="F699" s="124" t="str">
        <f aca="false">IF(E699="CONTADO", 4%, IF(E699="TARJETA / CHEQUE", 3%, IF(OR(E699="FINANCIADO", E699="MCP"), 2.5%, "")))</f>
        <v/>
      </c>
      <c r="G699" s="121" t="str">
        <f aca="false">IF(F699="", "", F699*D699)</f>
        <v/>
      </c>
      <c r="H699" s="132" t="b">
        <f aca="false">FALSE()</f>
        <v>0</v>
      </c>
      <c r="I699" s="132" t="b">
        <f aca="false">FALSE()</f>
        <v>0</v>
      </c>
      <c r="J699" s="126"/>
      <c r="K699" s="99"/>
      <c r="L699" s="83"/>
      <c r="M699" s="103"/>
      <c r="N699" s="103"/>
      <c r="O699" s="103"/>
      <c r="P699" s="103"/>
      <c r="Q699" s="103"/>
      <c r="R699" s="83"/>
      <c r="S699" s="103"/>
      <c r="T699" s="103"/>
      <c r="U699" s="103"/>
    </row>
    <row r="700" customFormat="false" ht="22.5" hidden="false" customHeight="true" outlineLevel="0" collapsed="false">
      <c r="A700" s="110"/>
      <c r="B700" s="110"/>
      <c r="C700" s="110"/>
      <c r="D700" s="122"/>
      <c r="E700" s="110"/>
      <c r="F700" s="128" t="str">
        <f aca="false">IF(E700="CONTADO", 4%, IF(E700="TARJETA / CHEQUE", 3%, IF(OR(E700="FINANCIADO", E700="MCP"), 2.5%, "")))</f>
        <v/>
      </c>
      <c r="G700" s="122" t="str">
        <f aca="false">IF(F700="", "", F700*D700)</f>
        <v/>
      </c>
      <c r="H700" s="131" t="b">
        <f aca="false">FALSE()</f>
        <v>0</v>
      </c>
      <c r="I700" s="131" t="b">
        <f aca="false">FALSE()</f>
        <v>0</v>
      </c>
      <c r="J700" s="130"/>
      <c r="K700" s="110"/>
      <c r="L700" s="83"/>
      <c r="M700" s="103"/>
      <c r="N700" s="103"/>
      <c r="O700" s="103"/>
      <c r="P700" s="103"/>
      <c r="Q700" s="103"/>
      <c r="R700" s="83"/>
      <c r="S700" s="103"/>
      <c r="T700" s="103"/>
      <c r="U700" s="103"/>
    </row>
    <row r="701" customFormat="false" ht="22.5" hidden="false" customHeight="true" outlineLevel="0" collapsed="false">
      <c r="A701" s="99"/>
      <c r="B701" s="99"/>
      <c r="C701" s="99"/>
      <c r="D701" s="121"/>
      <c r="E701" s="99"/>
      <c r="F701" s="124" t="str">
        <f aca="false">IF(E701="CONTADO", 4%, IF(E701="TARJETA / CHEQUE", 3%, IF(OR(E701="FINANCIADO", E701="MCP"), 2.5%, "")))</f>
        <v/>
      </c>
      <c r="G701" s="121" t="str">
        <f aca="false">IF(F701="", "", F701*D701)</f>
        <v/>
      </c>
      <c r="H701" s="132" t="b">
        <f aca="false">FALSE()</f>
        <v>0</v>
      </c>
      <c r="I701" s="132" t="b">
        <f aca="false">FALSE()</f>
        <v>0</v>
      </c>
      <c r="J701" s="126"/>
      <c r="K701" s="99"/>
      <c r="L701" s="83"/>
      <c r="M701" s="103"/>
      <c r="N701" s="103"/>
      <c r="O701" s="103"/>
      <c r="P701" s="103"/>
      <c r="Q701" s="103"/>
      <c r="R701" s="83"/>
      <c r="S701" s="103"/>
      <c r="T701" s="103"/>
      <c r="U701" s="103"/>
    </row>
    <row r="702" customFormat="false" ht="22.5" hidden="false" customHeight="true" outlineLevel="0" collapsed="false">
      <c r="A702" s="110"/>
      <c r="B702" s="110"/>
      <c r="C702" s="110"/>
      <c r="D702" s="122"/>
      <c r="E702" s="110"/>
      <c r="F702" s="128" t="str">
        <f aca="false">IF(E702="CONTADO", 4%, IF(E702="TARJETA / CHEQUE", 3%, IF(OR(E702="FINANCIADO", E702="MCP"), 2.5%, "")))</f>
        <v/>
      </c>
      <c r="G702" s="122" t="str">
        <f aca="false">IF(F702="", "", F702*D702)</f>
        <v/>
      </c>
      <c r="H702" s="131" t="b">
        <f aca="false">FALSE()</f>
        <v>0</v>
      </c>
      <c r="I702" s="131" t="b">
        <f aca="false">FALSE()</f>
        <v>0</v>
      </c>
      <c r="J702" s="130"/>
      <c r="K702" s="110"/>
      <c r="L702" s="83"/>
      <c r="M702" s="103"/>
      <c r="N702" s="103"/>
      <c r="O702" s="103"/>
      <c r="P702" s="103"/>
      <c r="Q702" s="103"/>
      <c r="R702" s="83"/>
      <c r="S702" s="103"/>
      <c r="T702" s="103"/>
      <c r="U702" s="103"/>
    </row>
    <row r="703" customFormat="false" ht="22.5" hidden="false" customHeight="true" outlineLevel="0" collapsed="false">
      <c r="A703" s="99"/>
      <c r="B703" s="99"/>
      <c r="C703" s="99"/>
      <c r="D703" s="121"/>
      <c r="E703" s="99"/>
      <c r="F703" s="124" t="str">
        <f aca="false">IF(E703="CONTADO", 4%, IF(E703="TARJETA / CHEQUE", 3%, IF(OR(E703="FINANCIADO", E703="MCP"), 2.5%, "")))</f>
        <v/>
      </c>
      <c r="G703" s="121" t="str">
        <f aca="false">IF(F703="", "", F703*D703)</f>
        <v/>
      </c>
      <c r="H703" s="132" t="b">
        <f aca="false">FALSE()</f>
        <v>0</v>
      </c>
      <c r="I703" s="132" t="b">
        <f aca="false">FALSE()</f>
        <v>0</v>
      </c>
      <c r="J703" s="126"/>
      <c r="K703" s="99"/>
      <c r="L703" s="83"/>
      <c r="M703" s="103"/>
      <c r="N703" s="103"/>
      <c r="O703" s="103"/>
      <c r="P703" s="103"/>
      <c r="Q703" s="103"/>
      <c r="R703" s="83"/>
      <c r="S703" s="103"/>
      <c r="T703" s="103"/>
      <c r="U703" s="103"/>
    </row>
    <row r="704" customFormat="false" ht="22.5" hidden="false" customHeight="true" outlineLevel="0" collapsed="false">
      <c r="A704" s="110"/>
      <c r="B704" s="110"/>
      <c r="C704" s="110"/>
      <c r="D704" s="122"/>
      <c r="E704" s="110"/>
      <c r="F704" s="128" t="str">
        <f aca="false">IF(E704="CONTADO", 4%, IF(E704="TARJETA / CHEQUE", 3%, IF(OR(E704="FINANCIADO", E704="MCP"), 2.5%, "")))</f>
        <v/>
      </c>
      <c r="G704" s="122" t="str">
        <f aca="false">IF(F704="", "", F704*D704)</f>
        <v/>
      </c>
      <c r="H704" s="131" t="b">
        <f aca="false">FALSE()</f>
        <v>0</v>
      </c>
      <c r="I704" s="131" t="b">
        <f aca="false">FALSE()</f>
        <v>0</v>
      </c>
      <c r="J704" s="130"/>
      <c r="K704" s="110"/>
      <c r="L704" s="83"/>
      <c r="M704" s="103"/>
      <c r="N704" s="103"/>
      <c r="O704" s="103"/>
      <c r="P704" s="103"/>
      <c r="Q704" s="103"/>
      <c r="R704" s="83"/>
      <c r="S704" s="103"/>
      <c r="T704" s="103"/>
      <c r="U704" s="103"/>
    </row>
    <row r="705" customFormat="false" ht="22.5" hidden="false" customHeight="true" outlineLevel="0" collapsed="false">
      <c r="A705" s="99"/>
      <c r="B705" s="99"/>
      <c r="C705" s="99"/>
      <c r="D705" s="121"/>
      <c r="E705" s="99"/>
      <c r="F705" s="124" t="str">
        <f aca="false">IF(E705="CONTADO", 4%, IF(E705="TARJETA / CHEQUE", 3%, IF(OR(E705="FINANCIADO", E705="MCP"), 2.5%, "")))</f>
        <v/>
      </c>
      <c r="G705" s="121" t="str">
        <f aca="false">IF(F705="", "", F705*D705)</f>
        <v/>
      </c>
      <c r="H705" s="132" t="b">
        <f aca="false">FALSE()</f>
        <v>0</v>
      </c>
      <c r="I705" s="132" t="b">
        <f aca="false">FALSE()</f>
        <v>0</v>
      </c>
      <c r="J705" s="126"/>
      <c r="K705" s="99"/>
      <c r="L705" s="83"/>
      <c r="M705" s="103"/>
      <c r="N705" s="103"/>
      <c r="O705" s="103"/>
      <c r="P705" s="103"/>
      <c r="Q705" s="103"/>
      <c r="R705" s="83"/>
      <c r="S705" s="103"/>
      <c r="T705" s="103"/>
      <c r="U705" s="103"/>
    </row>
    <row r="706" customFormat="false" ht="22.5" hidden="false" customHeight="true" outlineLevel="0" collapsed="false">
      <c r="A706" s="110"/>
      <c r="B706" s="110"/>
      <c r="C706" s="110"/>
      <c r="D706" s="122"/>
      <c r="E706" s="110"/>
      <c r="F706" s="128" t="str">
        <f aca="false">IF(E706="CONTADO", 4%, IF(E706="TARJETA / CHEQUE", 3%, IF(OR(E706="FINANCIADO", E706="MCP"), 2.5%, "")))</f>
        <v/>
      </c>
      <c r="G706" s="122" t="str">
        <f aca="false">IF(F706="", "", F706*D706)</f>
        <v/>
      </c>
      <c r="H706" s="131" t="b">
        <f aca="false">FALSE()</f>
        <v>0</v>
      </c>
      <c r="I706" s="131" t="b">
        <f aca="false">FALSE()</f>
        <v>0</v>
      </c>
      <c r="J706" s="130"/>
      <c r="K706" s="110"/>
      <c r="L706" s="83"/>
      <c r="M706" s="103"/>
      <c r="N706" s="103"/>
      <c r="O706" s="103"/>
      <c r="P706" s="103"/>
      <c r="Q706" s="103"/>
      <c r="R706" s="83"/>
      <c r="S706" s="103"/>
      <c r="T706" s="103"/>
      <c r="U706" s="103"/>
    </row>
    <row r="707" customFormat="false" ht="22.5" hidden="false" customHeight="true" outlineLevel="0" collapsed="false">
      <c r="A707" s="99"/>
      <c r="B707" s="99"/>
      <c r="C707" s="99"/>
      <c r="D707" s="121"/>
      <c r="E707" s="99"/>
      <c r="F707" s="124" t="str">
        <f aca="false">IF(E707="CONTADO", 4%, IF(E707="TARJETA / CHEQUE", 3%, IF(OR(E707="FINANCIADO", E707="MCP"), 2.5%, "")))</f>
        <v/>
      </c>
      <c r="G707" s="121" t="str">
        <f aca="false">IF(F707="", "", F707*D707)</f>
        <v/>
      </c>
      <c r="H707" s="132" t="b">
        <f aca="false">FALSE()</f>
        <v>0</v>
      </c>
      <c r="I707" s="132" t="b">
        <f aca="false">FALSE()</f>
        <v>0</v>
      </c>
      <c r="J707" s="126"/>
      <c r="K707" s="99"/>
      <c r="L707" s="83"/>
      <c r="M707" s="103"/>
      <c r="N707" s="103"/>
      <c r="O707" s="103"/>
      <c r="P707" s="103"/>
      <c r="Q707" s="103"/>
      <c r="R707" s="83"/>
      <c r="S707" s="103"/>
      <c r="T707" s="103"/>
      <c r="U707" s="103"/>
    </row>
    <row r="708" customFormat="false" ht="22.5" hidden="false" customHeight="true" outlineLevel="0" collapsed="false">
      <c r="A708" s="110"/>
      <c r="B708" s="110"/>
      <c r="C708" s="110"/>
      <c r="D708" s="122"/>
      <c r="E708" s="110"/>
      <c r="F708" s="128" t="str">
        <f aca="false">IF(E708="CONTADO", 4%, IF(E708="TARJETA / CHEQUE", 3%, IF(OR(E708="FINANCIADO", E708="MCP"), 2.5%, "")))</f>
        <v/>
      </c>
      <c r="G708" s="122" t="str">
        <f aca="false">IF(F708="", "", F708*D708)</f>
        <v/>
      </c>
      <c r="H708" s="131" t="b">
        <f aca="false">FALSE()</f>
        <v>0</v>
      </c>
      <c r="I708" s="131" t="b">
        <f aca="false">FALSE()</f>
        <v>0</v>
      </c>
      <c r="J708" s="130"/>
      <c r="K708" s="110"/>
      <c r="L708" s="83"/>
      <c r="M708" s="103"/>
      <c r="N708" s="103"/>
      <c r="O708" s="103"/>
      <c r="P708" s="103"/>
      <c r="Q708" s="103"/>
      <c r="R708" s="83"/>
      <c r="S708" s="103"/>
      <c r="T708" s="103"/>
      <c r="U708" s="103"/>
    </row>
    <row r="709" customFormat="false" ht="22.5" hidden="false" customHeight="true" outlineLevel="0" collapsed="false">
      <c r="A709" s="99"/>
      <c r="B709" s="99"/>
      <c r="C709" s="99"/>
      <c r="D709" s="121"/>
      <c r="E709" s="99"/>
      <c r="F709" s="124" t="str">
        <f aca="false">IF(E709="CONTADO", 4%, IF(E709="TARJETA / CHEQUE", 3%, IF(OR(E709="FINANCIADO", E709="MCP"), 2.5%, "")))</f>
        <v/>
      </c>
      <c r="G709" s="121" t="str">
        <f aca="false">IF(F709="", "", F709*D709)</f>
        <v/>
      </c>
      <c r="H709" s="132" t="b">
        <f aca="false">FALSE()</f>
        <v>0</v>
      </c>
      <c r="I709" s="132" t="b">
        <f aca="false">FALSE()</f>
        <v>0</v>
      </c>
      <c r="J709" s="126"/>
      <c r="K709" s="99"/>
      <c r="L709" s="83"/>
      <c r="M709" s="103"/>
      <c r="N709" s="103"/>
      <c r="O709" s="103"/>
      <c r="P709" s="103"/>
      <c r="Q709" s="103"/>
      <c r="R709" s="83"/>
      <c r="S709" s="103"/>
      <c r="T709" s="103"/>
      <c r="U709" s="103"/>
    </row>
    <row r="710" customFormat="false" ht="22.5" hidden="false" customHeight="true" outlineLevel="0" collapsed="false">
      <c r="A710" s="110"/>
      <c r="B710" s="110"/>
      <c r="C710" s="110"/>
      <c r="D710" s="122"/>
      <c r="E710" s="110"/>
      <c r="F710" s="128" t="str">
        <f aca="false">IF(E710="CONTADO", 4%, IF(E710="TARJETA / CHEQUE", 3%, IF(OR(E710="FINANCIADO", E710="MCP"), 2.5%, "")))</f>
        <v/>
      </c>
      <c r="G710" s="122" t="str">
        <f aca="false">IF(F710="", "", F710*D710)</f>
        <v/>
      </c>
      <c r="H710" s="131" t="b">
        <f aca="false">FALSE()</f>
        <v>0</v>
      </c>
      <c r="I710" s="131" t="b">
        <f aca="false">FALSE()</f>
        <v>0</v>
      </c>
      <c r="J710" s="130"/>
      <c r="K710" s="110"/>
      <c r="L710" s="83"/>
      <c r="M710" s="103"/>
      <c r="N710" s="103"/>
      <c r="O710" s="103"/>
      <c r="P710" s="103"/>
      <c r="Q710" s="103"/>
      <c r="R710" s="83"/>
      <c r="S710" s="103"/>
      <c r="T710" s="103"/>
      <c r="U710" s="103"/>
    </row>
    <row r="711" customFormat="false" ht="22.5" hidden="false" customHeight="true" outlineLevel="0" collapsed="false">
      <c r="A711" s="99"/>
      <c r="B711" s="99"/>
      <c r="C711" s="99"/>
      <c r="D711" s="121"/>
      <c r="E711" s="99"/>
      <c r="F711" s="124" t="str">
        <f aca="false">IF(E711="CONTADO", 4%, IF(E711="TARJETA / CHEQUE", 3%, IF(OR(E711="FINANCIADO", E711="MCP"), 2.5%, "")))</f>
        <v/>
      </c>
      <c r="G711" s="121" t="str">
        <f aca="false">IF(F711="", "", F711*D711)</f>
        <v/>
      </c>
      <c r="H711" s="132" t="b">
        <f aca="false">FALSE()</f>
        <v>0</v>
      </c>
      <c r="I711" s="132" t="b">
        <f aca="false">FALSE()</f>
        <v>0</v>
      </c>
      <c r="J711" s="126"/>
      <c r="K711" s="99"/>
      <c r="L711" s="83"/>
      <c r="M711" s="103"/>
      <c r="N711" s="103"/>
      <c r="O711" s="103"/>
      <c r="P711" s="103"/>
      <c r="Q711" s="103"/>
      <c r="R711" s="83"/>
      <c r="S711" s="103"/>
      <c r="T711" s="103"/>
      <c r="U711" s="103"/>
    </row>
    <row r="712" customFormat="false" ht="22.5" hidden="false" customHeight="true" outlineLevel="0" collapsed="false">
      <c r="A712" s="110"/>
      <c r="B712" s="110"/>
      <c r="C712" s="110"/>
      <c r="D712" s="122"/>
      <c r="E712" s="110"/>
      <c r="F712" s="128" t="str">
        <f aca="false">IF(E712="CONTADO", 4%, IF(E712="TARJETA / CHEQUE", 3%, IF(OR(E712="FINANCIADO", E712="MCP"), 2.5%, "")))</f>
        <v/>
      </c>
      <c r="G712" s="122" t="str">
        <f aca="false">IF(F712="", "", F712*D712)</f>
        <v/>
      </c>
      <c r="H712" s="131" t="b">
        <f aca="false">FALSE()</f>
        <v>0</v>
      </c>
      <c r="I712" s="131" t="b">
        <f aca="false">FALSE()</f>
        <v>0</v>
      </c>
      <c r="J712" s="130"/>
      <c r="K712" s="110"/>
      <c r="L712" s="83"/>
      <c r="M712" s="103"/>
      <c r="N712" s="103"/>
      <c r="O712" s="103"/>
      <c r="P712" s="103"/>
      <c r="Q712" s="103"/>
      <c r="R712" s="83"/>
      <c r="S712" s="103"/>
      <c r="T712" s="103"/>
      <c r="U712" s="103"/>
    </row>
    <row r="713" customFormat="false" ht="22.5" hidden="false" customHeight="true" outlineLevel="0" collapsed="false">
      <c r="A713" s="99"/>
      <c r="B713" s="99"/>
      <c r="C713" s="99"/>
      <c r="D713" s="121"/>
      <c r="E713" s="99"/>
      <c r="F713" s="124" t="str">
        <f aca="false">IF(E713="CONTADO", 4%, IF(E713="TARJETA / CHEQUE", 3%, IF(OR(E713="FINANCIADO", E713="MCP"), 2.5%, "")))</f>
        <v/>
      </c>
      <c r="G713" s="121" t="str">
        <f aca="false">IF(F713="", "", F713*D713)</f>
        <v/>
      </c>
      <c r="H713" s="132" t="b">
        <f aca="false">FALSE()</f>
        <v>0</v>
      </c>
      <c r="I713" s="132" t="b">
        <f aca="false">FALSE()</f>
        <v>0</v>
      </c>
      <c r="J713" s="126"/>
      <c r="K713" s="99"/>
      <c r="L713" s="83"/>
      <c r="M713" s="103"/>
      <c r="N713" s="103"/>
      <c r="O713" s="103"/>
      <c r="P713" s="103"/>
      <c r="Q713" s="103"/>
      <c r="R713" s="83"/>
      <c r="S713" s="103"/>
      <c r="T713" s="103"/>
      <c r="U713" s="103"/>
    </row>
    <row r="714" customFormat="false" ht="22.5" hidden="false" customHeight="true" outlineLevel="0" collapsed="false">
      <c r="A714" s="110"/>
      <c r="B714" s="110"/>
      <c r="C714" s="110"/>
      <c r="D714" s="122"/>
      <c r="E714" s="110"/>
      <c r="F714" s="128" t="str">
        <f aca="false">IF(E714="CONTADO", 4%, IF(E714="TARJETA / CHEQUE", 3%, IF(OR(E714="FINANCIADO", E714="MCP"), 2.5%, "")))</f>
        <v/>
      </c>
      <c r="G714" s="122" t="str">
        <f aca="false">IF(F714="", "", F714*D714)</f>
        <v/>
      </c>
      <c r="H714" s="131" t="b">
        <f aca="false">FALSE()</f>
        <v>0</v>
      </c>
      <c r="I714" s="131" t="b">
        <f aca="false">FALSE()</f>
        <v>0</v>
      </c>
      <c r="J714" s="130"/>
      <c r="K714" s="110"/>
      <c r="L714" s="83"/>
      <c r="M714" s="103"/>
      <c r="N714" s="103"/>
      <c r="O714" s="103"/>
      <c r="P714" s="103"/>
      <c r="Q714" s="103"/>
      <c r="R714" s="83"/>
      <c r="S714" s="103"/>
      <c r="T714" s="103"/>
      <c r="U714" s="103"/>
    </row>
    <row r="715" customFormat="false" ht="22.5" hidden="false" customHeight="true" outlineLevel="0" collapsed="false">
      <c r="A715" s="99"/>
      <c r="B715" s="99"/>
      <c r="C715" s="99"/>
      <c r="D715" s="121"/>
      <c r="E715" s="99"/>
      <c r="F715" s="124" t="str">
        <f aca="false">IF(E715="CONTADO", 4%, IF(E715="TARJETA / CHEQUE", 3%, IF(OR(E715="FINANCIADO", E715="MCP"), 2.5%, "")))</f>
        <v/>
      </c>
      <c r="G715" s="121" t="str">
        <f aca="false">IF(F715="", "", F715*D715)</f>
        <v/>
      </c>
      <c r="H715" s="132" t="b">
        <f aca="false">FALSE()</f>
        <v>0</v>
      </c>
      <c r="I715" s="132" t="b">
        <f aca="false">FALSE()</f>
        <v>0</v>
      </c>
      <c r="J715" s="126"/>
      <c r="K715" s="99"/>
      <c r="L715" s="83"/>
      <c r="M715" s="103"/>
      <c r="N715" s="103"/>
      <c r="O715" s="103"/>
      <c r="P715" s="103"/>
      <c r="Q715" s="103"/>
      <c r="R715" s="83"/>
      <c r="S715" s="103"/>
      <c r="T715" s="103"/>
      <c r="U715" s="103"/>
    </row>
    <row r="716" customFormat="false" ht="22.5" hidden="false" customHeight="true" outlineLevel="0" collapsed="false">
      <c r="A716" s="110"/>
      <c r="B716" s="110"/>
      <c r="C716" s="110"/>
      <c r="D716" s="122"/>
      <c r="E716" s="110"/>
      <c r="F716" s="128" t="str">
        <f aca="false">IF(E716="CONTADO", 4%, IF(E716="TARJETA / CHEQUE", 3%, IF(OR(E716="FINANCIADO", E716="MCP"), 2.5%, "")))</f>
        <v/>
      </c>
      <c r="G716" s="122" t="str">
        <f aca="false">IF(F716="", "", F716*D716)</f>
        <v/>
      </c>
      <c r="H716" s="131" t="b">
        <f aca="false">FALSE()</f>
        <v>0</v>
      </c>
      <c r="I716" s="131" t="b">
        <f aca="false">FALSE()</f>
        <v>0</v>
      </c>
      <c r="J716" s="130"/>
      <c r="K716" s="110"/>
      <c r="L716" s="83"/>
      <c r="M716" s="103"/>
      <c r="N716" s="103"/>
      <c r="O716" s="103"/>
      <c r="P716" s="103"/>
      <c r="Q716" s="103"/>
      <c r="R716" s="83"/>
      <c r="S716" s="103"/>
      <c r="T716" s="103"/>
      <c r="U716" s="103"/>
    </row>
    <row r="717" customFormat="false" ht="22.5" hidden="false" customHeight="true" outlineLevel="0" collapsed="false">
      <c r="A717" s="99"/>
      <c r="B717" s="99"/>
      <c r="C717" s="99"/>
      <c r="D717" s="121"/>
      <c r="E717" s="99"/>
      <c r="F717" s="124" t="str">
        <f aca="false">IF(E717="CONTADO", 4%, IF(E717="TARJETA / CHEQUE", 3%, IF(OR(E717="FINANCIADO", E717="MCP"), 2.5%, "")))</f>
        <v/>
      </c>
      <c r="G717" s="121" t="str">
        <f aca="false">IF(F717="", "", F717*D717)</f>
        <v/>
      </c>
      <c r="H717" s="132" t="b">
        <f aca="false">FALSE()</f>
        <v>0</v>
      </c>
      <c r="I717" s="132" t="b">
        <f aca="false">FALSE()</f>
        <v>0</v>
      </c>
      <c r="J717" s="126"/>
      <c r="K717" s="99"/>
      <c r="L717" s="83"/>
      <c r="M717" s="103"/>
      <c r="N717" s="103"/>
      <c r="O717" s="103"/>
      <c r="P717" s="103"/>
      <c r="Q717" s="103"/>
      <c r="R717" s="83"/>
      <c r="S717" s="103"/>
      <c r="T717" s="103"/>
      <c r="U717" s="103"/>
    </row>
    <row r="718" customFormat="false" ht="22.5" hidden="false" customHeight="true" outlineLevel="0" collapsed="false">
      <c r="A718" s="110"/>
      <c r="B718" s="110"/>
      <c r="C718" s="110"/>
      <c r="D718" s="122"/>
      <c r="E718" s="110"/>
      <c r="F718" s="128" t="str">
        <f aca="false">IF(E718="CONTADO", 4%, IF(E718="TARJETA / CHEQUE", 3%, IF(OR(E718="FINANCIADO", E718="MCP"), 2.5%, "")))</f>
        <v/>
      </c>
      <c r="G718" s="122" t="str">
        <f aca="false">IF(F718="", "", F718*D718)</f>
        <v/>
      </c>
      <c r="H718" s="131" t="b">
        <f aca="false">FALSE()</f>
        <v>0</v>
      </c>
      <c r="I718" s="131" t="b">
        <f aca="false">FALSE()</f>
        <v>0</v>
      </c>
      <c r="J718" s="130"/>
      <c r="K718" s="110"/>
      <c r="L718" s="83"/>
      <c r="M718" s="103"/>
      <c r="N718" s="103"/>
      <c r="O718" s="103"/>
      <c r="P718" s="103"/>
      <c r="Q718" s="103"/>
      <c r="R718" s="83"/>
      <c r="S718" s="103"/>
      <c r="T718" s="103"/>
      <c r="U718" s="103"/>
    </row>
    <row r="719" customFormat="false" ht="22.5" hidden="false" customHeight="true" outlineLevel="0" collapsed="false">
      <c r="A719" s="99"/>
      <c r="B719" s="99"/>
      <c r="C719" s="99"/>
      <c r="D719" s="121"/>
      <c r="E719" s="99"/>
      <c r="F719" s="124" t="str">
        <f aca="false">IF(E719="CONTADO", 4%, IF(E719="TARJETA / CHEQUE", 3%, IF(OR(E719="FINANCIADO", E719="MCP"), 2.5%, "")))</f>
        <v/>
      </c>
      <c r="G719" s="121" t="str">
        <f aca="false">IF(F719="", "", F719*D719)</f>
        <v/>
      </c>
      <c r="H719" s="132" t="b">
        <f aca="false">FALSE()</f>
        <v>0</v>
      </c>
      <c r="I719" s="132" t="b">
        <f aca="false">FALSE()</f>
        <v>0</v>
      </c>
      <c r="J719" s="126"/>
      <c r="K719" s="99"/>
      <c r="L719" s="83"/>
      <c r="M719" s="103"/>
      <c r="N719" s="103"/>
      <c r="O719" s="103"/>
      <c r="P719" s="103"/>
      <c r="Q719" s="103"/>
      <c r="R719" s="83"/>
      <c r="S719" s="103"/>
      <c r="T719" s="103"/>
      <c r="U719" s="103"/>
    </row>
    <row r="720" customFormat="false" ht="22.5" hidden="false" customHeight="true" outlineLevel="0" collapsed="false">
      <c r="A720" s="110"/>
      <c r="B720" s="110"/>
      <c r="C720" s="110"/>
      <c r="D720" s="122"/>
      <c r="E720" s="110"/>
      <c r="F720" s="128" t="str">
        <f aca="false">IF(E720="CONTADO", 4%, IF(E720="TARJETA / CHEQUE", 3%, IF(OR(E720="FINANCIADO", E720="MCP"), 2.5%, "")))</f>
        <v/>
      </c>
      <c r="G720" s="122" t="str">
        <f aca="false">IF(F720="", "", F720*D720)</f>
        <v/>
      </c>
      <c r="H720" s="131" t="b">
        <f aca="false">FALSE()</f>
        <v>0</v>
      </c>
      <c r="I720" s="131" t="b">
        <f aca="false">FALSE()</f>
        <v>0</v>
      </c>
      <c r="J720" s="130"/>
      <c r="K720" s="110"/>
      <c r="L720" s="83"/>
      <c r="M720" s="103"/>
      <c r="N720" s="103"/>
      <c r="O720" s="103"/>
      <c r="P720" s="103"/>
      <c r="Q720" s="103"/>
      <c r="R720" s="83"/>
      <c r="S720" s="103"/>
      <c r="T720" s="103"/>
      <c r="U720" s="103"/>
    </row>
    <row r="721" customFormat="false" ht="22.5" hidden="false" customHeight="true" outlineLevel="0" collapsed="false">
      <c r="A721" s="99"/>
      <c r="B721" s="99"/>
      <c r="C721" s="99"/>
      <c r="D721" s="121"/>
      <c r="E721" s="99"/>
      <c r="F721" s="124" t="str">
        <f aca="false">IF(E721="CONTADO", 4%, IF(E721="TARJETA / CHEQUE", 3%, IF(OR(E721="FINANCIADO", E721="MCP"), 2.5%, "")))</f>
        <v/>
      </c>
      <c r="G721" s="121" t="str">
        <f aca="false">IF(F721="", "", F721*D721)</f>
        <v/>
      </c>
      <c r="H721" s="132" t="b">
        <f aca="false">FALSE()</f>
        <v>0</v>
      </c>
      <c r="I721" s="132" t="b">
        <f aca="false">FALSE()</f>
        <v>0</v>
      </c>
      <c r="J721" s="126"/>
      <c r="K721" s="99"/>
      <c r="L721" s="83"/>
      <c r="M721" s="103"/>
      <c r="N721" s="103"/>
      <c r="O721" s="103"/>
      <c r="P721" s="103"/>
      <c r="Q721" s="103"/>
      <c r="R721" s="83"/>
      <c r="S721" s="103"/>
      <c r="T721" s="103"/>
      <c r="U721" s="103"/>
    </row>
    <row r="722" customFormat="false" ht="22.5" hidden="false" customHeight="true" outlineLevel="0" collapsed="false">
      <c r="A722" s="110"/>
      <c r="B722" s="110"/>
      <c r="C722" s="110"/>
      <c r="D722" s="122"/>
      <c r="E722" s="110"/>
      <c r="F722" s="128" t="str">
        <f aca="false">IF(E722="CONTADO", 4%, IF(E722="TARJETA / CHEQUE", 3%, IF(OR(E722="FINANCIADO", E722="MCP"), 2.5%, "")))</f>
        <v/>
      </c>
      <c r="G722" s="122" t="str">
        <f aca="false">IF(F722="", "", F722*D722)</f>
        <v/>
      </c>
      <c r="H722" s="131" t="b">
        <f aca="false">FALSE()</f>
        <v>0</v>
      </c>
      <c r="I722" s="131" t="b">
        <f aca="false">FALSE()</f>
        <v>0</v>
      </c>
      <c r="J722" s="130"/>
      <c r="K722" s="110"/>
      <c r="L722" s="83"/>
      <c r="M722" s="103"/>
      <c r="N722" s="103"/>
      <c r="O722" s="103"/>
      <c r="P722" s="103"/>
      <c r="Q722" s="103"/>
      <c r="R722" s="83"/>
      <c r="S722" s="103"/>
      <c r="T722" s="103"/>
      <c r="U722" s="103"/>
    </row>
    <row r="723" customFormat="false" ht="22.5" hidden="false" customHeight="true" outlineLevel="0" collapsed="false">
      <c r="A723" s="99"/>
      <c r="B723" s="99"/>
      <c r="C723" s="99"/>
      <c r="D723" s="121"/>
      <c r="E723" s="99"/>
      <c r="F723" s="124" t="str">
        <f aca="false">IF(E723="CONTADO", 4%, IF(E723="TARJETA / CHEQUE", 3%, IF(OR(E723="FINANCIADO", E723="MCP"), 2.5%, "")))</f>
        <v/>
      </c>
      <c r="G723" s="121" t="str">
        <f aca="false">IF(F723="", "", F723*D723)</f>
        <v/>
      </c>
      <c r="H723" s="132" t="b">
        <f aca="false">FALSE()</f>
        <v>0</v>
      </c>
      <c r="I723" s="132" t="b">
        <f aca="false">FALSE()</f>
        <v>0</v>
      </c>
      <c r="J723" s="126"/>
      <c r="K723" s="99"/>
      <c r="L723" s="83"/>
      <c r="M723" s="103"/>
      <c r="N723" s="103"/>
      <c r="O723" s="103"/>
      <c r="P723" s="103"/>
      <c r="Q723" s="103"/>
      <c r="R723" s="83"/>
      <c r="S723" s="103"/>
      <c r="T723" s="103"/>
      <c r="U723" s="103"/>
    </row>
    <row r="724" customFormat="false" ht="22.5" hidden="false" customHeight="true" outlineLevel="0" collapsed="false">
      <c r="A724" s="110"/>
      <c r="B724" s="110"/>
      <c r="C724" s="110"/>
      <c r="D724" s="122"/>
      <c r="E724" s="110"/>
      <c r="F724" s="128" t="str">
        <f aca="false">IF(E724="CONTADO", 4%, IF(E724="TARJETA / CHEQUE", 3%, IF(OR(E724="FINANCIADO", E724="MCP"), 2.5%, "")))</f>
        <v/>
      </c>
      <c r="G724" s="122" t="str">
        <f aca="false">IF(F724="", "", F724*D724)</f>
        <v/>
      </c>
      <c r="H724" s="131" t="b">
        <f aca="false">FALSE()</f>
        <v>0</v>
      </c>
      <c r="I724" s="131" t="b">
        <f aca="false">FALSE()</f>
        <v>0</v>
      </c>
      <c r="J724" s="130"/>
      <c r="K724" s="110"/>
      <c r="L724" s="83"/>
      <c r="M724" s="103"/>
      <c r="N724" s="103"/>
      <c r="O724" s="103"/>
      <c r="P724" s="103"/>
      <c r="Q724" s="103"/>
      <c r="R724" s="83"/>
      <c r="S724" s="103"/>
      <c r="T724" s="103"/>
      <c r="U724" s="103"/>
    </row>
    <row r="725" customFormat="false" ht="22.5" hidden="false" customHeight="true" outlineLevel="0" collapsed="false">
      <c r="A725" s="99"/>
      <c r="B725" s="99"/>
      <c r="C725" s="99"/>
      <c r="D725" s="121"/>
      <c r="E725" s="99"/>
      <c r="F725" s="124" t="str">
        <f aca="false">IF(E725="CONTADO", 4%, IF(E725="TARJETA / CHEQUE", 3%, IF(OR(E725="FINANCIADO", E725="MCP"), 2.5%, "")))</f>
        <v/>
      </c>
      <c r="G725" s="121" t="str">
        <f aca="false">IF(F725="", "", F725*D725)</f>
        <v/>
      </c>
      <c r="H725" s="132" t="b">
        <f aca="false">FALSE()</f>
        <v>0</v>
      </c>
      <c r="I725" s="132" t="b">
        <f aca="false">FALSE()</f>
        <v>0</v>
      </c>
      <c r="J725" s="126"/>
      <c r="K725" s="99"/>
      <c r="L725" s="83"/>
      <c r="M725" s="103"/>
      <c r="N725" s="103"/>
      <c r="O725" s="103"/>
      <c r="P725" s="103"/>
      <c r="Q725" s="103"/>
      <c r="R725" s="83"/>
      <c r="S725" s="103"/>
      <c r="T725" s="103"/>
      <c r="U725" s="103"/>
    </row>
    <row r="726" customFormat="false" ht="22.5" hidden="false" customHeight="true" outlineLevel="0" collapsed="false">
      <c r="A726" s="110"/>
      <c r="B726" s="110"/>
      <c r="C726" s="110"/>
      <c r="D726" s="122"/>
      <c r="E726" s="110"/>
      <c r="F726" s="128" t="str">
        <f aca="false">IF(E726="CONTADO", 4%, IF(E726="TARJETA / CHEQUE", 3%, IF(OR(E726="FINANCIADO", E726="MCP"), 2.5%, "")))</f>
        <v/>
      </c>
      <c r="G726" s="122" t="str">
        <f aca="false">IF(F726="", "", F726*D726)</f>
        <v/>
      </c>
      <c r="H726" s="131" t="b">
        <f aca="false">FALSE()</f>
        <v>0</v>
      </c>
      <c r="I726" s="131" t="b">
        <f aca="false">FALSE()</f>
        <v>0</v>
      </c>
      <c r="J726" s="130"/>
      <c r="K726" s="110"/>
      <c r="L726" s="83"/>
      <c r="M726" s="103"/>
      <c r="N726" s="103"/>
      <c r="O726" s="103"/>
      <c r="P726" s="103"/>
      <c r="Q726" s="103"/>
      <c r="R726" s="83"/>
      <c r="S726" s="103"/>
      <c r="T726" s="103"/>
      <c r="U726" s="103"/>
    </row>
    <row r="727" customFormat="false" ht="22.5" hidden="false" customHeight="true" outlineLevel="0" collapsed="false">
      <c r="A727" s="99"/>
      <c r="B727" s="99"/>
      <c r="C727" s="99"/>
      <c r="D727" s="121"/>
      <c r="E727" s="99"/>
      <c r="F727" s="124" t="str">
        <f aca="false">IF(E727="CONTADO", 4%, IF(E727="TARJETA / CHEQUE", 3%, IF(OR(E727="FINANCIADO", E727="MCP"), 2.5%, "")))</f>
        <v/>
      </c>
      <c r="G727" s="121" t="str">
        <f aca="false">IF(F727="", "", F727*D727)</f>
        <v/>
      </c>
      <c r="H727" s="132" t="b">
        <f aca="false">FALSE()</f>
        <v>0</v>
      </c>
      <c r="I727" s="132" t="b">
        <f aca="false">FALSE()</f>
        <v>0</v>
      </c>
      <c r="J727" s="126"/>
      <c r="K727" s="99"/>
      <c r="L727" s="83"/>
      <c r="M727" s="103"/>
      <c r="N727" s="103"/>
      <c r="O727" s="103"/>
      <c r="P727" s="103"/>
      <c r="Q727" s="103"/>
      <c r="R727" s="83"/>
      <c r="S727" s="103"/>
      <c r="T727" s="103"/>
      <c r="U727" s="103"/>
    </row>
    <row r="728" customFormat="false" ht="22.5" hidden="false" customHeight="true" outlineLevel="0" collapsed="false">
      <c r="A728" s="110"/>
      <c r="B728" s="110"/>
      <c r="C728" s="110"/>
      <c r="D728" s="122"/>
      <c r="E728" s="110"/>
      <c r="F728" s="128" t="str">
        <f aca="false">IF(E728="CONTADO", 4%, IF(E728="TARJETA / CHEQUE", 3%, IF(OR(E728="FINANCIADO", E728="MCP"), 2.5%, "")))</f>
        <v/>
      </c>
      <c r="G728" s="122" t="str">
        <f aca="false">IF(F728="", "", F728*D728)</f>
        <v/>
      </c>
      <c r="H728" s="131" t="b">
        <f aca="false">FALSE()</f>
        <v>0</v>
      </c>
      <c r="I728" s="131" t="b">
        <f aca="false">FALSE()</f>
        <v>0</v>
      </c>
      <c r="J728" s="130"/>
      <c r="K728" s="110"/>
      <c r="L728" s="83"/>
      <c r="M728" s="103"/>
      <c r="N728" s="103"/>
      <c r="O728" s="103"/>
      <c r="P728" s="103"/>
      <c r="Q728" s="103"/>
      <c r="R728" s="83"/>
      <c r="S728" s="103"/>
      <c r="T728" s="103"/>
      <c r="U728" s="103"/>
    </row>
    <row r="729" customFormat="false" ht="22.5" hidden="false" customHeight="true" outlineLevel="0" collapsed="false">
      <c r="A729" s="99"/>
      <c r="B729" s="99"/>
      <c r="C729" s="99"/>
      <c r="D729" s="121"/>
      <c r="E729" s="99"/>
      <c r="F729" s="124" t="str">
        <f aca="false">IF(E729="CONTADO", 4%, IF(E729="TARJETA / CHEQUE", 3%, IF(OR(E729="FINANCIADO", E729="MCP"), 2.5%, "")))</f>
        <v/>
      </c>
      <c r="G729" s="121" t="str">
        <f aca="false">IF(F729="", "", F729*D729)</f>
        <v/>
      </c>
      <c r="H729" s="132" t="b">
        <f aca="false">FALSE()</f>
        <v>0</v>
      </c>
      <c r="I729" s="132" t="b">
        <f aca="false">FALSE()</f>
        <v>0</v>
      </c>
      <c r="J729" s="126"/>
      <c r="K729" s="99"/>
      <c r="L729" s="83"/>
      <c r="M729" s="103"/>
      <c r="N729" s="103"/>
      <c r="O729" s="103"/>
      <c r="P729" s="103"/>
      <c r="Q729" s="103"/>
      <c r="R729" s="83"/>
      <c r="S729" s="103"/>
      <c r="T729" s="103"/>
      <c r="U729" s="103"/>
    </row>
    <row r="730" customFormat="false" ht="22.5" hidden="false" customHeight="true" outlineLevel="0" collapsed="false">
      <c r="A730" s="110"/>
      <c r="B730" s="110"/>
      <c r="C730" s="110"/>
      <c r="D730" s="122"/>
      <c r="E730" s="110"/>
      <c r="F730" s="128" t="str">
        <f aca="false">IF(E730="CONTADO", 4%, IF(E730="TARJETA / CHEQUE", 3%, IF(OR(E730="FINANCIADO", E730="MCP"), 2.5%, "")))</f>
        <v/>
      </c>
      <c r="G730" s="122" t="str">
        <f aca="false">IF(F730="", "", F730*D730)</f>
        <v/>
      </c>
      <c r="H730" s="131" t="b">
        <f aca="false">FALSE()</f>
        <v>0</v>
      </c>
      <c r="I730" s="131" t="b">
        <f aca="false">FALSE()</f>
        <v>0</v>
      </c>
      <c r="J730" s="130"/>
      <c r="K730" s="110"/>
      <c r="L730" s="83"/>
      <c r="M730" s="103"/>
      <c r="N730" s="103"/>
      <c r="O730" s="103"/>
      <c r="P730" s="103"/>
      <c r="Q730" s="103"/>
      <c r="R730" s="83"/>
      <c r="S730" s="103"/>
      <c r="T730" s="103"/>
      <c r="U730" s="103"/>
    </row>
    <row r="731" customFormat="false" ht="22.5" hidden="false" customHeight="true" outlineLevel="0" collapsed="false">
      <c r="A731" s="99"/>
      <c r="B731" s="99"/>
      <c r="C731" s="99"/>
      <c r="D731" s="121"/>
      <c r="E731" s="99"/>
      <c r="F731" s="124" t="str">
        <f aca="false">IF(E731="CONTADO", 4%, IF(E731="TARJETA / CHEQUE", 3%, IF(OR(E731="FINANCIADO", E731="MCP"), 2.5%, "")))</f>
        <v/>
      </c>
      <c r="G731" s="121" t="str">
        <f aca="false">IF(F731="", "", F731*D731)</f>
        <v/>
      </c>
      <c r="H731" s="132" t="b">
        <f aca="false">FALSE()</f>
        <v>0</v>
      </c>
      <c r="I731" s="132" t="b">
        <f aca="false">FALSE()</f>
        <v>0</v>
      </c>
      <c r="J731" s="126"/>
      <c r="K731" s="99"/>
      <c r="L731" s="83"/>
      <c r="M731" s="103"/>
      <c r="N731" s="103"/>
      <c r="O731" s="103"/>
      <c r="P731" s="103"/>
      <c r="Q731" s="103"/>
      <c r="R731" s="83"/>
      <c r="S731" s="103"/>
      <c r="T731" s="103"/>
      <c r="U731" s="103"/>
    </row>
    <row r="732" customFormat="false" ht="22.5" hidden="false" customHeight="true" outlineLevel="0" collapsed="false">
      <c r="A732" s="110"/>
      <c r="B732" s="110"/>
      <c r="C732" s="110"/>
      <c r="D732" s="122"/>
      <c r="E732" s="110"/>
      <c r="F732" s="128" t="str">
        <f aca="false">IF(E732="CONTADO", 4%, IF(E732="TARJETA / CHEQUE", 3%, IF(OR(E732="FINANCIADO", E732="MCP"), 2.5%, "")))</f>
        <v/>
      </c>
      <c r="G732" s="122" t="str">
        <f aca="false">IF(F732="", "", F732*D732)</f>
        <v/>
      </c>
      <c r="H732" s="131" t="b">
        <f aca="false">FALSE()</f>
        <v>0</v>
      </c>
      <c r="I732" s="131" t="b">
        <f aca="false">FALSE()</f>
        <v>0</v>
      </c>
      <c r="J732" s="130"/>
      <c r="K732" s="110"/>
      <c r="L732" s="83"/>
      <c r="M732" s="103"/>
      <c r="N732" s="103"/>
      <c r="O732" s="103"/>
      <c r="P732" s="103"/>
      <c r="Q732" s="103"/>
      <c r="R732" s="83"/>
      <c r="S732" s="103"/>
      <c r="T732" s="103"/>
      <c r="U732" s="103"/>
    </row>
    <row r="733" customFormat="false" ht="22.5" hidden="false" customHeight="true" outlineLevel="0" collapsed="false">
      <c r="A733" s="99"/>
      <c r="B733" s="99"/>
      <c r="C733" s="99"/>
      <c r="D733" s="121"/>
      <c r="E733" s="99"/>
      <c r="F733" s="124" t="str">
        <f aca="false">IF(E733="CONTADO", 4%, IF(E733="TARJETA / CHEQUE", 3%, IF(OR(E733="FINANCIADO", E733="MCP"), 2.5%, "")))</f>
        <v/>
      </c>
      <c r="G733" s="121" t="str">
        <f aca="false">IF(F733="", "", F733*D733)</f>
        <v/>
      </c>
      <c r="H733" s="132" t="b">
        <f aca="false">FALSE()</f>
        <v>0</v>
      </c>
      <c r="I733" s="132" t="b">
        <f aca="false">FALSE()</f>
        <v>0</v>
      </c>
      <c r="J733" s="126"/>
      <c r="K733" s="99"/>
      <c r="L733" s="83"/>
      <c r="M733" s="103"/>
      <c r="N733" s="103"/>
      <c r="O733" s="103"/>
      <c r="P733" s="103"/>
      <c r="Q733" s="103"/>
      <c r="R733" s="83"/>
      <c r="S733" s="103"/>
      <c r="T733" s="103"/>
      <c r="U733" s="103"/>
    </row>
    <row r="734" customFormat="false" ht="22.5" hidden="false" customHeight="true" outlineLevel="0" collapsed="false">
      <c r="A734" s="110"/>
      <c r="B734" s="110"/>
      <c r="C734" s="110"/>
      <c r="D734" s="122"/>
      <c r="E734" s="110"/>
      <c r="F734" s="128" t="str">
        <f aca="false">IF(E734="CONTADO", 4%, IF(E734="TARJETA / CHEQUE", 3%, IF(OR(E734="FINANCIADO", E734="MCP"), 2.5%, "")))</f>
        <v/>
      </c>
      <c r="G734" s="122" t="str">
        <f aca="false">IF(F734="", "", F734*D734)</f>
        <v/>
      </c>
      <c r="H734" s="131" t="b">
        <f aca="false">FALSE()</f>
        <v>0</v>
      </c>
      <c r="I734" s="131" t="b">
        <f aca="false">FALSE()</f>
        <v>0</v>
      </c>
      <c r="J734" s="130"/>
      <c r="K734" s="110"/>
      <c r="L734" s="83"/>
      <c r="M734" s="103"/>
      <c r="N734" s="103"/>
      <c r="O734" s="103"/>
      <c r="P734" s="103"/>
      <c r="Q734" s="103"/>
      <c r="R734" s="83"/>
      <c r="S734" s="103"/>
      <c r="T734" s="103"/>
      <c r="U734" s="103"/>
    </row>
    <row r="735" customFormat="false" ht="22.5" hidden="false" customHeight="true" outlineLevel="0" collapsed="false">
      <c r="A735" s="99"/>
      <c r="B735" s="99"/>
      <c r="C735" s="99"/>
      <c r="D735" s="121"/>
      <c r="E735" s="99"/>
      <c r="F735" s="124" t="str">
        <f aca="false">IF(E735="CONTADO", 4%, IF(E735="TARJETA / CHEQUE", 3%, IF(OR(E735="FINANCIADO", E735="MCP"), 2.5%, "")))</f>
        <v/>
      </c>
      <c r="G735" s="121" t="str">
        <f aca="false">IF(F735="", "", F735*D735)</f>
        <v/>
      </c>
      <c r="H735" s="132" t="b">
        <f aca="false">FALSE()</f>
        <v>0</v>
      </c>
      <c r="I735" s="132" t="b">
        <f aca="false">FALSE()</f>
        <v>0</v>
      </c>
      <c r="J735" s="126"/>
      <c r="K735" s="99"/>
      <c r="L735" s="83"/>
      <c r="M735" s="103"/>
      <c r="N735" s="103"/>
      <c r="O735" s="103"/>
      <c r="P735" s="103"/>
      <c r="Q735" s="103"/>
      <c r="R735" s="83"/>
      <c r="S735" s="103"/>
      <c r="T735" s="103"/>
      <c r="U735" s="103"/>
    </row>
    <row r="736" customFormat="false" ht="22.5" hidden="false" customHeight="true" outlineLevel="0" collapsed="false">
      <c r="A736" s="110"/>
      <c r="B736" s="110"/>
      <c r="C736" s="110"/>
      <c r="D736" s="122"/>
      <c r="E736" s="110"/>
      <c r="F736" s="128" t="str">
        <f aca="false">IF(E736="CONTADO", 4%, IF(E736="TARJETA / CHEQUE", 3%, IF(OR(E736="FINANCIADO", E736="MCP"), 2.5%, "")))</f>
        <v/>
      </c>
      <c r="G736" s="122" t="str">
        <f aca="false">IF(F736="", "", F736*D736)</f>
        <v/>
      </c>
      <c r="H736" s="131" t="b">
        <f aca="false">FALSE()</f>
        <v>0</v>
      </c>
      <c r="I736" s="131" t="b">
        <f aca="false">FALSE()</f>
        <v>0</v>
      </c>
      <c r="J736" s="130"/>
      <c r="K736" s="110"/>
      <c r="L736" s="83"/>
      <c r="M736" s="103"/>
      <c r="N736" s="103"/>
      <c r="O736" s="103"/>
      <c r="P736" s="103"/>
      <c r="Q736" s="103"/>
      <c r="R736" s="83"/>
      <c r="S736" s="103"/>
      <c r="T736" s="103"/>
      <c r="U736" s="103"/>
    </row>
    <row r="737" customFormat="false" ht="22.5" hidden="false" customHeight="true" outlineLevel="0" collapsed="false">
      <c r="A737" s="99"/>
      <c r="B737" s="99"/>
      <c r="C737" s="99"/>
      <c r="D737" s="121"/>
      <c r="E737" s="99"/>
      <c r="F737" s="124" t="str">
        <f aca="false">IF(E737="CONTADO", 4%, IF(E737="TARJETA / CHEQUE", 3%, IF(OR(E737="FINANCIADO", E737="MCP"), 2.5%, "")))</f>
        <v/>
      </c>
      <c r="G737" s="121" t="str">
        <f aca="false">IF(F737="", "", F737*D737)</f>
        <v/>
      </c>
      <c r="H737" s="132" t="b">
        <f aca="false">FALSE()</f>
        <v>0</v>
      </c>
      <c r="I737" s="132" t="b">
        <f aca="false">FALSE()</f>
        <v>0</v>
      </c>
      <c r="J737" s="126"/>
      <c r="K737" s="99"/>
      <c r="L737" s="83"/>
      <c r="M737" s="103"/>
      <c r="N737" s="103"/>
      <c r="O737" s="103"/>
      <c r="P737" s="103"/>
      <c r="Q737" s="103"/>
      <c r="R737" s="83"/>
      <c r="S737" s="103"/>
      <c r="T737" s="103"/>
      <c r="U737" s="103"/>
    </row>
    <row r="738" customFormat="false" ht="22.5" hidden="false" customHeight="true" outlineLevel="0" collapsed="false">
      <c r="A738" s="110"/>
      <c r="B738" s="110"/>
      <c r="C738" s="110"/>
      <c r="D738" s="122"/>
      <c r="E738" s="110"/>
      <c r="F738" s="128" t="str">
        <f aca="false">IF(E738="CONTADO", 4%, IF(E738="TARJETA / CHEQUE", 3%, IF(OR(E738="FINANCIADO", E738="MCP"), 2.5%, "")))</f>
        <v/>
      </c>
      <c r="G738" s="122" t="str">
        <f aca="false">IF(F738="", "", F738*D738)</f>
        <v/>
      </c>
      <c r="H738" s="131" t="b">
        <f aca="false">FALSE()</f>
        <v>0</v>
      </c>
      <c r="I738" s="131" t="b">
        <f aca="false">FALSE()</f>
        <v>0</v>
      </c>
      <c r="J738" s="130"/>
      <c r="K738" s="110"/>
      <c r="L738" s="83"/>
      <c r="M738" s="103"/>
      <c r="N738" s="103"/>
      <c r="O738" s="103"/>
      <c r="P738" s="103"/>
      <c r="Q738" s="103"/>
      <c r="R738" s="83"/>
      <c r="S738" s="103"/>
      <c r="T738" s="103"/>
      <c r="U738" s="103"/>
    </row>
    <row r="739" customFormat="false" ht="22.5" hidden="false" customHeight="true" outlineLevel="0" collapsed="false">
      <c r="A739" s="99"/>
      <c r="B739" s="99"/>
      <c r="C739" s="99"/>
      <c r="D739" s="121"/>
      <c r="E739" s="99"/>
      <c r="F739" s="124" t="str">
        <f aca="false">IF(E739="CONTADO", 4%, IF(E739="TARJETA / CHEQUE", 3%, IF(OR(E739="FINANCIADO", E739="MCP"), 2.5%, "")))</f>
        <v/>
      </c>
      <c r="G739" s="121" t="str">
        <f aca="false">IF(F739="", "", F739*D739)</f>
        <v/>
      </c>
      <c r="H739" s="132" t="b">
        <f aca="false">FALSE()</f>
        <v>0</v>
      </c>
      <c r="I739" s="132" t="b">
        <f aca="false">FALSE()</f>
        <v>0</v>
      </c>
      <c r="J739" s="126"/>
      <c r="K739" s="99"/>
      <c r="L739" s="83"/>
      <c r="M739" s="103"/>
      <c r="N739" s="103"/>
      <c r="O739" s="103"/>
      <c r="P739" s="103"/>
      <c r="Q739" s="103"/>
      <c r="R739" s="83"/>
      <c r="S739" s="103"/>
      <c r="T739" s="103"/>
      <c r="U739" s="103"/>
    </row>
    <row r="740" customFormat="false" ht="22.5" hidden="false" customHeight="true" outlineLevel="0" collapsed="false">
      <c r="A740" s="110"/>
      <c r="B740" s="110"/>
      <c r="C740" s="110"/>
      <c r="D740" s="122"/>
      <c r="E740" s="110"/>
      <c r="F740" s="128" t="str">
        <f aca="false">IF(E740="CONTADO", 4%, IF(E740="TARJETA / CHEQUE", 3%, IF(OR(E740="FINANCIADO", E740="MCP"), 2.5%, "")))</f>
        <v/>
      </c>
      <c r="G740" s="122" t="str">
        <f aca="false">IF(F740="", "", F740*D740)</f>
        <v/>
      </c>
      <c r="H740" s="131" t="b">
        <f aca="false">FALSE()</f>
        <v>0</v>
      </c>
      <c r="I740" s="131" t="b">
        <f aca="false">FALSE()</f>
        <v>0</v>
      </c>
      <c r="J740" s="130"/>
      <c r="K740" s="110"/>
      <c r="L740" s="83"/>
      <c r="M740" s="103"/>
      <c r="N740" s="103"/>
      <c r="O740" s="103"/>
      <c r="P740" s="103"/>
      <c r="Q740" s="103"/>
      <c r="R740" s="83"/>
      <c r="S740" s="103"/>
      <c r="T740" s="103"/>
      <c r="U740" s="103"/>
    </row>
    <row r="741" customFormat="false" ht="22.5" hidden="false" customHeight="true" outlineLevel="0" collapsed="false">
      <c r="A741" s="99"/>
      <c r="B741" s="99"/>
      <c r="C741" s="99"/>
      <c r="D741" s="121"/>
      <c r="E741" s="99"/>
      <c r="F741" s="124" t="str">
        <f aca="false">IF(E741="CONTADO", 4%, IF(E741="TARJETA / CHEQUE", 3%, IF(OR(E741="FINANCIADO", E741="MCP"), 2.5%, "")))</f>
        <v/>
      </c>
      <c r="G741" s="121" t="str">
        <f aca="false">IF(F741="", "", F741*D741)</f>
        <v/>
      </c>
      <c r="H741" s="132" t="b">
        <f aca="false">FALSE()</f>
        <v>0</v>
      </c>
      <c r="I741" s="132" t="b">
        <f aca="false">FALSE()</f>
        <v>0</v>
      </c>
      <c r="J741" s="126"/>
      <c r="K741" s="99"/>
      <c r="L741" s="83"/>
      <c r="M741" s="103"/>
      <c r="N741" s="103"/>
      <c r="O741" s="103"/>
      <c r="P741" s="103"/>
      <c r="Q741" s="103"/>
      <c r="R741" s="83"/>
      <c r="S741" s="103"/>
      <c r="T741" s="103"/>
      <c r="U741" s="103"/>
    </row>
    <row r="742" customFormat="false" ht="22.5" hidden="false" customHeight="true" outlineLevel="0" collapsed="false">
      <c r="A742" s="110"/>
      <c r="B742" s="110"/>
      <c r="C742" s="110"/>
      <c r="D742" s="122"/>
      <c r="E742" s="110"/>
      <c r="F742" s="128" t="str">
        <f aca="false">IF(E742="CONTADO", 4%, IF(E742="TARJETA / CHEQUE", 3%, IF(OR(E742="FINANCIADO", E742="MCP"), 2.5%, "")))</f>
        <v/>
      </c>
      <c r="G742" s="122" t="str">
        <f aca="false">IF(F742="", "", F742*D742)</f>
        <v/>
      </c>
      <c r="H742" s="131" t="b">
        <f aca="false">FALSE()</f>
        <v>0</v>
      </c>
      <c r="I742" s="131" t="b">
        <f aca="false">FALSE()</f>
        <v>0</v>
      </c>
      <c r="J742" s="130"/>
      <c r="K742" s="110"/>
      <c r="L742" s="83"/>
      <c r="M742" s="103"/>
      <c r="N742" s="103"/>
      <c r="O742" s="103"/>
      <c r="P742" s="103"/>
      <c r="Q742" s="103"/>
      <c r="R742" s="83"/>
      <c r="S742" s="103"/>
      <c r="T742" s="103"/>
      <c r="U742" s="103"/>
    </row>
    <row r="743" customFormat="false" ht="22.5" hidden="false" customHeight="true" outlineLevel="0" collapsed="false">
      <c r="A743" s="99"/>
      <c r="B743" s="99"/>
      <c r="C743" s="99"/>
      <c r="D743" s="121"/>
      <c r="E743" s="99"/>
      <c r="F743" s="124" t="str">
        <f aca="false">IF(E743="CONTADO", 4%, IF(E743="TARJETA / CHEQUE", 3%, IF(OR(E743="FINANCIADO", E743="MCP"), 2.5%, "")))</f>
        <v/>
      </c>
      <c r="G743" s="121" t="str">
        <f aca="false">IF(F743="", "", F743*D743)</f>
        <v/>
      </c>
      <c r="H743" s="132" t="b">
        <f aca="false">FALSE()</f>
        <v>0</v>
      </c>
      <c r="I743" s="132" t="b">
        <f aca="false">FALSE()</f>
        <v>0</v>
      </c>
      <c r="J743" s="126"/>
      <c r="K743" s="99"/>
      <c r="L743" s="83"/>
      <c r="M743" s="103"/>
      <c r="N743" s="103"/>
      <c r="O743" s="103"/>
      <c r="P743" s="103"/>
      <c r="Q743" s="103"/>
      <c r="R743" s="83"/>
      <c r="S743" s="103"/>
      <c r="T743" s="103"/>
      <c r="U743" s="103"/>
    </row>
    <row r="744" customFormat="false" ht="22.5" hidden="false" customHeight="true" outlineLevel="0" collapsed="false">
      <c r="A744" s="110"/>
      <c r="B744" s="110"/>
      <c r="C744" s="110"/>
      <c r="D744" s="122"/>
      <c r="E744" s="110"/>
      <c r="F744" s="128" t="str">
        <f aca="false">IF(E744="CONTADO", 4%, IF(E744="TARJETA / CHEQUE", 3%, IF(OR(E744="FINANCIADO", E744="MCP"), 2.5%, "")))</f>
        <v/>
      </c>
      <c r="G744" s="122" t="str">
        <f aca="false">IF(F744="", "", F744*D744)</f>
        <v/>
      </c>
      <c r="H744" s="131" t="b">
        <f aca="false">FALSE()</f>
        <v>0</v>
      </c>
      <c r="I744" s="131" t="b">
        <f aca="false">FALSE()</f>
        <v>0</v>
      </c>
      <c r="J744" s="130"/>
      <c r="K744" s="110"/>
      <c r="L744" s="83"/>
      <c r="M744" s="103"/>
      <c r="N744" s="103"/>
      <c r="O744" s="103"/>
      <c r="P744" s="103"/>
      <c r="Q744" s="103"/>
      <c r="R744" s="83"/>
      <c r="S744" s="103"/>
      <c r="T744" s="103"/>
      <c r="U744" s="103"/>
    </row>
    <row r="745" customFormat="false" ht="22.5" hidden="false" customHeight="true" outlineLevel="0" collapsed="false">
      <c r="A745" s="99"/>
      <c r="B745" s="99"/>
      <c r="C745" s="99"/>
      <c r="D745" s="121"/>
      <c r="E745" s="99"/>
      <c r="F745" s="124" t="str">
        <f aca="false">IF(E745="CONTADO", 4%, IF(E745="TARJETA / CHEQUE", 3%, IF(OR(E745="FINANCIADO", E745="MCP"), 2.5%, "")))</f>
        <v/>
      </c>
      <c r="G745" s="121" t="str">
        <f aca="false">IF(F745="", "", F745*D745)</f>
        <v/>
      </c>
      <c r="H745" s="132" t="b">
        <f aca="false">FALSE()</f>
        <v>0</v>
      </c>
      <c r="I745" s="132" t="b">
        <f aca="false">FALSE()</f>
        <v>0</v>
      </c>
      <c r="J745" s="126"/>
      <c r="K745" s="99"/>
      <c r="L745" s="83"/>
      <c r="M745" s="103"/>
      <c r="N745" s="103"/>
      <c r="O745" s="103"/>
      <c r="P745" s="103"/>
      <c r="Q745" s="103"/>
      <c r="R745" s="83"/>
      <c r="S745" s="103"/>
      <c r="T745" s="103"/>
      <c r="U745" s="103"/>
    </row>
    <row r="746" customFormat="false" ht="22.5" hidden="false" customHeight="true" outlineLevel="0" collapsed="false">
      <c r="A746" s="110"/>
      <c r="B746" s="110"/>
      <c r="C746" s="110"/>
      <c r="D746" s="122"/>
      <c r="E746" s="110"/>
      <c r="F746" s="128" t="str">
        <f aca="false">IF(E746="CONTADO", 4%, IF(E746="TARJETA / CHEQUE", 3%, IF(OR(E746="FINANCIADO", E746="MCP"), 2.5%, "")))</f>
        <v/>
      </c>
      <c r="G746" s="122" t="str">
        <f aca="false">IF(F746="", "", F746*D746)</f>
        <v/>
      </c>
      <c r="H746" s="131" t="b">
        <f aca="false">FALSE()</f>
        <v>0</v>
      </c>
      <c r="I746" s="131" t="b">
        <f aca="false">FALSE()</f>
        <v>0</v>
      </c>
      <c r="J746" s="130"/>
      <c r="K746" s="110"/>
      <c r="L746" s="83"/>
      <c r="M746" s="103"/>
      <c r="N746" s="103"/>
      <c r="O746" s="103"/>
      <c r="P746" s="103"/>
      <c r="Q746" s="103"/>
      <c r="R746" s="83"/>
      <c r="S746" s="103"/>
      <c r="T746" s="103"/>
      <c r="U746" s="103"/>
    </row>
    <row r="747" customFormat="false" ht="22.5" hidden="false" customHeight="true" outlineLevel="0" collapsed="false">
      <c r="A747" s="99"/>
      <c r="B747" s="99"/>
      <c r="C747" s="99"/>
      <c r="D747" s="121"/>
      <c r="E747" s="99"/>
      <c r="F747" s="124" t="str">
        <f aca="false">IF(E747="CONTADO", 4%, IF(E747="TARJETA / CHEQUE", 3%, IF(OR(E747="FINANCIADO", E747="MCP"), 2.5%, "")))</f>
        <v/>
      </c>
      <c r="G747" s="121" t="str">
        <f aca="false">IF(F747="", "", F747*D747)</f>
        <v/>
      </c>
      <c r="H747" s="132" t="b">
        <f aca="false">FALSE()</f>
        <v>0</v>
      </c>
      <c r="I747" s="132" t="b">
        <f aca="false">FALSE()</f>
        <v>0</v>
      </c>
      <c r="J747" s="126"/>
      <c r="K747" s="99"/>
      <c r="L747" s="83"/>
      <c r="M747" s="103"/>
      <c r="N747" s="103"/>
      <c r="O747" s="103"/>
      <c r="P747" s="103"/>
      <c r="Q747" s="103"/>
      <c r="R747" s="83"/>
      <c r="S747" s="103"/>
      <c r="T747" s="103"/>
      <c r="U747" s="103"/>
    </row>
    <row r="748" customFormat="false" ht="22.5" hidden="false" customHeight="true" outlineLevel="0" collapsed="false">
      <c r="A748" s="110"/>
      <c r="B748" s="110"/>
      <c r="C748" s="110"/>
      <c r="D748" s="122"/>
      <c r="E748" s="110"/>
      <c r="F748" s="128" t="str">
        <f aca="false">IF(E748="CONTADO", 4%, IF(E748="TARJETA / CHEQUE", 3%, IF(OR(E748="FINANCIADO", E748="MCP"), 2.5%, "")))</f>
        <v/>
      </c>
      <c r="G748" s="122" t="str">
        <f aca="false">IF(F748="", "", F748*D748)</f>
        <v/>
      </c>
      <c r="H748" s="131" t="b">
        <f aca="false">FALSE()</f>
        <v>0</v>
      </c>
      <c r="I748" s="131" t="b">
        <f aca="false">FALSE()</f>
        <v>0</v>
      </c>
      <c r="J748" s="130"/>
      <c r="K748" s="110"/>
      <c r="L748" s="83"/>
      <c r="M748" s="103"/>
      <c r="N748" s="103"/>
      <c r="O748" s="103"/>
      <c r="P748" s="103"/>
      <c r="Q748" s="103"/>
      <c r="R748" s="83"/>
      <c r="S748" s="103"/>
      <c r="T748" s="103"/>
      <c r="U748" s="103"/>
    </row>
    <row r="749" customFormat="false" ht="22.5" hidden="false" customHeight="true" outlineLevel="0" collapsed="false">
      <c r="A749" s="99"/>
      <c r="B749" s="99"/>
      <c r="C749" s="99"/>
      <c r="D749" s="121"/>
      <c r="E749" s="99"/>
      <c r="F749" s="124" t="str">
        <f aca="false">IF(E749="CONTADO", 4%, IF(E749="TARJETA / CHEQUE", 3%, IF(OR(E749="FINANCIADO", E749="MCP"), 2.5%, "")))</f>
        <v/>
      </c>
      <c r="G749" s="121" t="str">
        <f aca="false">IF(F749="", "", F749*D749)</f>
        <v/>
      </c>
      <c r="H749" s="132" t="b">
        <f aca="false">FALSE()</f>
        <v>0</v>
      </c>
      <c r="I749" s="132" t="b">
        <f aca="false">FALSE()</f>
        <v>0</v>
      </c>
      <c r="J749" s="126"/>
      <c r="K749" s="99"/>
      <c r="L749" s="83"/>
      <c r="M749" s="103"/>
      <c r="N749" s="103"/>
      <c r="O749" s="103"/>
      <c r="P749" s="103"/>
      <c r="Q749" s="103"/>
      <c r="R749" s="83"/>
      <c r="S749" s="103"/>
      <c r="T749" s="103"/>
      <c r="U749" s="103"/>
    </row>
    <row r="750" customFormat="false" ht="22.5" hidden="false" customHeight="true" outlineLevel="0" collapsed="false">
      <c r="A750" s="110"/>
      <c r="B750" s="110"/>
      <c r="C750" s="110"/>
      <c r="D750" s="122"/>
      <c r="E750" s="110"/>
      <c r="F750" s="128" t="str">
        <f aca="false">IF(E750="CONTADO", 4%, IF(E750="TARJETA / CHEQUE", 3%, IF(OR(E750="FINANCIADO", E750="MCP"), 2.5%, "")))</f>
        <v/>
      </c>
      <c r="G750" s="122" t="str">
        <f aca="false">IF(F750="", "", F750*D750)</f>
        <v/>
      </c>
      <c r="H750" s="131" t="b">
        <f aca="false">FALSE()</f>
        <v>0</v>
      </c>
      <c r="I750" s="131" t="b">
        <f aca="false">FALSE()</f>
        <v>0</v>
      </c>
      <c r="J750" s="130"/>
      <c r="K750" s="110"/>
      <c r="L750" s="83"/>
      <c r="M750" s="103"/>
      <c r="N750" s="103"/>
      <c r="O750" s="103"/>
      <c r="P750" s="103"/>
      <c r="Q750" s="103"/>
      <c r="R750" s="83"/>
      <c r="S750" s="103"/>
      <c r="T750" s="103"/>
      <c r="U750" s="103"/>
    </row>
    <row r="751" customFormat="false" ht="22.5" hidden="false" customHeight="true" outlineLevel="0" collapsed="false">
      <c r="A751" s="99"/>
      <c r="B751" s="99"/>
      <c r="C751" s="99"/>
      <c r="D751" s="121"/>
      <c r="E751" s="99"/>
      <c r="F751" s="124" t="str">
        <f aca="false">IF(E751="CONTADO", 4%, IF(E751="TARJETA / CHEQUE", 3%, IF(OR(E751="FINANCIADO", E751="MCP"), 2.5%, "")))</f>
        <v/>
      </c>
      <c r="G751" s="121" t="str">
        <f aca="false">IF(F751="", "", F751*D751)</f>
        <v/>
      </c>
      <c r="H751" s="132" t="b">
        <f aca="false">FALSE()</f>
        <v>0</v>
      </c>
      <c r="I751" s="132" t="b">
        <f aca="false">FALSE()</f>
        <v>0</v>
      </c>
      <c r="J751" s="126"/>
      <c r="K751" s="99"/>
      <c r="L751" s="83"/>
      <c r="M751" s="103"/>
      <c r="N751" s="103"/>
      <c r="O751" s="103"/>
      <c r="P751" s="103"/>
      <c r="Q751" s="103"/>
      <c r="R751" s="83"/>
      <c r="S751" s="103"/>
      <c r="T751" s="103"/>
      <c r="U751" s="103"/>
    </row>
    <row r="752" customFormat="false" ht="22.5" hidden="false" customHeight="true" outlineLevel="0" collapsed="false">
      <c r="A752" s="110"/>
      <c r="B752" s="110"/>
      <c r="C752" s="110"/>
      <c r="D752" s="122"/>
      <c r="E752" s="110"/>
      <c r="F752" s="128" t="str">
        <f aca="false">IF(E752="CONTADO", 4%, IF(E752="TARJETA / CHEQUE", 3%, IF(OR(E752="FINANCIADO", E752="MCP"), 2.5%, "")))</f>
        <v/>
      </c>
      <c r="G752" s="122" t="str">
        <f aca="false">IF(F752="", "", F752*D752)</f>
        <v/>
      </c>
      <c r="H752" s="131" t="b">
        <f aca="false">FALSE()</f>
        <v>0</v>
      </c>
      <c r="I752" s="131" t="b">
        <f aca="false">FALSE()</f>
        <v>0</v>
      </c>
      <c r="J752" s="130"/>
      <c r="K752" s="110"/>
      <c r="L752" s="83"/>
      <c r="M752" s="103"/>
      <c r="N752" s="103"/>
      <c r="O752" s="103"/>
      <c r="P752" s="103"/>
      <c r="Q752" s="103"/>
      <c r="R752" s="83"/>
      <c r="S752" s="103"/>
      <c r="T752" s="103"/>
      <c r="U752" s="103"/>
    </row>
    <row r="753" customFormat="false" ht="22.5" hidden="false" customHeight="true" outlineLevel="0" collapsed="false">
      <c r="A753" s="99"/>
      <c r="B753" s="99"/>
      <c r="C753" s="99"/>
      <c r="D753" s="121"/>
      <c r="E753" s="99"/>
      <c r="F753" s="124" t="str">
        <f aca="false">IF(E753="CONTADO", 4%, IF(E753="TARJETA / CHEQUE", 3%, IF(OR(E753="FINANCIADO", E753="MCP"), 2.5%, "")))</f>
        <v/>
      </c>
      <c r="G753" s="121" t="str">
        <f aca="false">IF(F753="", "", F753*D753)</f>
        <v/>
      </c>
      <c r="H753" s="132" t="b">
        <f aca="false">FALSE()</f>
        <v>0</v>
      </c>
      <c r="I753" s="132" t="b">
        <f aca="false">FALSE()</f>
        <v>0</v>
      </c>
      <c r="J753" s="126"/>
      <c r="K753" s="99"/>
      <c r="L753" s="83"/>
      <c r="M753" s="103"/>
      <c r="N753" s="103"/>
      <c r="O753" s="103"/>
      <c r="P753" s="103"/>
      <c r="Q753" s="103"/>
      <c r="R753" s="83"/>
      <c r="S753" s="103"/>
      <c r="T753" s="103"/>
      <c r="U753" s="103"/>
    </row>
    <row r="754" customFormat="false" ht="22.5" hidden="false" customHeight="true" outlineLevel="0" collapsed="false">
      <c r="A754" s="110"/>
      <c r="B754" s="110"/>
      <c r="C754" s="110"/>
      <c r="D754" s="122"/>
      <c r="E754" s="110"/>
      <c r="F754" s="128" t="str">
        <f aca="false">IF(E754="CONTADO", 4%, IF(E754="TARJETA / CHEQUE", 3%, IF(OR(E754="FINANCIADO", E754="MCP"), 2.5%, "")))</f>
        <v/>
      </c>
      <c r="G754" s="122" t="str">
        <f aca="false">IF(F754="", "", F754*D754)</f>
        <v/>
      </c>
      <c r="H754" s="131" t="b">
        <f aca="false">FALSE()</f>
        <v>0</v>
      </c>
      <c r="I754" s="131" t="b">
        <f aca="false">FALSE()</f>
        <v>0</v>
      </c>
      <c r="J754" s="130"/>
      <c r="K754" s="110"/>
      <c r="L754" s="83"/>
      <c r="M754" s="103"/>
      <c r="N754" s="103"/>
      <c r="O754" s="103"/>
      <c r="P754" s="103"/>
      <c r="Q754" s="103"/>
      <c r="R754" s="83"/>
      <c r="S754" s="103"/>
      <c r="T754" s="103"/>
      <c r="U754" s="103"/>
    </row>
    <row r="755" customFormat="false" ht="22.5" hidden="false" customHeight="true" outlineLevel="0" collapsed="false">
      <c r="A755" s="99"/>
      <c r="B755" s="99"/>
      <c r="C755" s="99"/>
      <c r="D755" s="121"/>
      <c r="E755" s="99"/>
      <c r="F755" s="124" t="str">
        <f aca="false">IF(E755="CONTADO", 4%, IF(E755="TARJETA / CHEQUE", 3%, IF(OR(E755="FINANCIADO", E755="MCP"), 2.5%, "")))</f>
        <v/>
      </c>
      <c r="G755" s="121" t="str">
        <f aca="false">IF(F755="", "", F755*D755)</f>
        <v/>
      </c>
      <c r="H755" s="132" t="b">
        <f aca="false">FALSE()</f>
        <v>0</v>
      </c>
      <c r="I755" s="132" t="b">
        <f aca="false">FALSE()</f>
        <v>0</v>
      </c>
      <c r="J755" s="126"/>
      <c r="K755" s="99"/>
      <c r="L755" s="83"/>
      <c r="M755" s="103"/>
      <c r="N755" s="103"/>
      <c r="O755" s="103"/>
      <c r="P755" s="103"/>
      <c r="Q755" s="103"/>
      <c r="R755" s="83"/>
      <c r="S755" s="103"/>
      <c r="T755" s="103"/>
      <c r="U755" s="103"/>
    </row>
    <row r="756" customFormat="false" ht="22.5" hidden="false" customHeight="true" outlineLevel="0" collapsed="false">
      <c r="A756" s="110"/>
      <c r="B756" s="110"/>
      <c r="C756" s="110"/>
      <c r="D756" s="122"/>
      <c r="E756" s="110"/>
      <c r="F756" s="128" t="str">
        <f aca="false">IF(E756="CONTADO", 4%, IF(E756="TARJETA / CHEQUE", 3%, IF(OR(E756="FINANCIADO", E756="MCP"), 2.5%, "")))</f>
        <v/>
      </c>
      <c r="G756" s="122" t="str">
        <f aca="false">IF(F756="", "", F756*D756)</f>
        <v/>
      </c>
      <c r="H756" s="131" t="b">
        <f aca="false">FALSE()</f>
        <v>0</v>
      </c>
      <c r="I756" s="131" t="b">
        <f aca="false">FALSE()</f>
        <v>0</v>
      </c>
      <c r="J756" s="130"/>
      <c r="K756" s="110"/>
      <c r="L756" s="83"/>
      <c r="M756" s="103"/>
      <c r="N756" s="103"/>
      <c r="O756" s="103"/>
      <c r="P756" s="103"/>
      <c r="Q756" s="103"/>
      <c r="R756" s="83"/>
      <c r="S756" s="103"/>
      <c r="T756" s="103"/>
      <c r="U756" s="103"/>
    </row>
    <row r="757" customFormat="false" ht="22.5" hidden="false" customHeight="true" outlineLevel="0" collapsed="false">
      <c r="A757" s="99"/>
      <c r="B757" s="99"/>
      <c r="C757" s="99"/>
      <c r="D757" s="121"/>
      <c r="E757" s="99"/>
      <c r="F757" s="124" t="str">
        <f aca="false">IF(E757="CONTADO", 4%, IF(E757="TARJETA / CHEQUE", 3%, IF(OR(E757="FINANCIADO", E757="MCP"), 2.5%, "")))</f>
        <v/>
      </c>
      <c r="G757" s="121" t="str">
        <f aca="false">IF(F757="", "", F757*D757)</f>
        <v/>
      </c>
      <c r="H757" s="132" t="b">
        <f aca="false">FALSE()</f>
        <v>0</v>
      </c>
      <c r="I757" s="132" t="b">
        <f aca="false">FALSE()</f>
        <v>0</v>
      </c>
      <c r="J757" s="126"/>
      <c r="K757" s="99"/>
      <c r="L757" s="83"/>
      <c r="M757" s="103"/>
      <c r="N757" s="103"/>
      <c r="O757" s="103"/>
      <c r="P757" s="103"/>
      <c r="Q757" s="103"/>
      <c r="R757" s="83"/>
      <c r="S757" s="103"/>
      <c r="T757" s="103"/>
      <c r="U757" s="103"/>
    </row>
    <row r="758" customFormat="false" ht="22.5" hidden="false" customHeight="true" outlineLevel="0" collapsed="false">
      <c r="A758" s="110"/>
      <c r="B758" s="110"/>
      <c r="C758" s="110"/>
      <c r="D758" s="122"/>
      <c r="E758" s="110"/>
      <c r="F758" s="128" t="str">
        <f aca="false">IF(E758="CONTADO", 4%, IF(E758="TARJETA / CHEQUE", 3%, IF(OR(E758="FINANCIADO", E758="MCP"), 2.5%, "")))</f>
        <v/>
      </c>
      <c r="G758" s="122" t="str">
        <f aca="false">IF(F758="", "", F758*D758)</f>
        <v/>
      </c>
      <c r="H758" s="131" t="b">
        <f aca="false">FALSE()</f>
        <v>0</v>
      </c>
      <c r="I758" s="131" t="b">
        <f aca="false">FALSE()</f>
        <v>0</v>
      </c>
      <c r="J758" s="130"/>
      <c r="K758" s="110"/>
      <c r="L758" s="83"/>
      <c r="M758" s="103"/>
      <c r="N758" s="103"/>
      <c r="O758" s="103"/>
      <c r="P758" s="103"/>
      <c r="Q758" s="103"/>
      <c r="R758" s="83"/>
      <c r="S758" s="103"/>
      <c r="T758" s="103"/>
      <c r="U758" s="103"/>
    </row>
    <row r="759" customFormat="false" ht="22.5" hidden="false" customHeight="true" outlineLevel="0" collapsed="false">
      <c r="A759" s="99"/>
      <c r="B759" s="99"/>
      <c r="C759" s="99"/>
      <c r="D759" s="121"/>
      <c r="E759" s="99"/>
      <c r="F759" s="124" t="str">
        <f aca="false">IF(E759="CONTADO", 4%, IF(E759="TARJETA / CHEQUE", 3%, IF(OR(E759="FINANCIADO", E759="MCP"), 2.5%, "")))</f>
        <v/>
      </c>
      <c r="G759" s="121" t="str">
        <f aca="false">IF(F759="", "", F759*D759)</f>
        <v/>
      </c>
      <c r="H759" s="132" t="b">
        <f aca="false">FALSE()</f>
        <v>0</v>
      </c>
      <c r="I759" s="132" t="b">
        <f aca="false">FALSE()</f>
        <v>0</v>
      </c>
      <c r="J759" s="126"/>
      <c r="K759" s="99"/>
      <c r="L759" s="83"/>
      <c r="M759" s="103"/>
      <c r="N759" s="103"/>
      <c r="O759" s="103"/>
      <c r="P759" s="103"/>
      <c r="Q759" s="103"/>
      <c r="R759" s="83"/>
      <c r="S759" s="103"/>
      <c r="T759" s="103"/>
      <c r="U759" s="103"/>
    </row>
    <row r="760" customFormat="false" ht="22.5" hidden="false" customHeight="true" outlineLevel="0" collapsed="false">
      <c r="A760" s="110"/>
      <c r="B760" s="110"/>
      <c r="C760" s="110"/>
      <c r="D760" s="122"/>
      <c r="E760" s="110"/>
      <c r="F760" s="128" t="str">
        <f aca="false">IF(E760="CONTADO", 4%, IF(E760="TARJETA / CHEQUE", 3%, IF(OR(E760="FINANCIADO", E760="MCP"), 2.5%, "")))</f>
        <v/>
      </c>
      <c r="G760" s="122" t="str">
        <f aca="false">IF(F760="", "", F760*D760)</f>
        <v/>
      </c>
      <c r="H760" s="131" t="b">
        <f aca="false">FALSE()</f>
        <v>0</v>
      </c>
      <c r="I760" s="131" t="b">
        <f aca="false">FALSE()</f>
        <v>0</v>
      </c>
      <c r="J760" s="130"/>
      <c r="K760" s="110"/>
      <c r="L760" s="83"/>
      <c r="M760" s="103"/>
      <c r="N760" s="103"/>
      <c r="O760" s="103"/>
      <c r="P760" s="103"/>
      <c r="Q760" s="103"/>
      <c r="R760" s="83"/>
      <c r="S760" s="103"/>
      <c r="T760" s="103"/>
      <c r="U760" s="103"/>
    </row>
    <row r="761" customFormat="false" ht="22.5" hidden="false" customHeight="true" outlineLevel="0" collapsed="false">
      <c r="A761" s="99"/>
      <c r="B761" s="99"/>
      <c r="C761" s="99"/>
      <c r="D761" s="121"/>
      <c r="E761" s="99"/>
      <c r="F761" s="124" t="str">
        <f aca="false">IF(E761="CONTADO", 4%, IF(E761="TARJETA / CHEQUE", 3%, IF(OR(E761="FINANCIADO", E761="MCP"), 2.5%, "")))</f>
        <v/>
      </c>
      <c r="G761" s="121" t="str">
        <f aca="false">IF(F761="", "", F761*D761)</f>
        <v/>
      </c>
      <c r="H761" s="132" t="b">
        <f aca="false">FALSE()</f>
        <v>0</v>
      </c>
      <c r="I761" s="132" t="b">
        <f aca="false">FALSE()</f>
        <v>0</v>
      </c>
      <c r="J761" s="126"/>
      <c r="K761" s="99"/>
      <c r="L761" s="83"/>
      <c r="M761" s="103"/>
      <c r="N761" s="103"/>
      <c r="O761" s="103"/>
      <c r="P761" s="103"/>
      <c r="Q761" s="103"/>
      <c r="R761" s="83"/>
      <c r="S761" s="103"/>
      <c r="T761" s="103"/>
      <c r="U761" s="103"/>
    </row>
    <row r="762" customFormat="false" ht="22.5" hidden="false" customHeight="true" outlineLevel="0" collapsed="false">
      <c r="A762" s="110"/>
      <c r="B762" s="110"/>
      <c r="C762" s="110"/>
      <c r="D762" s="122"/>
      <c r="E762" s="110"/>
      <c r="F762" s="128" t="str">
        <f aca="false">IF(E762="CONTADO", 4%, IF(E762="TARJETA / CHEQUE", 3%, IF(OR(E762="FINANCIADO", E762="MCP"), 2.5%, "")))</f>
        <v/>
      </c>
      <c r="G762" s="122" t="str">
        <f aca="false">IF(F762="", "", F762*D762)</f>
        <v/>
      </c>
      <c r="H762" s="131" t="b">
        <f aca="false">FALSE()</f>
        <v>0</v>
      </c>
      <c r="I762" s="131" t="b">
        <f aca="false">FALSE()</f>
        <v>0</v>
      </c>
      <c r="J762" s="130"/>
      <c r="K762" s="110"/>
      <c r="L762" s="83"/>
      <c r="M762" s="103"/>
      <c r="N762" s="103"/>
      <c r="O762" s="103"/>
      <c r="P762" s="103"/>
      <c r="Q762" s="103"/>
      <c r="R762" s="83"/>
      <c r="S762" s="103"/>
      <c r="T762" s="103"/>
      <c r="U762" s="103"/>
    </row>
    <row r="763" customFormat="false" ht="22.5" hidden="false" customHeight="true" outlineLevel="0" collapsed="false">
      <c r="A763" s="99"/>
      <c r="B763" s="99"/>
      <c r="C763" s="99"/>
      <c r="D763" s="121"/>
      <c r="E763" s="99"/>
      <c r="F763" s="124" t="str">
        <f aca="false">IF(E763="CONTADO", 4%, IF(E763="TARJETA / CHEQUE", 3%, IF(OR(E763="FINANCIADO", E763="MCP"), 2.5%, "")))</f>
        <v/>
      </c>
      <c r="G763" s="121" t="str">
        <f aca="false">IF(F763="", "", F763*D763)</f>
        <v/>
      </c>
      <c r="H763" s="132" t="b">
        <f aca="false">FALSE()</f>
        <v>0</v>
      </c>
      <c r="I763" s="132" t="b">
        <f aca="false">FALSE()</f>
        <v>0</v>
      </c>
      <c r="J763" s="126"/>
      <c r="K763" s="99"/>
      <c r="L763" s="83"/>
      <c r="M763" s="103"/>
      <c r="N763" s="103"/>
      <c r="O763" s="103"/>
      <c r="P763" s="103"/>
      <c r="Q763" s="103"/>
      <c r="R763" s="83"/>
      <c r="S763" s="103"/>
      <c r="T763" s="103"/>
      <c r="U763" s="103"/>
    </row>
    <row r="764" customFormat="false" ht="22.5" hidden="false" customHeight="true" outlineLevel="0" collapsed="false">
      <c r="A764" s="110"/>
      <c r="B764" s="110"/>
      <c r="C764" s="110"/>
      <c r="D764" s="122"/>
      <c r="E764" s="110"/>
      <c r="F764" s="128" t="str">
        <f aca="false">IF(E764="CONTADO", 4%, IF(E764="TARJETA / CHEQUE", 3%, IF(OR(E764="FINANCIADO", E764="MCP"), 2.5%, "")))</f>
        <v/>
      </c>
      <c r="G764" s="122" t="str">
        <f aca="false">IF(F764="", "", F764*D764)</f>
        <v/>
      </c>
      <c r="H764" s="131" t="b">
        <f aca="false">FALSE()</f>
        <v>0</v>
      </c>
      <c r="I764" s="131" t="b">
        <f aca="false">FALSE()</f>
        <v>0</v>
      </c>
      <c r="J764" s="130"/>
      <c r="K764" s="110"/>
      <c r="L764" s="83"/>
      <c r="M764" s="103"/>
      <c r="N764" s="103"/>
      <c r="O764" s="103"/>
      <c r="P764" s="103"/>
      <c r="Q764" s="103"/>
      <c r="R764" s="83"/>
      <c r="S764" s="103"/>
      <c r="T764" s="103"/>
      <c r="U764" s="103"/>
    </row>
    <row r="765" customFormat="false" ht="22.5" hidden="false" customHeight="true" outlineLevel="0" collapsed="false">
      <c r="A765" s="99"/>
      <c r="B765" s="99"/>
      <c r="C765" s="99"/>
      <c r="D765" s="121"/>
      <c r="E765" s="99"/>
      <c r="F765" s="124" t="str">
        <f aca="false">IF(E765="CONTADO", 4%, IF(E765="TARJETA / CHEQUE", 3%, IF(OR(E765="FINANCIADO", E765="MCP"), 2.5%, "")))</f>
        <v/>
      </c>
      <c r="G765" s="121" t="str">
        <f aca="false">IF(F765="", "", F765*D765)</f>
        <v/>
      </c>
      <c r="H765" s="132" t="b">
        <f aca="false">FALSE()</f>
        <v>0</v>
      </c>
      <c r="I765" s="132" t="b">
        <f aca="false">FALSE()</f>
        <v>0</v>
      </c>
      <c r="J765" s="126"/>
      <c r="K765" s="99"/>
      <c r="L765" s="83"/>
      <c r="M765" s="103"/>
      <c r="N765" s="103"/>
      <c r="O765" s="103"/>
      <c r="P765" s="103"/>
      <c r="Q765" s="103"/>
      <c r="R765" s="83"/>
      <c r="S765" s="103"/>
      <c r="T765" s="103"/>
      <c r="U765" s="103"/>
    </row>
    <row r="766" customFormat="false" ht="22.5" hidden="false" customHeight="true" outlineLevel="0" collapsed="false">
      <c r="A766" s="110"/>
      <c r="B766" s="110"/>
      <c r="C766" s="110"/>
      <c r="D766" s="122"/>
      <c r="E766" s="110"/>
      <c r="F766" s="128" t="str">
        <f aca="false">IF(E766="CONTADO", 4%, IF(E766="TARJETA / CHEQUE", 3%, IF(OR(E766="FINANCIADO", E766="MCP"), 2.5%, "")))</f>
        <v/>
      </c>
      <c r="G766" s="122" t="str">
        <f aca="false">IF(F766="", "", F766*D766)</f>
        <v/>
      </c>
      <c r="H766" s="131" t="b">
        <f aca="false">FALSE()</f>
        <v>0</v>
      </c>
      <c r="I766" s="131" t="b">
        <f aca="false">FALSE()</f>
        <v>0</v>
      </c>
      <c r="J766" s="130"/>
      <c r="K766" s="110"/>
      <c r="L766" s="83"/>
      <c r="M766" s="103"/>
      <c r="N766" s="103"/>
      <c r="O766" s="103"/>
      <c r="P766" s="103"/>
      <c r="Q766" s="103"/>
      <c r="R766" s="83"/>
      <c r="S766" s="103"/>
      <c r="T766" s="103"/>
      <c r="U766" s="103"/>
    </row>
    <row r="767" customFormat="false" ht="22.5" hidden="false" customHeight="true" outlineLevel="0" collapsed="false">
      <c r="A767" s="99"/>
      <c r="B767" s="99"/>
      <c r="C767" s="99"/>
      <c r="D767" s="121"/>
      <c r="E767" s="99"/>
      <c r="F767" s="124" t="str">
        <f aca="false">IF(E767="CONTADO", 4%, IF(E767="TARJETA / CHEQUE", 3%, IF(OR(E767="FINANCIADO", E767="MCP"), 2.5%, "")))</f>
        <v/>
      </c>
      <c r="G767" s="121" t="str">
        <f aca="false">IF(F767="", "", F767*D767)</f>
        <v/>
      </c>
      <c r="H767" s="132" t="b">
        <f aca="false">FALSE()</f>
        <v>0</v>
      </c>
      <c r="I767" s="132" t="b">
        <f aca="false">FALSE()</f>
        <v>0</v>
      </c>
      <c r="J767" s="126"/>
      <c r="K767" s="99"/>
      <c r="L767" s="83"/>
      <c r="M767" s="103"/>
      <c r="N767" s="103"/>
      <c r="O767" s="103"/>
      <c r="P767" s="103"/>
      <c r="Q767" s="103"/>
      <c r="R767" s="83"/>
      <c r="S767" s="103"/>
      <c r="T767" s="103"/>
      <c r="U767" s="103"/>
    </row>
    <row r="768" customFormat="false" ht="22.5" hidden="false" customHeight="true" outlineLevel="0" collapsed="false">
      <c r="A768" s="110"/>
      <c r="B768" s="110"/>
      <c r="C768" s="110"/>
      <c r="D768" s="122"/>
      <c r="E768" s="110"/>
      <c r="F768" s="128" t="str">
        <f aca="false">IF(E768="CONTADO", 4%, IF(E768="TARJETA / CHEQUE", 3%, IF(OR(E768="FINANCIADO", E768="MCP"), 2.5%, "")))</f>
        <v/>
      </c>
      <c r="G768" s="122" t="str">
        <f aca="false">IF(F768="", "", F768*D768)</f>
        <v/>
      </c>
      <c r="H768" s="131" t="b">
        <f aca="false">FALSE()</f>
        <v>0</v>
      </c>
      <c r="I768" s="131" t="b">
        <f aca="false">FALSE()</f>
        <v>0</v>
      </c>
      <c r="J768" s="130"/>
      <c r="K768" s="110"/>
      <c r="L768" s="83"/>
      <c r="M768" s="103"/>
      <c r="N768" s="103"/>
      <c r="O768" s="103"/>
      <c r="P768" s="103"/>
      <c r="Q768" s="103"/>
      <c r="R768" s="83"/>
      <c r="S768" s="103"/>
      <c r="T768" s="103"/>
      <c r="U768" s="103"/>
    </row>
    <row r="769" customFormat="false" ht="22.5" hidden="false" customHeight="true" outlineLevel="0" collapsed="false">
      <c r="A769" s="99"/>
      <c r="B769" s="99"/>
      <c r="C769" s="99"/>
      <c r="D769" s="121"/>
      <c r="E769" s="99"/>
      <c r="F769" s="124" t="str">
        <f aca="false">IF(E769="CONTADO", 4%, IF(E769="TARJETA / CHEQUE", 3%, IF(OR(E769="FINANCIADO", E769="MCP"), 2.5%, "")))</f>
        <v/>
      </c>
      <c r="G769" s="121" t="str">
        <f aca="false">IF(F769="", "", F769*D769)</f>
        <v/>
      </c>
      <c r="H769" s="132" t="b">
        <f aca="false">FALSE()</f>
        <v>0</v>
      </c>
      <c r="I769" s="132" t="b">
        <f aca="false">FALSE()</f>
        <v>0</v>
      </c>
      <c r="J769" s="126"/>
      <c r="K769" s="99"/>
      <c r="L769" s="83"/>
      <c r="M769" s="103"/>
      <c r="N769" s="103"/>
      <c r="O769" s="103"/>
      <c r="P769" s="103"/>
      <c r="Q769" s="103"/>
      <c r="R769" s="83"/>
      <c r="S769" s="103"/>
      <c r="T769" s="103"/>
      <c r="U769" s="103"/>
    </row>
    <row r="770" customFormat="false" ht="22.5" hidden="false" customHeight="true" outlineLevel="0" collapsed="false">
      <c r="A770" s="110"/>
      <c r="B770" s="110"/>
      <c r="C770" s="110"/>
      <c r="D770" s="122"/>
      <c r="E770" s="110"/>
      <c r="F770" s="128" t="str">
        <f aca="false">IF(E770="CONTADO", 4%, IF(E770="TARJETA / CHEQUE", 3%, IF(OR(E770="FINANCIADO", E770="MCP"), 2.5%, "")))</f>
        <v/>
      </c>
      <c r="G770" s="122" t="str">
        <f aca="false">IF(F770="", "", F770*D770)</f>
        <v/>
      </c>
      <c r="H770" s="131" t="b">
        <f aca="false">FALSE()</f>
        <v>0</v>
      </c>
      <c r="I770" s="131" t="b">
        <f aca="false">FALSE()</f>
        <v>0</v>
      </c>
      <c r="J770" s="130"/>
      <c r="K770" s="110"/>
      <c r="L770" s="83"/>
      <c r="M770" s="103"/>
      <c r="N770" s="103"/>
      <c r="O770" s="103"/>
      <c r="P770" s="103"/>
      <c r="Q770" s="103"/>
      <c r="R770" s="83"/>
      <c r="S770" s="103"/>
      <c r="T770" s="103"/>
      <c r="U770" s="103"/>
    </row>
    <row r="771" customFormat="false" ht="22.5" hidden="false" customHeight="true" outlineLevel="0" collapsed="false">
      <c r="A771" s="99"/>
      <c r="B771" s="99"/>
      <c r="C771" s="99"/>
      <c r="D771" s="121"/>
      <c r="E771" s="99"/>
      <c r="F771" s="124" t="str">
        <f aca="false">IF(E771="CONTADO", 4%, IF(E771="TARJETA / CHEQUE", 3%, IF(OR(E771="FINANCIADO", E771="MCP"), 2.5%, "")))</f>
        <v/>
      </c>
      <c r="G771" s="121" t="str">
        <f aca="false">IF(F771="", "", F771*D771)</f>
        <v/>
      </c>
      <c r="H771" s="132" t="b">
        <f aca="false">FALSE()</f>
        <v>0</v>
      </c>
      <c r="I771" s="132" t="b">
        <f aca="false">FALSE()</f>
        <v>0</v>
      </c>
      <c r="J771" s="126"/>
      <c r="K771" s="99"/>
      <c r="L771" s="83"/>
      <c r="M771" s="103"/>
      <c r="N771" s="103"/>
      <c r="O771" s="103"/>
      <c r="P771" s="103"/>
      <c r="Q771" s="103"/>
      <c r="R771" s="83"/>
      <c r="S771" s="103"/>
      <c r="T771" s="103"/>
      <c r="U771" s="103"/>
    </row>
    <row r="772" customFormat="false" ht="22.5" hidden="false" customHeight="true" outlineLevel="0" collapsed="false">
      <c r="A772" s="110"/>
      <c r="B772" s="110"/>
      <c r="C772" s="110"/>
      <c r="D772" s="122"/>
      <c r="E772" s="110"/>
      <c r="F772" s="128" t="str">
        <f aca="false">IF(E772="CONTADO", 4%, IF(E772="TARJETA / CHEQUE", 3%, IF(OR(E772="FINANCIADO", E772="MCP"), 2.5%, "")))</f>
        <v/>
      </c>
      <c r="G772" s="122" t="str">
        <f aca="false">IF(F772="", "", F772*D772)</f>
        <v/>
      </c>
      <c r="H772" s="131" t="b">
        <f aca="false">FALSE()</f>
        <v>0</v>
      </c>
      <c r="I772" s="131" t="b">
        <f aca="false">FALSE()</f>
        <v>0</v>
      </c>
      <c r="J772" s="130"/>
      <c r="K772" s="110"/>
      <c r="L772" s="83"/>
      <c r="M772" s="103"/>
      <c r="N772" s="103"/>
      <c r="O772" s="103"/>
      <c r="P772" s="103"/>
      <c r="Q772" s="103"/>
      <c r="R772" s="83"/>
      <c r="S772" s="103"/>
      <c r="T772" s="103"/>
      <c r="U772" s="103"/>
    </row>
    <row r="773" customFormat="false" ht="22.5" hidden="false" customHeight="true" outlineLevel="0" collapsed="false">
      <c r="A773" s="99"/>
      <c r="B773" s="99"/>
      <c r="C773" s="99"/>
      <c r="D773" s="121"/>
      <c r="E773" s="99"/>
      <c r="F773" s="124" t="str">
        <f aca="false">IF(E773="CONTADO", 4%, IF(E773="TARJETA / CHEQUE", 3%, IF(OR(E773="FINANCIADO", E773="MCP"), 2.5%, "")))</f>
        <v/>
      </c>
      <c r="G773" s="121" t="str">
        <f aca="false">IF(F773="", "", F773*D773)</f>
        <v/>
      </c>
      <c r="H773" s="132" t="b">
        <f aca="false">FALSE()</f>
        <v>0</v>
      </c>
      <c r="I773" s="132" t="b">
        <f aca="false">FALSE()</f>
        <v>0</v>
      </c>
      <c r="J773" s="126"/>
      <c r="K773" s="99"/>
      <c r="L773" s="83"/>
      <c r="M773" s="103"/>
      <c r="N773" s="103"/>
      <c r="O773" s="103"/>
      <c r="P773" s="103"/>
      <c r="Q773" s="103"/>
      <c r="R773" s="83"/>
      <c r="S773" s="103"/>
      <c r="T773" s="103"/>
      <c r="U773" s="103"/>
    </row>
    <row r="774" customFormat="false" ht="22.5" hidden="false" customHeight="true" outlineLevel="0" collapsed="false">
      <c r="A774" s="110"/>
      <c r="B774" s="110"/>
      <c r="C774" s="110"/>
      <c r="D774" s="122"/>
      <c r="E774" s="110"/>
      <c r="F774" s="128" t="str">
        <f aca="false">IF(E774="CONTADO", 4%, IF(E774="TARJETA / CHEQUE", 3%, IF(OR(E774="FINANCIADO", E774="MCP"), 2.5%, "")))</f>
        <v/>
      </c>
      <c r="G774" s="122" t="str">
        <f aca="false">IF(F774="", "", F774*D774)</f>
        <v/>
      </c>
      <c r="H774" s="131" t="b">
        <f aca="false">FALSE()</f>
        <v>0</v>
      </c>
      <c r="I774" s="131" t="b">
        <f aca="false">FALSE()</f>
        <v>0</v>
      </c>
      <c r="J774" s="130"/>
      <c r="K774" s="110"/>
      <c r="L774" s="83"/>
      <c r="M774" s="103"/>
      <c r="N774" s="103"/>
      <c r="O774" s="103"/>
      <c r="P774" s="103"/>
      <c r="Q774" s="103"/>
      <c r="R774" s="83"/>
      <c r="S774" s="103"/>
      <c r="T774" s="103"/>
      <c r="U774" s="103"/>
    </row>
    <row r="775" customFormat="false" ht="22.5" hidden="false" customHeight="true" outlineLevel="0" collapsed="false">
      <c r="A775" s="99"/>
      <c r="B775" s="99"/>
      <c r="C775" s="99"/>
      <c r="D775" s="121"/>
      <c r="E775" s="99"/>
      <c r="F775" s="124" t="str">
        <f aca="false">IF(E775="CONTADO", 4%, IF(E775="TARJETA / CHEQUE", 3%, IF(OR(E775="FINANCIADO", E775="MCP"), 2.5%, "")))</f>
        <v/>
      </c>
      <c r="G775" s="121" t="str">
        <f aca="false">IF(F775="", "", F775*D775)</f>
        <v/>
      </c>
      <c r="H775" s="132" t="b">
        <f aca="false">FALSE()</f>
        <v>0</v>
      </c>
      <c r="I775" s="132" t="b">
        <f aca="false">FALSE()</f>
        <v>0</v>
      </c>
      <c r="J775" s="126"/>
      <c r="K775" s="99"/>
      <c r="L775" s="83"/>
      <c r="M775" s="103"/>
      <c r="N775" s="103"/>
      <c r="O775" s="103"/>
      <c r="P775" s="103"/>
      <c r="Q775" s="103"/>
      <c r="R775" s="83"/>
      <c r="S775" s="103"/>
      <c r="T775" s="103"/>
      <c r="U775" s="103"/>
    </row>
    <row r="776" customFormat="false" ht="22.5" hidden="false" customHeight="true" outlineLevel="0" collapsed="false">
      <c r="A776" s="110"/>
      <c r="B776" s="110"/>
      <c r="C776" s="110"/>
      <c r="D776" s="122"/>
      <c r="E776" s="110"/>
      <c r="F776" s="128" t="str">
        <f aca="false">IF(E776="CONTADO", 4%, IF(E776="TARJETA / CHEQUE", 3%, IF(OR(E776="FINANCIADO", E776="MCP"), 2.5%, "")))</f>
        <v/>
      </c>
      <c r="G776" s="122" t="str">
        <f aca="false">IF(F776="", "", F776*D776)</f>
        <v/>
      </c>
      <c r="H776" s="131" t="b">
        <f aca="false">FALSE()</f>
        <v>0</v>
      </c>
      <c r="I776" s="131" t="b">
        <f aca="false">FALSE()</f>
        <v>0</v>
      </c>
      <c r="J776" s="130"/>
      <c r="K776" s="110"/>
      <c r="L776" s="83"/>
      <c r="M776" s="103"/>
      <c r="N776" s="103"/>
      <c r="O776" s="103"/>
      <c r="P776" s="103"/>
      <c r="Q776" s="103"/>
      <c r="R776" s="83"/>
      <c r="S776" s="103"/>
      <c r="T776" s="103"/>
      <c r="U776" s="103"/>
    </row>
    <row r="777" customFormat="false" ht="22.5" hidden="false" customHeight="true" outlineLevel="0" collapsed="false">
      <c r="A777" s="99"/>
      <c r="B777" s="99"/>
      <c r="C777" s="99"/>
      <c r="D777" s="121"/>
      <c r="E777" s="99"/>
      <c r="F777" s="124" t="str">
        <f aca="false">IF(E777="CONTADO", 4%, IF(E777="TARJETA / CHEQUE", 3%, IF(OR(E777="FINANCIADO", E777="MCP"), 2.5%, "")))</f>
        <v/>
      </c>
      <c r="G777" s="121" t="str">
        <f aca="false">IF(F777="", "", F777*D777)</f>
        <v/>
      </c>
      <c r="H777" s="132" t="b">
        <f aca="false">FALSE()</f>
        <v>0</v>
      </c>
      <c r="I777" s="132" t="b">
        <f aca="false">FALSE()</f>
        <v>0</v>
      </c>
      <c r="J777" s="126"/>
      <c r="K777" s="99"/>
      <c r="L777" s="83"/>
      <c r="M777" s="103"/>
      <c r="N777" s="103"/>
      <c r="O777" s="103"/>
      <c r="P777" s="103"/>
      <c r="Q777" s="103"/>
      <c r="R777" s="83"/>
      <c r="S777" s="103"/>
      <c r="T777" s="103"/>
      <c r="U777" s="103"/>
    </row>
    <row r="778" customFormat="false" ht="22.5" hidden="false" customHeight="true" outlineLevel="0" collapsed="false">
      <c r="A778" s="110"/>
      <c r="B778" s="110"/>
      <c r="C778" s="110"/>
      <c r="D778" s="122"/>
      <c r="E778" s="110"/>
      <c r="F778" s="128" t="str">
        <f aca="false">IF(E778="CONTADO", 4%, IF(E778="TARJETA / CHEQUE", 3%, IF(OR(E778="FINANCIADO", E778="MCP"), 2.5%, "")))</f>
        <v/>
      </c>
      <c r="G778" s="122" t="str">
        <f aca="false">IF(F778="", "", F778*D778)</f>
        <v/>
      </c>
      <c r="H778" s="131" t="b">
        <f aca="false">FALSE()</f>
        <v>0</v>
      </c>
      <c r="I778" s="131" t="b">
        <f aca="false">FALSE()</f>
        <v>0</v>
      </c>
      <c r="J778" s="130"/>
      <c r="K778" s="110"/>
      <c r="L778" s="83"/>
      <c r="M778" s="103"/>
      <c r="N778" s="103"/>
      <c r="O778" s="103"/>
      <c r="P778" s="103"/>
      <c r="Q778" s="103"/>
      <c r="R778" s="83"/>
      <c r="S778" s="103"/>
      <c r="T778" s="103"/>
      <c r="U778" s="103"/>
    </row>
    <row r="779" customFormat="false" ht="22.5" hidden="false" customHeight="true" outlineLevel="0" collapsed="false">
      <c r="A779" s="99"/>
      <c r="B779" s="99"/>
      <c r="C779" s="99"/>
      <c r="D779" s="121"/>
      <c r="E779" s="99"/>
      <c r="F779" s="124" t="str">
        <f aca="false">IF(E779="CONTADO", 4%, IF(E779="TARJETA / CHEQUE", 3%, IF(OR(E779="FINANCIADO", E779="MCP"), 2.5%, "")))</f>
        <v/>
      </c>
      <c r="G779" s="121" t="str">
        <f aca="false">IF(F779="", "", F779*D779)</f>
        <v/>
      </c>
      <c r="H779" s="132" t="b">
        <f aca="false">FALSE()</f>
        <v>0</v>
      </c>
      <c r="I779" s="132" t="b">
        <f aca="false">FALSE()</f>
        <v>0</v>
      </c>
      <c r="J779" s="126"/>
      <c r="K779" s="99"/>
      <c r="L779" s="83"/>
      <c r="M779" s="103"/>
      <c r="N779" s="103"/>
      <c r="O779" s="103"/>
      <c r="P779" s="103"/>
      <c r="Q779" s="103"/>
      <c r="R779" s="83"/>
      <c r="S779" s="103"/>
      <c r="T779" s="103"/>
      <c r="U779" s="103"/>
    </row>
    <row r="780" customFormat="false" ht="22.5" hidden="false" customHeight="true" outlineLevel="0" collapsed="false">
      <c r="A780" s="110"/>
      <c r="B780" s="110"/>
      <c r="C780" s="110"/>
      <c r="D780" s="122"/>
      <c r="E780" s="110"/>
      <c r="F780" s="128" t="str">
        <f aca="false">IF(E780="CONTADO", 4%, IF(E780="TARJETA / CHEQUE", 3%, IF(OR(E780="FINANCIADO", E780="MCP"), 2.5%, "")))</f>
        <v/>
      </c>
      <c r="G780" s="122" t="str">
        <f aca="false">IF(F780="", "", F780*D780)</f>
        <v/>
      </c>
      <c r="H780" s="131" t="b">
        <f aca="false">FALSE()</f>
        <v>0</v>
      </c>
      <c r="I780" s="131" t="b">
        <f aca="false">FALSE()</f>
        <v>0</v>
      </c>
      <c r="J780" s="130"/>
      <c r="K780" s="110"/>
      <c r="L780" s="83"/>
      <c r="M780" s="103"/>
      <c r="N780" s="103"/>
      <c r="O780" s="103"/>
      <c r="P780" s="103"/>
      <c r="Q780" s="103"/>
      <c r="R780" s="83"/>
      <c r="S780" s="103"/>
      <c r="T780" s="103"/>
      <c r="U780" s="103"/>
    </row>
    <row r="781" customFormat="false" ht="22.5" hidden="false" customHeight="true" outlineLevel="0" collapsed="false">
      <c r="A781" s="99"/>
      <c r="B781" s="99"/>
      <c r="C781" s="99"/>
      <c r="D781" s="121"/>
      <c r="E781" s="99"/>
      <c r="F781" s="124" t="str">
        <f aca="false">IF(E781="CONTADO", 4%, IF(E781="TARJETA / CHEQUE", 3%, IF(OR(E781="FINANCIADO", E781="MCP"), 2.5%, "")))</f>
        <v/>
      </c>
      <c r="G781" s="121" t="str">
        <f aca="false">IF(F781="", "", F781*D781)</f>
        <v/>
      </c>
      <c r="H781" s="132" t="b">
        <f aca="false">FALSE()</f>
        <v>0</v>
      </c>
      <c r="I781" s="132" t="b">
        <f aca="false">FALSE()</f>
        <v>0</v>
      </c>
      <c r="J781" s="126"/>
      <c r="K781" s="99"/>
      <c r="L781" s="83"/>
      <c r="M781" s="103"/>
      <c r="N781" s="103"/>
      <c r="O781" s="103"/>
      <c r="P781" s="103"/>
      <c r="Q781" s="103"/>
      <c r="R781" s="83"/>
      <c r="S781" s="103"/>
      <c r="T781" s="103"/>
      <c r="U781" s="103"/>
    </row>
    <row r="782" customFormat="false" ht="22.5" hidden="false" customHeight="true" outlineLevel="0" collapsed="false">
      <c r="A782" s="110"/>
      <c r="B782" s="110"/>
      <c r="C782" s="110"/>
      <c r="D782" s="122"/>
      <c r="E782" s="110"/>
      <c r="F782" s="128" t="str">
        <f aca="false">IF(E782="CONTADO", 4%, IF(E782="TARJETA / CHEQUE", 3%, IF(OR(E782="FINANCIADO", E782="MCP"), 2.5%, "")))</f>
        <v/>
      </c>
      <c r="G782" s="122" t="str">
        <f aca="false">IF(F782="", "", F782*D782)</f>
        <v/>
      </c>
      <c r="H782" s="131" t="b">
        <f aca="false">FALSE()</f>
        <v>0</v>
      </c>
      <c r="I782" s="131" t="b">
        <f aca="false">FALSE()</f>
        <v>0</v>
      </c>
      <c r="J782" s="130"/>
      <c r="K782" s="110"/>
      <c r="L782" s="83"/>
      <c r="M782" s="103"/>
      <c r="N782" s="103"/>
      <c r="O782" s="103"/>
      <c r="P782" s="103"/>
      <c r="Q782" s="103"/>
      <c r="R782" s="83"/>
      <c r="S782" s="103"/>
      <c r="T782" s="103"/>
      <c r="U782" s="103"/>
    </row>
    <row r="783" customFormat="false" ht="22.5" hidden="false" customHeight="true" outlineLevel="0" collapsed="false">
      <c r="A783" s="99"/>
      <c r="B783" s="99"/>
      <c r="C783" s="99"/>
      <c r="D783" s="121"/>
      <c r="E783" s="99"/>
      <c r="F783" s="124" t="str">
        <f aca="false">IF(E783="CONTADO", 4%, IF(E783="TARJETA / CHEQUE", 3%, IF(OR(E783="FINANCIADO", E783="MCP"), 2.5%, "")))</f>
        <v/>
      </c>
      <c r="G783" s="121" t="str">
        <f aca="false">IF(F783="", "", F783*D783)</f>
        <v/>
      </c>
      <c r="H783" s="132" t="b">
        <f aca="false">FALSE()</f>
        <v>0</v>
      </c>
      <c r="I783" s="132" t="b">
        <f aca="false">FALSE()</f>
        <v>0</v>
      </c>
      <c r="J783" s="126"/>
      <c r="K783" s="99"/>
      <c r="L783" s="83"/>
      <c r="M783" s="103"/>
      <c r="N783" s="103"/>
      <c r="O783" s="103"/>
      <c r="P783" s="103"/>
      <c r="Q783" s="103"/>
      <c r="R783" s="83"/>
      <c r="S783" s="103"/>
      <c r="T783" s="103"/>
      <c r="U783" s="103"/>
    </row>
    <row r="784" customFormat="false" ht="22.5" hidden="false" customHeight="true" outlineLevel="0" collapsed="false">
      <c r="A784" s="110"/>
      <c r="B784" s="110"/>
      <c r="C784" s="110"/>
      <c r="D784" s="122"/>
      <c r="E784" s="110"/>
      <c r="F784" s="128" t="str">
        <f aca="false">IF(E784="CONTADO", 4%, IF(E784="TARJETA / CHEQUE", 3%, IF(OR(E784="FINANCIADO", E784="MCP"), 2.5%, "")))</f>
        <v/>
      </c>
      <c r="G784" s="122" t="str">
        <f aca="false">IF(F784="", "", F784*D784)</f>
        <v/>
      </c>
      <c r="H784" s="131" t="b">
        <f aca="false">FALSE()</f>
        <v>0</v>
      </c>
      <c r="I784" s="131" t="b">
        <f aca="false">FALSE()</f>
        <v>0</v>
      </c>
      <c r="J784" s="130"/>
      <c r="K784" s="110"/>
      <c r="L784" s="83"/>
      <c r="M784" s="103"/>
      <c r="N784" s="103"/>
      <c r="O784" s="103"/>
      <c r="P784" s="103"/>
      <c r="Q784" s="103"/>
      <c r="R784" s="83"/>
      <c r="S784" s="103"/>
      <c r="T784" s="103"/>
      <c r="U784" s="103"/>
    </row>
    <row r="785" customFormat="false" ht="22.5" hidden="false" customHeight="true" outlineLevel="0" collapsed="false">
      <c r="A785" s="99"/>
      <c r="B785" s="99"/>
      <c r="C785" s="99"/>
      <c r="D785" s="121"/>
      <c r="E785" s="99"/>
      <c r="F785" s="124" t="str">
        <f aca="false">IF(E785="CONTADO", 4%, IF(E785="TARJETA / CHEQUE", 3%, IF(OR(E785="FINANCIADO", E785="MCP"), 2.5%, "")))</f>
        <v/>
      </c>
      <c r="G785" s="121" t="str">
        <f aca="false">IF(F785="", "", F785*D785)</f>
        <v/>
      </c>
      <c r="H785" s="132" t="b">
        <f aca="false">FALSE()</f>
        <v>0</v>
      </c>
      <c r="I785" s="132" t="b">
        <f aca="false">FALSE()</f>
        <v>0</v>
      </c>
      <c r="J785" s="126"/>
      <c r="K785" s="99"/>
      <c r="L785" s="83"/>
      <c r="M785" s="103"/>
      <c r="N785" s="103"/>
      <c r="O785" s="103"/>
      <c r="P785" s="103"/>
      <c r="Q785" s="103"/>
      <c r="R785" s="83"/>
      <c r="S785" s="103"/>
      <c r="T785" s="103"/>
      <c r="U785" s="103"/>
    </row>
    <row r="786" customFormat="false" ht="22.5" hidden="false" customHeight="true" outlineLevel="0" collapsed="false">
      <c r="A786" s="110"/>
      <c r="B786" s="110"/>
      <c r="C786" s="110"/>
      <c r="D786" s="122"/>
      <c r="E786" s="110"/>
      <c r="F786" s="128" t="str">
        <f aca="false">IF(E786="CONTADO", 4%, IF(E786="TARJETA / CHEQUE", 3%, IF(OR(E786="FINANCIADO", E786="MCP"), 2.5%, "")))</f>
        <v/>
      </c>
      <c r="G786" s="122" t="str">
        <f aca="false">IF(F786="", "", F786*D786)</f>
        <v/>
      </c>
      <c r="H786" s="131" t="b">
        <f aca="false">FALSE()</f>
        <v>0</v>
      </c>
      <c r="I786" s="131" t="b">
        <f aca="false">FALSE()</f>
        <v>0</v>
      </c>
      <c r="J786" s="130"/>
      <c r="K786" s="110"/>
      <c r="L786" s="83"/>
      <c r="M786" s="103"/>
      <c r="N786" s="103"/>
      <c r="O786" s="103"/>
      <c r="P786" s="103"/>
      <c r="Q786" s="103"/>
      <c r="R786" s="83"/>
      <c r="S786" s="103"/>
      <c r="T786" s="103"/>
      <c r="U786" s="103"/>
    </row>
    <row r="787" customFormat="false" ht="22.5" hidden="false" customHeight="true" outlineLevel="0" collapsed="false">
      <c r="A787" s="99"/>
      <c r="B787" s="99"/>
      <c r="C787" s="99"/>
      <c r="D787" s="121"/>
      <c r="E787" s="99"/>
      <c r="F787" s="124" t="str">
        <f aca="false">IF(E787="CONTADO", 4%, IF(E787="TARJETA / CHEQUE", 3%, IF(OR(E787="FINANCIADO", E787="MCP"), 2.5%, "")))</f>
        <v/>
      </c>
      <c r="G787" s="121" t="str">
        <f aca="false">IF(F787="", "", F787*D787)</f>
        <v/>
      </c>
      <c r="H787" s="132" t="b">
        <f aca="false">FALSE()</f>
        <v>0</v>
      </c>
      <c r="I787" s="132" t="b">
        <f aca="false">FALSE()</f>
        <v>0</v>
      </c>
      <c r="J787" s="126"/>
      <c r="K787" s="99"/>
      <c r="L787" s="83"/>
      <c r="M787" s="103"/>
      <c r="N787" s="103"/>
      <c r="O787" s="103"/>
      <c r="P787" s="103"/>
      <c r="Q787" s="103"/>
      <c r="R787" s="83"/>
      <c r="S787" s="103"/>
      <c r="T787" s="103"/>
      <c r="U787" s="103"/>
    </row>
    <row r="788" customFormat="false" ht="22.5" hidden="false" customHeight="true" outlineLevel="0" collapsed="false">
      <c r="A788" s="110"/>
      <c r="B788" s="110"/>
      <c r="C788" s="110"/>
      <c r="D788" s="122"/>
      <c r="E788" s="110"/>
      <c r="F788" s="128" t="str">
        <f aca="false">IF(E788="CONTADO", 4%, IF(E788="TARJETA / CHEQUE", 3%, IF(OR(E788="FINANCIADO", E788="MCP"), 2.5%, "")))</f>
        <v/>
      </c>
      <c r="G788" s="122" t="str">
        <f aca="false">IF(F788="", "", F788*D788)</f>
        <v/>
      </c>
      <c r="H788" s="131" t="b">
        <f aca="false">FALSE()</f>
        <v>0</v>
      </c>
      <c r="I788" s="131" t="b">
        <f aca="false">FALSE()</f>
        <v>0</v>
      </c>
      <c r="J788" s="130"/>
      <c r="K788" s="110"/>
      <c r="L788" s="83"/>
      <c r="M788" s="103"/>
      <c r="N788" s="103"/>
      <c r="O788" s="103"/>
      <c r="P788" s="103"/>
      <c r="Q788" s="103"/>
      <c r="R788" s="83"/>
      <c r="S788" s="103"/>
      <c r="T788" s="103"/>
      <c r="U788" s="103"/>
    </row>
    <row r="789" customFormat="false" ht="22.5" hidden="false" customHeight="true" outlineLevel="0" collapsed="false">
      <c r="A789" s="99"/>
      <c r="B789" s="99"/>
      <c r="C789" s="99"/>
      <c r="D789" s="121"/>
      <c r="E789" s="99"/>
      <c r="F789" s="124" t="str">
        <f aca="false">IF(E789="CONTADO", 4%, IF(E789="TARJETA / CHEQUE", 3%, IF(OR(E789="FINANCIADO", E789="MCP"), 2.5%, "")))</f>
        <v/>
      </c>
      <c r="G789" s="121" t="str">
        <f aca="false">IF(F789="", "", F789*D789)</f>
        <v/>
      </c>
      <c r="H789" s="132" t="b">
        <f aca="false">FALSE()</f>
        <v>0</v>
      </c>
      <c r="I789" s="132" t="b">
        <f aca="false">FALSE()</f>
        <v>0</v>
      </c>
      <c r="J789" s="126"/>
      <c r="K789" s="99"/>
      <c r="L789" s="83"/>
      <c r="M789" s="103"/>
      <c r="N789" s="103"/>
      <c r="O789" s="103"/>
      <c r="P789" s="103"/>
      <c r="Q789" s="103"/>
      <c r="R789" s="83"/>
      <c r="S789" s="103"/>
      <c r="T789" s="103"/>
      <c r="U789" s="103"/>
    </row>
    <row r="790" customFormat="false" ht="22.5" hidden="false" customHeight="true" outlineLevel="0" collapsed="false">
      <c r="A790" s="110"/>
      <c r="B790" s="110"/>
      <c r="C790" s="110"/>
      <c r="D790" s="122"/>
      <c r="E790" s="110"/>
      <c r="F790" s="128" t="str">
        <f aca="false">IF(E790="CONTADO", 4%, IF(E790="TARJETA / CHEQUE", 3%, IF(OR(E790="FINANCIADO", E790="MCP"), 2.5%, "")))</f>
        <v/>
      </c>
      <c r="G790" s="122" t="str">
        <f aca="false">IF(F790="", "", F790*D790)</f>
        <v/>
      </c>
      <c r="H790" s="131" t="b">
        <f aca="false">FALSE()</f>
        <v>0</v>
      </c>
      <c r="I790" s="131" t="b">
        <f aca="false">FALSE()</f>
        <v>0</v>
      </c>
      <c r="J790" s="130"/>
      <c r="K790" s="110"/>
      <c r="L790" s="83"/>
      <c r="M790" s="103"/>
      <c r="N790" s="103"/>
      <c r="O790" s="103"/>
      <c r="P790" s="103"/>
      <c r="Q790" s="103"/>
      <c r="R790" s="83"/>
      <c r="S790" s="103"/>
      <c r="T790" s="103"/>
      <c r="U790" s="103"/>
    </row>
    <row r="791" customFormat="false" ht="22.5" hidden="false" customHeight="true" outlineLevel="0" collapsed="false">
      <c r="A791" s="99"/>
      <c r="B791" s="99"/>
      <c r="C791" s="99"/>
      <c r="D791" s="121"/>
      <c r="E791" s="99"/>
      <c r="F791" s="124" t="str">
        <f aca="false">IF(E791="CONTADO", 4%, IF(E791="TARJETA / CHEQUE", 3%, IF(OR(E791="FINANCIADO", E791="MCP"), 2.5%, "")))</f>
        <v/>
      </c>
      <c r="G791" s="121" t="str">
        <f aca="false">IF(F791="", "", F791*D791)</f>
        <v/>
      </c>
      <c r="H791" s="132" t="b">
        <f aca="false">FALSE()</f>
        <v>0</v>
      </c>
      <c r="I791" s="132" t="b">
        <f aca="false">FALSE()</f>
        <v>0</v>
      </c>
      <c r="J791" s="126"/>
      <c r="K791" s="99"/>
      <c r="L791" s="83"/>
      <c r="M791" s="103"/>
      <c r="N791" s="103"/>
      <c r="O791" s="103"/>
      <c r="P791" s="103"/>
      <c r="Q791" s="103"/>
      <c r="R791" s="83"/>
      <c r="S791" s="103"/>
      <c r="T791" s="103"/>
      <c r="U791" s="103"/>
    </row>
    <row r="792" customFormat="false" ht="22.5" hidden="false" customHeight="true" outlineLevel="0" collapsed="false">
      <c r="A792" s="110"/>
      <c r="B792" s="110"/>
      <c r="C792" s="110"/>
      <c r="D792" s="122"/>
      <c r="E792" s="110"/>
      <c r="F792" s="128" t="str">
        <f aca="false">IF(E792="CONTADO", 4%, IF(E792="TARJETA / CHEQUE", 3%, IF(OR(E792="FINANCIADO", E792="MCP"), 2.5%, "")))</f>
        <v/>
      </c>
      <c r="G792" s="122" t="str">
        <f aca="false">IF(F792="", "", F792*D792)</f>
        <v/>
      </c>
      <c r="H792" s="131" t="b">
        <f aca="false">FALSE()</f>
        <v>0</v>
      </c>
      <c r="I792" s="131" t="b">
        <f aca="false">FALSE()</f>
        <v>0</v>
      </c>
      <c r="J792" s="130"/>
      <c r="K792" s="110"/>
      <c r="L792" s="83"/>
      <c r="M792" s="103"/>
      <c r="N792" s="103"/>
      <c r="O792" s="103"/>
      <c r="P792" s="103"/>
      <c r="Q792" s="103"/>
      <c r="R792" s="83"/>
      <c r="S792" s="103"/>
      <c r="T792" s="103"/>
      <c r="U792" s="103"/>
    </row>
    <row r="793" customFormat="false" ht="22.5" hidden="false" customHeight="true" outlineLevel="0" collapsed="false">
      <c r="A793" s="99"/>
      <c r="B793" s="99"/>
      <c r="C793" s="99"/>
      <c r="D793" s="121"/>
      <c r="E793" s="99"/>
      <c r="F793" s="124" t="str">
        <f aca="false">IF(E793="CONTADO", 4%, IF(E793="TARJETA / CHEQUE", 3%, IF(OR(E793="FINANCIADO", E793="MCP"), 2.5%, "")))</f>
        <v/>
      </c>
      <c r="G793" s="121" t="str">
        <f aca="false">IF(F793="", "", F793*D793)</f>
        <v/>
      </c>
      <c r="H793" s="132" t="b">
        <f aca="false">FALSE()</f>
        <v>0</v>
      </c>
      <c r="I793" s="132" t="b">
        <f aca="false">FALSE()</f>
        <v>0</v>
      </c>
      <c r="J793" s="126"/>
      <c r="K793" s="99"/>
      <c r="L793" s="83"/>
      <c r="M793" s="103"/>
      <c r="N793" s="103"/>
      <c r="O793" s="103"/>
      <c r="P793" s="103"/>
      <c r="Q793" s="103"/>
      <c r="R793" s="83"/>
      <c r="S793" s="103"/>
      <c r="T793" s="103"/>
      <c r="U793" s="103"/>
    </row>
    <row r="794" customFormat="false" ht="22.5" hidden="false" customHeight="true" outlineLevel="0" collapsed="false">
      <c r="A794" s="110"/>
      <c r="B794" s="110"/>
      <c r="C794" s="110"/>
      <c r="D794" s="122"/>
      <c r="E794" s="110"/>
      <c r="F794" s="128" t="str">
        <f aca="false">IF(E794="CONTADO", 4%, IF(E794="TARJETA / CHEQUE", 3%, IF(OR(E794="FINANCIADO", E794="MCP"), 2.5%, "")))</f>
        <v/>
      </c>
      <c r="G794" s="122" t="str">
        <f aca="false">IF(F794="", "", F794*D794)</f>
        <v/>
      </c>
      <c r="H794" s="131" t="b">
        <f aca="false">FALSE()</f>
        <v>0</v>
      </c>
      <c r="I794" s="131" t="b">
        <f aca="false">FALSE()</f>
        <v>0</v>
      </c>
      <c r="J794" s="130"/>
      <c r="K794" s="110"/>
      <c r="L794" s="83"/>
      <c r="M794" s="103"/>
      <c r="N794" s="103"/>
      <c r="O794" s="103"/>
      <c r="P794" s="103"/>
      <c r="Q794" s="103"/>
      <c r="R794" s="83"/>
      <c r="S794" s="103"/>
      <c r="T794" s="103"/>
      <c r="U794" s="103"/>
    </row>
    <row r="795" customFormat="false" ht="22.5" hidden="false" customHeight="true" outlineLevel="0" collapsed="false">
      <c r="A795" s="99"/>
      <c r="B795" s="99"/>
      <c r="C795" s="99"/>
      <c r="D795" s="121"/>
      <c r="E795" s="99"/>
      <c r="F795" s="124" t="str">
        <f aca="false">IF(E795="CONTADO", 4%, IF(E795="TARJETA / CHEQUE", 3%, IF(OR(E795="FINANCIADO", E795="MCP"), 2.5%, "")))</f>
        <v/>
      </c>
      <c r="G795" s="121" t="str">
        <f aca="false">IF(F795="", "", F795*D795)</f>
        <v/>
      </c>
      <c r="H795" s="132" t="b">
        <f aca="false">FALSE()</f>
        <v>0</v>
      </c>
      <c r="I795" s="132" t="b">
        <f aca="false">FALSE()</f>
        <v>0</v>
      </c>
      <c r="J795" s="126"/>
      <c r="K795" s="99"/>
      <c r="L795" s="83"/>
      <c r="M795" s="103"/>
      <c r="N795" s="103"/>
      <c r="O795" s="103"/>
      <c r="P795" s="103"/>
      <c r="Q795" s="103"/>
      <c r="R795" s="83"/>
      <c r="S795" s="103"/>
      <c r="T795" s="103"/>
      <c r="U795" s="103"/>
    </row>
    <row r="796" customFormat="false" ht="22.5" hidden="false" customHeight="true" outlineLevel="0" collapsed="false">
      <c r="A796" s="110"/>
      <c r="B796" s="110"/>
      <c r="C796" s="110"/>
      <c r="D796" s="122"/>
      <c r="E796" s="110"/>
      <c r="F796" s="128" t="str">
        <f aca="false">IF(E796="CONTADO", 4%, IF(E796="TARJETA / CHEQUE", 3%, IF(OR(E796="FINANCIADO", E796="MCP"), 2.5%, "")))</f>
        <v/>
      </c>
      <c r="G796" s="122" t="str">
        <f aca="false">IF(F796="", "", F796*D796)</f>
        <v/>
      </c>
      <c r="H796" s="131" t="b">
        <f aca="false">FALSE()</f>
        <v>0</v>
      </c>
      <c r="I796" s="131" t="b">
        <f aca="false">FALSE()</f>
        <v>0</v>
      </c>
      <c r="J796" s="130"/>
      <c r="K796" s="110"/>
      <c r="L796" s="83"/>
      <c r="M796" s="103"/>
      <c r="N796" s="103"/>
      <c r="O796" s="103"/>
      <c r="P796" s="103"/>
      <c r="Q796" s="103"/>
      <c r="R796" s="83"/>
      <c r="S796" s="103"/>
      <c r="T796" s="103"/>
      <c r="U796" s="103"/>
    </row>
    <row r="797" customFormat="false" ht="22.5" hidden="false" customHeight="true" outlineLevel="0" collapsed="false">
      <c r="A797" s="99"/>
      <c r="B797" s="99"/>
      <c r="C797" s="99"/>
      <c r="D797" s="121"/>
      <c r="E797" s="99"/>
      <c r="F797" s="124" t="str">
        <f aca="false">IF(E797="CONTADO", 4%, IF(E797="TARJETA / CHEQUE", 3%, IF(OR(E797="FINANCIADO", E797="MCP"), 2.5%, "")))</f>
        <v/>
      </c>
      <c r="G797" s="121" t="str">
        <f aca="false">IF(F797="", "", F797*D797)</f>
        <v/>
      </c>
      <c r="H797" s="132" t="b">
        <f aca="false">FALSE()</f>
        <v>0</v>
      </c>
      <c r="I797" s="132" t="b">
        <f aca="false">FALSE()</f>
        <v>0</v>
      </c>
      <c r="J797" s="126"/>
      <c r="K797" s="99"/>
      <c r="L797" s="83"/>
      <c r="M797" s="103"/>
      <c r="N797" s="103"/>
      <c r="O797" s="103"/>
      <c r="P797" s="103"/>
      <c r="Q797" s="103"/>
      <c r="R797" s="83"/>
      <c r="S797" s="103"/>
      <c r="T797" s="103"/>
      <c r="U797" s="103"/>
    </row>
    <row r="798" customFormat="false" ht="22.5" hidden="false" customHeight="true" outlineLevel="0" collapsed="false">
      <c r="A798" s="110"/>
      <c r="B798" s="110"/>
      <c r="C798" s="110"/>
      <c r="D798" s="122"/>
      <c r="E798" s="110"/>
      <c r="F798" s="128" t="str">
        <f aca="false">IF(E798="CONTADO", 4%, IF(E798="TARJETA / CHEQUE", 3%, IF(OR(E798="FINANCIADO", E798="MCP"), 2.5%, "")))</f>
        <v/>
      </c>
      <c r="G798" s="122" t="str">
        <f aca="false">IF(F798="", "", F798*D798)</f>
        <v/>
      </c>
      <c r="H798" s="131" t="b">
        <f aca="false">FALSE()</f>
        <v>0</v>
      </c>
      <c r="I798" s="131" t="b">
        <f aca="false">FALSE()</f>
        <v>0</v>
      </c>
      <c r="J798" s="130"/>
      <c r="K798" s="110"/>
      <c r="L798" s="83"/>
      <c r="M798" s="103"/>
      <c r="N798" s="103"/>
      <c r="O798" s="103"/>
      <c r="P798" s="103"/>
      <c r="Q798" s="103"/>
      <c r="R798" s="83"/>
      <c r="S798" s="103"/>
      <c r="T798" s="103"/>
      <c r="U798" s="103"/>
    </row>
    <row r="799" customFormat="false" ht="22.5" hidden="false" customHeight="true" outlineLevel="0" collapsed="false">
      <c r="A799" s="99"/>
      <c r="B799" s="99"/>
      <c r="C799" s="99"/>
      <c r="D799" s="121"/>
      <c r="E799" s="99"/>
      <c r="F799" s="124" t="str">
        <f aca="false">IF(E799="CONTADO", 4%, IF(E799="TARJETA / CHEQUE", 3%, IF(OR(E799="FINANCIADO", E799="MCP"), 2.5%, "")))</f>
        <v/>
      </c>
      <c r="G799" s="121" t="str">
        <f aca="false">IF(F799="", "", F799*D799)</f>
        <v/>
      </c>
      <c r="H799" s="132" t="b">
        <f aca="false">FALSE()</f>
        <v>0</v>
      </c>
      <c r="I799" s="132" t="b">
        <f aca="false">FALSE()</f>
        <v>0</v>
      </c>
      <c r="J799" s="126"/>
      <c r="K799" s="99"/>
      <c r="L799" s="83"/>
      <c r="M799" s="103"/>
      <c r="N799" s="103"/>
      <c r="O799" s="103"/>
      <c r="P799" s="103"/>
      <c r="Q799" s="103"/>
      <c r="R799" s="83"/>
      <c r="S799" s="103"/>
      <c r="T799" s="103"/>
      <c r="U799" s="103"/>
    </row>
    <row r="800" customFormat="false" ht="22.5" hidden="false" customHeight="true" outlineLevel="0" collapsed="false">
      <c r="A800" s="110"/>
      <c r="B800" s="110"/>
      <c r="C800" s="110"/>
      <c r="D800" s="122"/>
      <c r="E800" s="110"/>
      <c r="F800" s="128" t="str">
        <f aca="false">IF(E800="CONTADO", 4%, IF(E800="TARJETA / CHEQUE", 3%, IF(OR(E800="FINANCIADO", E800="MCP"), 2.5%, "")))</f>
        <v/>
      </c>
      <c r="G800" s="122" t="str">
        <f aca="false">IF(F800="", "", F800*D800)</f>
        <v/>
      </c>
      <c r="H800" s="131" t="b">
        <f aca="false">FALSE()</f>
        <v>0</v>
      </c>
      <c r="I800" s="131" t="b">
        <f aca="false">FALSE()</f>
        <v>0</v>
      </c>
      <c r="J800" s="130"/>
      <c r="K800" s="110"/>
      <c r="L800" s="83"/>
      <c r="M800" s="103"/>
      <c r="N800" s="103"/>
      <c r="O800" s="103"/>
      <c r="P800" s="103"/>
      <c r="Q800" s="103"/>
      <c r="R800" s="83"/>
      <c r="S800" s="103"/>
      <c r="T800" s="103"/>
      <c r="U800" s="103"/>
    </row>
    <row r="801" customFormat="false" ht="22.5" hidden="false" customHeight="true" outlineLevel="0" collapsed="false">
      <c r="A801" s="99"/>
      <c r="B801" s="99"/>
      <c r="C801" s="99"/>
      <c r="D801" s="121"/>
      <c r="E801" s="99"/>
      <c r="F801" s="124" t="str">
        <f aca="false">IF(E801="CONTADO", 4%, IF(E801="TARJETA / CHEQUE", 3%, IF(OR(E801="FINANCIADO", E801="MCP"), 2.5%, "")))</f>
        <v/>
      </c>
      <c r="G801" s="121" t="str">
        <f aca="false">IF(F801="", "", F801*D801)</f>
        <v/>
      </c>
      <c r="H801" s="132" t="b">
        <f aca="false">FALSE()</f>
        <v>0</v>
      </c>
      <c r="I801" s="132" t="b">
        <f aca="false">FALSE()</f>
        <v>0</v>
      </c>
      <c r="J801" s="126"/>
      <c r="K801" s="99"/>
      <c r="L801" s="83"/>
      <c r="M801" s="103"/>
      <c r="N801" s="103"/>
      <c r="O801" s="103"/>
      <c r="P801" s="103"/>
      <c r="Q801" s="103"/>
      <c r="R801" s="83"/>
      <c r="S801" s="103"/>
      <c r="T801" s="103"/>
      <c r="U801" s="103"/>
    </row>
    <row r="802" customFormat="false" ht="22.5" hidden="false" customHeight="true" outlineLevel="0" collapsed="false">
      <c r="A802" s="110"/>
      <c r="B802" s="110"/>
      <c r="C802" s="110"/>
      <c r="D802" s="122"/>
      <c r="E802" s="110"/>
      <c r="F802" s="128" t="str">
        <f aca="false">IF(E802="CONTADO", 4%, IF(E802="TARJETA / CHEQUE", 3%, IF(OR(E802="FINANCIADO", E802="MCP"), 2.5%, "")))</f>
        <v/>
      </c>
      <c r="G802" s="122" t="str">
        <f aca="false">IF(F802="", "", F802*D802)</f>
        <v/>
      </c>
      <c r="H802" s="131" t="b">
        <f aca="false">FALSE()</f>
        <v>0</v>
      </c>
      <c r="I802" s="131" t="b">
        <f aca="false">FALSE()</f>
        <v>0</v>
      </c>
      <c r="J802" s="130"/>
      <c r="K802" s="110"/>
      <c r="L802" s="83"/>
      <c r="M802" s="103"/>
      <c r="N802" s="103"/>
      <c r="O802" s="103"/>
      <c r="P802" s="103"/>
      <c r="Q802" s="103"/>
      <c r="R802" s="83"/>
      <c r="S802" s="103"/>
      <c r="T802" s="103"/>
      <c r="U802" s="103"/>
    </row>
    <row r="803" customFormat="false" ht="22.5" hidden="false" customHeight="true" outlineLevel="0" collapsed="false">
      <c r="A803" s="99"/>
      <c r="B803" s="99"/>
      <c r="C803" s="99"/>
      <c r="D803" s="121"/>
      <c r="E803" s="99"/>
      <c r="F803" s="124" t="str">
        <f aca="false">IF(E803="CONTADO", 4%, IF(E803="TARJETA / CHEQUE", 3%, IF(OR(E803="FINANCIADO", E803="MCP"), 2.5%, "")))</f>
        <v/>
      </c>
      <c r="G803" s="121" t="str">
        <f aca="false">IF(F803="", "", F803*D803)</f>
        <v/>
      </c>
      <c r="H803" s="132" t="b">
        <f aca="false">FALSE()</f>
        <v>0</v>
      </c>
      <c r="I803" s="132" t="b">
        <f aca="false">FALSE()</f>
        <v>0</v>
      </c>
      <c r="J803" s="126"/>
      <c r="K803" s="99"/>
      <c r="L803" s="83"/>
      <c r="M803" s="103"/>
      <c r="N803" s="103"/>
      <c r="O803" s="103"/>
      <c r="P803" s="103"/>
      <c r="Q803" s="103"/>
      <c r="R803" s="83"/>
      <c r="S803" s="103"/>
      <c r="T803" s="103"/>
      <c r="U803" s="103"/>
    </row>
    <row r="804" customFormat="false" ht="22.5" hidden="false" customHeight="true" outlineLevel="0" collapsed="false">
      <c r="A804" s="110"/>
      <c r="B804" s="110"/>
      <c r="C804" s="110"/>
      <c r="D804" s="122"/>
      <c r="E804" s="110"/>
      <c r="F804" s="128" t="str">
        <f aca="false">IF(E804="CONTADO", 4%, IF(E804="TARJETA / CHEQUE", 3%, IF(OR(E804="FINANCIADO", E804="MCP"), 2.5%, "")))</f>
        <v/>
      </c>
      <c r="G804" s="122" t="str">
        <f aca="false">IF(F804="", "", F804*D804)</f>
        <v/>
      </c>
      <c r="H804" s="131" t="b">
        <f aca="false">FALSE()</f>
        <v>0</v>
      </c>
      <c r="I804" s="131" t="b">
        <f aca="false">FALSE()</f>
        <v>0</v>
      </c>
      <c r="J804" s="130"/>
      <c r="K804" s="110"/>
      <c r="L804" s="83"/>
      <c r="M804" s="103"/>
      <c r="N804" s="103"/>
      <c r="O804" s="103"/>
      <c r="P804" s="103"/>
      <c r="Q804" s="103"/>
      <c r="R804" s="83"/>
      <c r="S804" s="103"/>
      <c r="T804" s="103"/>
      <c r="U804" s="103"/>
    </row>
    <row r="805" customFormat="false" ht="22.5" hidden="false" customHeight="true" outlineLevel="0" collapsed="false">
      <c r="A805" s="99"/>
      <c r="B805" s="99"/>
      <c r="C805" s="99"/>
      <c r="D805" s="121"/>
      <c r="E805" s="99"/>
      <c r="F805" s="124" t="str">
        <f aca="false">IF(E805="CONTADO", 4%, IF(E805="TARJETA / CHEQUE", 3%, IF(OR(E805="FINANCIADO", E805="MCP"), 2.5%, "")))</f>
        <v/>
      </c>
      <c r="G805" s="121" t="str">
        <f aca="false">IF(F805="", "", F805*D805)</f>
        <v/>
      </c>
      <c r="H805" s="132" t="b">
        <f aca="false">FALSE()</f>
        <v>0</v>
      </c>
      <c r="I805" s="132" t="b">
        <f aca="false">FALSE()</f>
        <v>0</v>
      </c>
      <c r="J805" s="126"/>
      <c r="K805" s="99"/>
      <c r="L805" s="83"/>
      <c r="M805" s="103"/>
      <c r="N805" s="103"/>
      <c r="O805" s="103"/>
      <c r="P805" s="103"/>
      <c r="Q805" s="103"/>
      <c r="R805" s="83"/>
      <c r="S805" s="103"/>
      <c r="T805" s="103"/>
      <c r="U805" s="103"/>
    </row>
    <row r="806" customFormat="false" ht="22.5" hidden="false" customHeight="true" outlineLevel="0" collapsed="false">
      <c r="A806" s="110"/>
      <c r="B806" s="110"/>
      <c r="C806" s="110"/>
      <c r="D806" s="122"/>
      <c r="E806" s="110"/>
      <c r="F806" s="128" t="str">
        <f aca="false">IF(E806="CONTADO", 4%, IF(E806="TARJETA / CHEQUE", 3%, IF(OR(E806="FINANCIADO", E806="MCP"), 2.5%, "")))</f>
        <v/>
      </c>
      <c r="G806" s="122" t="str">
        <f aca="false">IF(F806="", "", F806*D806)</f>
        <v/>
      </c>
      <c r="H806" s="131" t="b">
        <f aca="false">FALSE()</f>
        <v>0</v>
      </c>
      <c r="I806" s="131" t="b">
        <f aca="false">FALSE()</f>
        <v>0</v>
      </c>
      <c r="J806" s="130"/>
      <c r="K806" s="110"/>
      <c r="L806" s="83"/>
      <c r="M806" s="103"/>
      <c r="N806" s="103"/>
      <c r="O806" s="103"/>
      <c r="P806" s="103"/>
      <c r="Q806" s="103"/>
      <c r="R806" s="83"/>
      <c r="S806" s="103"/>
      <c r="T806" s="103"/>
      <c r="U806" s="103"/>
    </row>
    <row r="807" customFormat="false" ht="22.5" hidden="false" customHeight="true" outlineLevel="0" collapsed="false">
      <c r="A807" s="99"/>
      <c r="B807" s="99"/>
      <c r="C807" s="99"/>
      <c r="D807" s="121"/>
      <c r="E807" s="99"/>
      <c r="F807" s="124" t="str">
        <f aca="false">IF(E807="CONTADO", 4%, IF(E807="TARJETA / CHEQUE", 3%, IF(OR(E807="FINANCIADO", E807="MCP"), 2.5%, "")))</f>
        <v/>
      </c>
      <c r="G807" s="121" t="str">
        <f aca="false">IF(F807="", "", F807*D807)</f>
        <v/>
      </c>
      <c r="H807" s="132" t="b">
        <f aca="false">FALSE()</f>
        <v>0</v>
      </c>
      <c r="I807" s="132" t="b">
        <f aca="false">FALSE()</f>
        <v>0</v>
      </c>
      <c r="J807" s="126"/>
      <c r="K807" s="99"/>
      <c r="L807" s="83"/>
      <c r="M807" s="103"/>
      <c r="N807" s="103"/>
      <c r="O807" s="103"/>
      <c r="P807" s="103"/>
      <c r="Q807" s="103"/>
      <c r="R807" s="83"/>
      <c r="S807" s="103"/>
      <c r="T807" s="103"/>
      <c r="U807" s="103"/>
    </row>
    <row r="808" customFormat="false" ht="22.5" hidden="false" customHeight="true" outlineLevel="0" collapsed="false">
      <c r="A808" s="110"/>
      <c r="B808" s="110"/>
      <c r="C808" s="110"/>
      <c r="D808" s="122"/>
      <c r="E808" s="110"/>
      <c r="F808" s="128" t="str">
        <f aca="false">IF(E808="CONTADO", 4%, IF(E808="TARJETA / CHEQUE", 3%, IF(OR(E808="FINANCIADO", E808="MCP"), 2.5%, "")))</f>
        <v/>
      </c>
      <c r="G808" s="122" t="str">
        <f aca="false">IF(F808="", "", F808*D808)</f>
        <v/>
      </c>
      <c r="H808" s="131" t="b">
        <f aca="false">FALSE()</f>
        <v>0</v>
      </c>
      <c r="I808" s="131" t="b">
        <f aca="false">FALSE()</f>
        <v>0</v>
      </c>
      <c r="J808" s="130"/>
      <c r="K808" s="110"/>
      <c r="L808" s="83"/>
      <c r="M808" s="103"/>
      <c r="N808" s="103"/>
      <c r="O808" s="103"/>
      <c r="P808" s="103"/>
      <c r="Q808" s="103"/>
      <c r="R808" s="83"/>
      <c r="S808" s="103"/>
      <c r="T808" s="103"/>
      <c r="U808" s="103"/>
    </row>
    <row r="809" customFormat="false" ht="22.5" hidden="false" customHeight="true" outlineLevel="0" collapsed="false">
      <c r="A809" s="99"/>
      <c r="B809" s="99"/>
      <c r="C809" s="99"/>
      <c r="D809" s="121"/>
      <c r="E809" s="99"/>
      <c r="F809" s="124" t="str">
        <f aca="false">IF(E809="CONTADO", 4%, IF(E809="TARJETA / CHEQUE", 3%, IF(OR(E809="FINANCIADO", E809="MCP"), 2.5%, "")))</f>
        <v/>
      </c>
      <c r="G809" s="121" t="str">
        <f aca="false">IF(F809="", "", F809*D809)</f>
        <v/>
      </c>
      <c r="H809" s="132" t="b">
        <f aca="false">FALSE()</f>
        <v>0</v>
      </c>
      <c r="I809" s="132" t="b">
        <f aca="false">FALSE()</f>
        <v>0</v>
      </c>
      <c r="J809" s="126"/>
      <c r="K809" s="99"/>
      <c r="L809" s="83"/>
      <c r="M809" s="103"/>
      <c r="N809" s="103"/>
      <c r="O809" s="103"/>
      <c r="P809" s="103"/>
      <c r="Q809" s="103"/>
      <c r="R809" s="83"/>
      <c r="S809" s="103"/>
      <c r="T809" s="103"/>
      <c r="U809" s="103"/>
    </row>
    <row r="810" customFormat="false" ht="22.5" hidden="false" customHeight="true" outlineLevel="0" collapsed="false">
      <c r="A810" s="110"/>
      <c r="B810" s="110"/>
      <c r="C810" s="110"/>
      <c r="D810" s="122"/>
      <c r="E810" s="110"/>
      <c r="F810" s="128" t="str">
        <f aca="false">IF(E810="CONTADO", 4%, IF(E810="TARJETA / CHEQUE", 3%, IF(OR(E810="FINANCIADO", E810="MCP"), 2.5%, "")))</f>
        <v/>
      </c>
      <c r="G810" s="122" t="str">
        <f aca="false">IF(F810="", "", F810*D810)</f>
        <v/>
      </c>
      <c r="H810" s="131" t="b">
        <f aca="false">FALSE()</f>
        <v>0</v>
      </c>
      <c r="I810" s="131" t="b">
        <f aca="false">FALSE()</f>
        <v>0</v>
      </c>
      <c r="J810" s="130"/>
      <c r="K810" s="110"/>
      <c r="L810" s="83"/>
      <c r="M810" s="103"/>
      <c r="N810" s="103"/>
      <c r="O810" s="103"/>
      <c r="P810" s="103"/>
      <c r="Q810" s="103"/>
      <c r="R810" s="83"/>
      <c r="S810" s="103"/>
      <c r="T810" s="103"/>
      <c r="U810" s="103"/>
    </row>
    <row r="811" customFormat="false" ht="22.5" hidden="false" customHeight="true" outlineLevel="0" collapsed="false">
      <c r="A811" s="99"/>
      <c r="B811" s="99"/>
      <c r="C811" s="99"/>
      <c r="D811" s="121"/>
      <c r="E811" s="99"/>
      <c r="F811" s="124" t="str">
        <f aca="false">IF(E811="CONTADO", 4%, IF(E811="TARJETA / CHEQUE", 3%, IF(OR(E811="FINANCIADO", E811="MCP"), 2.5%, "")))</f>
        <v/>
      </c>
      <c r="G811" s="121" t="str">
        <f aca="false">IF(F811="", "", F811*D811)</f>
        <v/>
      </c>
      <c r="H811" s="132" t="b">
        <f aca="false">FALSE()</f>
        <v>0</v>
      </c>
      <c r="I811" s="132" t="b">
        <f aca="false">FALSE()</f>
        <v>0</v>
      </c>
      <c r="J811" s="126"/>
      <c r="K811" s="99"/>
      <c r="L811" s="83"/>
      <c r="M811" s="103"/>
      <c r="N811" s="103"/>
      <c r="O811" s="103"/>
      <c r="P811" s="103"/>
      <c r="Q811" s="103"/>
      <c r="R811" s="83"/>
      <c r="S811" s="103"/>
      <c r="T811" s="103"/>
      <c r="U811" s="103"/>
    </row>
    <row r="812" customFormat="false" ht="22.5" hidden="false" customHeight="true" outlineLevel="0" collapsed="false">
      <c r="A812" s="110"/>
      <c r="B812" s="110"/>
      <c r="C812" s="110"/>
      <c r="D812" s="122"/>
      <c r="E812" s="110"/>
      <c r="F812" s="128" t="str">
        <f aca="false">IF(E812="CONTADO", 4%, IF(E812="TARJETA / CHEQUE", 3%, IF(OR(E812="FINANCIADO", E812="MCP"), 2.5%, "")))</f>
        <v/>
      </c>
      <c r="G812" s="122" t="str">
        <f aca="false">IF(F812="", "", F812*D812)</f>
        <v/>
      </c>
      <c r="H812" s="131" t="b">
        <f aca="false">FALSE()</f>
        <v>0</v>
      </c>
      <c r="I812" s="131" t="b">
        <f aca="false">FALSE()</f>
        <v>0</v>
      </c>
      <c r="J812" s="130"/>
      <c r="K812" s="110"/>
      <c r="L812" s="83"/>
      <c r="M812" s="103"/>
      <c r="N812" s="103"/>
      <c r="O812" s="103"/>
      <c r="P812" s="103"/>
      <c r="Q812" s="103"/>
      <c r="R812" s="83"/>
      <c r="S812" s="103"/>
      <c r="T812" s="103"/>
      <c r="U812" s="103"/>
    </row>
    <row r="813" customFormat="false" ht="22.5" hidden="false" customHeight="true" outlineLevel="0" collapsed="false">
      <c r="A813" s="99"/>
      <c r="B813" s="99"/>
      <c r="C813" s="99"/>
      <c r="D813" s="121"/>
      <c r="E813" s="99"/>
      <c r="F813" s="124" t="str">
        <f aca="false">IF(E813="CONTADO", 4%, IF(E813="TARJETA / CHEQUE", 3%, IF(OR(E813="FINANCIADO", E813="MCP"), 2.5%, "")))</f>
        <v/>
      </c>
      <c r="G813" s="121" t="str">
        <f aca="false">IF(F813="", "", F813*D813)</f>
        <v/>
      </c>
      <c r="H813" s="132" t="b">
        <f aca="false">FALSE()</f>
        <v>0</v>
      </c>
      <c r="I813" s="132" t="b">
        <f aca="false">FALSE()</f>
        <v>0</v>
      </c>
      <c r="J813" s="126"/>
      <c r="K813" s="99"/>
      <c r="L813" s="83"/>
      <c r="M813" s="103"/>
      <c r="N813" s="103"/>
      <c r="O813" s="103"/>
      <c r="P813" s="103"/>
      <c r="Q813" s="103"/>
      <c r="R813" s="83"/>
      <c r="S813" s="103"/>
      <c r="T813" s="103"/>
      <c r="U813" s="103"/>
    </row>
    <row r="814" customFormat="false" ht="22.5" hidden="false" customHeight="true" outlineLevel="0" collapsed="false">
      <c r="A814" s="110"/>
      <c r="B814" s="110"/>
      <c r="C814" s="110"/>
      <c r="D814" s="122"/>
      <c r="E814" s="110"/>
      <c r="F814" s="128" t="str">
        <f aca="false">IF(E814="CONTADO", 4%, IF(E814="TARJETA / CHEQUE", 3%, IF(OR(E814="FINANCIADO", E814="MCP"), 2.5%, "")))</f>
        <v/>
      </c>
      <c r="G814" s="122" t="str">
        <f aca="false">IF(F814="", "", F814*D814)</f>
        <v/>
      </c>
      <c r="H814" s="131" t="b">
        <f aca="false">FALSE()</f>
        <v>0</v>
      </c>
      <c r="I814" s="131" t="b">
        <f aca="false">FALSE()</f>
        <v>0</v>
      </c>
      <c r="J814" s="130"/>
      <c r="K814" s="110"/>
      <c r="L814" s="83"/>
      <c r="M814" s="103"/>
      <c r="N814" s="103"/>
      <c r="O814" s="103"/>
      <c r="P814" s="103"/>
      <c r="Q814" s="103"/>
      <c r="R814" s="83"/>
      <c r="S814" s="103"/>
      <c r="T814" s="103"/>
      <c r="U814" s="103"/>
    </row>
    <row r="815" customFormat="false" ht="22.5" hidden="false" customHeight="true" outlineLevel="0" collapsed="false">
      <c r="A815" s="99"/>
      <c r="B815" s="99"/>
      <c r="C815" s="99"/>
      <c r="D815" s="121"/>
      <c r="E815" s="99"/>
      <c r="F815" s="124" t="str">
        <f aca="false">IF(E815="CONTADO", 4%, IF(E815="TARJETA / CHEQUE", 3%, IF(OR(E815="FINANCIADO", E815="MCP"), 2.5%, "")))</f>
        <v/>
      </c>
      <c r="G815" s="121" t="str">
        <f aca="false">IF(F815="", "", F815*D815)</f>
        <v/>
      </c>
      <c r="H815" s="132" t="b">
        <f aca="false">FALSE()</f>
        <v>0</v>
      </c>
      <c r="I815" s="132" t="b">
        <f aca="false">FALSE()</f>
        <v>0</v>
      </c>
      <c r="J815" s="126"/>
      <c r="K815" s="99"/>
      <c r="L815" s="83"/>
      <c r="M815" s="103"/>
      <c r="N815" s="103"/>
      <c r="O815" s="103"/>
      <c r="P815" s="103"/>
      <c r="Q815" s="103"/>
      <c r="R815" s="83"/>
      <c r="S815" s="103"/>
      <c r="T815" s="103"/>
      <c r="U815" s="103"/>
    </row>
    <row r="816" customFormat="false" ht="22.5" hidden="false" customHeight="true" outlineLevel="0" collapsed="false">
      <c r="A816" s="110"/>
      <c r="B816" s="110"/>
      <c r="C816" s="110"/>
      <c r="D816" s="122"/>
      <c r="E816" s="110"/>
      <c r="F816" s="128" t="str">
        <f aca="false">IF(E816="CONTADO", 4%, IF(E816="TARJETA / CHEQUE", 3%, IF(OR(E816="FINANCIADO", E816="MCP"), 2.5%, "")))</f>
        <v/>
      </c>
      <c r="G816" s="122" t="str">
        <f aca="false">IF(F816="", "", F816*D816)</f>
        <v/>
      </c>
      <c r="H816" s="131" t="b">
        <f aca="false">FALSE()</f>
        <v>0</v>
      </c>
      <c r="I816" s="131" t="b">
        <f aca="false">FALSE()</f>
        <v>0</v>
      </c>
      <c r="J816" s="130"/>
      <c r="K816" s="110"/>
      <c r="L816" s="83"/>
      <c r="M816" s="103"/>
      <c r="N816" s="103"/>
      <c r="O816" s="103"/>
      <c r="P816" s="103"/>
      <c r="Q816" s="103"/>
      <c r="R816" s="83"/>
      <c r="S816" s="103"/>
      <c r="T816" s="103"/>
      <c r="U816" s="103"/>
    </row>
    <row r="817" customFormat="false" ht="22.5" hidden="false" customHeight="true" outlineLevel="0" collapsed="false">
      <c r="A817" s="99"/>
      <c r="B817" s="99"/>
      <c r="C817" s="99"/>
      <c r="D817" s="121"/>
      <c r="E817" s="99"/>
      <c r="F817" s="124" t="str">
        <f aca="false">IF(E817="CONTADO", 4%, IF(E817="TARJETA / CHEQUE", 3%, IF(OR(E817="FINANCIADO", E817="MCP"), 2.5%, "")))</f>
        <v/>
      </c>
      <c r="G817" s="121" t="str">
        <f aca="false">IF(F817="", "", F817*D817)</f>
        <v/>
      </c>
      <c r="H817" s="132" t="b">
        <f aca="false">FALSE()</f>
        <v>0</v>
      </c>
      <c r="I817" s="132" t="b">
        <f aca="false">FALSE()</f>
        <v>0</v>
      </c>
      <c r="J817" s="126"/>
      <c r="K817" s="99"/>
      <c r="L817" s="83"/>
      <c r="M817" s="103"/>
      <c r="N817" s="103"/>
      <c r="O817" s="103"/>
      <c r="P817" s="103"/>
      <c r="Q817" s="103"/>
      <c r="R817" s="83"/>
      <c r="S817" s="103"/>
      <c r="T817" s="103"/>
      <c r="U817" s="103"/>
    </row>
    <row r="818" customFormat="false" ht="22.5" hidden="false" customHeight="true" outlineLevel="0" collapsed="false">
      <c r="A818" s="110"/>
      <c r="B818" s="110"/>
      <c r="C818" s="110"/>
      <c r="D818" s="122"/>
      <c r="E818" s="110"/>
      <c r="F818" s="128" t="str">
        <f aca="false">IF(E818="CONTADO", 4%, IF(E818="TARJETA / CHEQUE", 3%, IF(OR(E818="FINANCIADO", E818="MCP"), 2.5%, "")))</f>
        <v/>
      </c>
      <c r="G818" s="122" t="str">
        <f aca="false">IF(F818="", "", F818*D818)</f>
        <v/>
      </c>
      <c r="H818" s="131" t="b">
        <f aca="false">FALSE()</f>
        <v>0</v>
      </c>
      <c r="I818" s="131" t="b">
        <f aca="false">FALSE()</f>
        <v>0</v>
      </c>
      <c r="J818" s="130"/>
      <c r="K818" s="110"/>
      <c r="L818" s="83"/>
      <c r="M818" s="103"/>
      <c r="N818" s="103"/>
      <c r="O818" s="103"/>
      <c r="P818" s="103"/>
      <c r="Q818" s="103"/>
      <c r="R818" s="83"/>
      <c r="S818" s="103"/>
      <c r="T818" s="103"/>
      <c r="U818" s="103"/>
    </row>
    <row r="819" customFormat="false" ht="22.5" hidden="false" customHeight="true" outlineLevel="0" collapsed="false">
      <c r="A819" s="99"/>
      <c r="B819" s="99"/>
      <c r="C819" s="99"/>
      <c r="D819" s="121"/>
      <c r="E819" s="99"/>
      <c r="F819" s="124" t="str">
        <f aca="false">IF(E819="CONTADO", 4%, IF(E819="TARJETA / CHEQUE", 3%, IF(OR(E819="FINANCIADO", E819="MCP"), 2.5%, "")))</f>
        <v/>
      </c>
      <c r="G819" s="121" t="str">
        <f aca="false">IF(F819="", "", F819*D819)</f>
        <v/>
      </c>
      <c r="H819" s="132" t="b">
        <f aca="false">FALSE()</f>
        <v>0</v>
      </c>
      <c r="I819" s="132" t="b">
        <f aca="false">FALSE()</f>
        <v>0</v>
      </c>
      <c r="J819" s="126"/>
      <c r="K819" s="99"/>
      <c r="L819" s="83"/>
      <c r="M819" s="103"/>
      <c r="N819" s="103"/>
      <c r="O819" s="103"/>
      <c r="P819" s="103"/>
      <c r="Q819" s="103"/>
      <c r="R819" s="83"/>
      <c r="S819" s="103"/>
      <c r="T819" s="103"/>
      <c r="U819" s="103"/>
    </row>
    <row r="820" customFormat="false" ht="22.5" hidden="false" customHeight="true" outlineLevel="0" collapsed="false">
      <c r="A820" s="110"/>
      <c r="B820" s="110"/>
      <c r="C820" s="110"/>
      <c r="D820" s="122"/>
      <c r="E820" s="110"/>
      <c r="F820" s="128" t="str">
        <f aca="false">IF(E820="CONTADO", 4%, IF(E820="TARJETA / CHEQUE", 3%, IF(OR(E820="FINANCIADO", E820="MCP"), 2.5%, "")))</f>
        <v/>
      </c>
      <c r="G820" s="122" t="str">
        <f aca="false">IF(F820="", "", F820*D820)</f>
        <v/>
      </c>
      <c r="H820" s="131" t="b">
        <f aca="false">FALSE()</f>
        <v>0</v>
      </c>
      <c r="I820" s="131" t="b">
        <f aca="false">FALSE()</f>
        <v>0</v>
      </c>
      <c r="J820" s="130"/>
      <c r="K820" s="110"/>
      <c r="L820" s="83"/>
      <c r="M820" s="103"/>
      <c r="N820" s="103"/>
      <c r="O820" s="103"/>
      <c r="P820" s="103"/>
      <c r="Q820" s="103"/>
      <c r="R820" s="83"/>
      <c r="S820" s="103"/>
      <c r="T820" s="103"/>
      <c r="U820" s="103"/>
    </row>
    <row r="821" customFormat="false" ht="22.5" hidden="false" customHeight="true" outlineLevel="0" collapsed="false">
      <c r="A821" s="99"/>
      <c r="B821" s="99"/>
      <c r="C821" s="99"/>
      <c r="D821" s="121"/>
      <c r="E821" s="99"/>
      <c r="F821" s="124" t="str">
        <f aca="false">IF(E821="CONTADO", 4%, IF(E821="TARJETA / CHEQUE", 3%, IF(OR(E821="FINANCIADO", E821="MCP"), 2.5%, "")))</f>
        <v/>
      </c>
      <c r="G821" s="121" t="str">
        <f aca="false">IF(F821="", "", F821*D821)</f>
        <v/>
      </c>
      <c r="H821" s="132" t="b">
        <f aca="false">FALSE()</f>
        <v>0</v>
      </c>
      <c r="I821" s="132" t="b">
        <f aca="false">FALSE()</f>
        <v>0</v>
      </c>
      <c r="J821" s="126"/>
      <c r="K821" s="99"/>
      <c r="L821" s="83"/>
      <c r="M821" s="103"/>
      <c r="N821" s="103"/>
      <c r="O821" s="103"/>
      <c r="P821" s="103"/>
      <c r="Q821" s="103"/>
      <c r="R821" s="83"/>
      <c r="S821" s="103"/>
      <c r="T821" s="103"/>
      <c r="U821" s="103"/>
    </row>
    <row r="822" customFormat="false" ht="22.5" hidden="false" customHeight="true" outlineLevel="0" collapsed="false">
      <c r="A822" s="110"/>
      <c r="B822" s="110"/>
      <c r="C822" s="110"/>
      <c r="D822" s="122"/>
      <c r="E822" s="110"/>
      <c r="F822" s="128" t="str">
        <f aca="false">IF(E822="CONTADO", 4%, IF(E822="TARJETA / CHEQUE", 3%, IF(OR(E822="FINANCIADO", E822="MCP"), 2.5%, "")))</f>
        <v/>
      </c>
      <c r="G822" s="122" t="str">
        <f aca="false">IF(F822="", "", F822*D822)</f>
        <v/>
      </c>
      <c r="H822" s="131" t="b">
        <f aca="false">FALSE()</f>
        <v>0</v>
      </c>
      <c r="I822" s="131" t="b">
        <f aca="false">FALSE()</f>
        <v>0</v>
      </c>
      <c r="J822" s="130"/>
      <c r="K822" s="110"/>
      <c r="L822" s="83"/>
      <c r="M822" s="103"/>
      <c r="N822" s="103"/>
      <c r="O822" s="103"/>
      <c r="P822" s="103"/>
      <c r="Q822" s="103"/>
      <c r="R822" s="83"/>
      <c r="S822" s="103"/>
      <c r="T822" s="103"/>
      <c r="U822" s="103"/>
    </row>
    <row r="823" customFormat="false" ht="22.5" hidden="false" customHeight="true" outlineLevel="0" collapsed="false">
      <c r="A823" s="99"/>
      <c r="B823" s="99"/>
      <c r="C823" s="99"/>
      <c r="D823" s="121"/>
      <c r="E823" s="99"/>
      <c r="F823" s="124" t="str">
        <f aca="false">IF(E823="CONTADO", 4%, IF(E823="TARJETA / CHEQUE", 3%, IF(OR(E823="FINANCIADO", E823="MCP"), 2.5%, "")))</f>
        <v/>
      </c>
      <c r="G823" s="121" t="str">
        <f aca="false">IF(F823="", "", F823*D823)</f>
        <v/>
      </c>
      <c r="H823" s="132" t="b">
        <f aca="false">FALSE()</f>
        <v>0</v>
      </c>
      <c r="I823" s="132" t="b">
        <f aca="false">FALSE()</f>
        <v>0</v>
      </c>
      <c r="J823" s="126"/>
      <c r="K823" s="99"/>
      <c r="L823" s="83"/>
      <c r="M823" s="103"/>
      <c r="N823" s="103"/>
      <c r="O823" s="103"/>
      <c r="P823" s="103"/>
      <c r="Q823" s="103"/>
      <c r="R823" s="83"/>
      <c r="S823" s="103"/>
      <c r="T823" s="103"/>
      <c r="U823" s="103"/>
    </row>
    <row r="824" customFormat="false" ht="22.5" hidden="false" customHeight="true" outlineLevel="0" collapsed="false">
      <c r="A824" s="110"/>
      <c r="B824" s="110"/>
      <c r="C824" s="110"/>
      <c r="D824" s="122"/>
      <c r="E824" s="110"/>
      <c r="F824" s="128" t="str">
        <f aca="false">IF(E824="CONTADO", 4%, IF(E824="TARJETA / CHEQUE", 3%, IF(OR(E824="FINANCIADO", E824="MCP"), 2.5%, "")))</f>
        <v/>
      </c>
      <c r="G824" s="122" t="str">
        <f aca="false">IF(F824="", "", F824*D824)</f>
        <v/>
      </c>
      <c r="H824" s="131" t="b">
        <f aca="false">FALSE()</f>
        <v>0</v>
      </c>
      <c r="I824" s="131" t="b">
        <f aca="false">FALSE()</f>
        <v>0</v>
      </c>
      <c r="J824" s="130"/>
      <c r="K824" s="110"/>
      <c r="L824" s="83"/>
      <c r="M824" s="103"/>
      <c r="N824" s="103"/>
      <c r="O824" s="103"/>
      <c r="P824" s="103"/>
      <c r="Q824" s="103"/>
      <c r="R824" s="83"/>
      <c r="S824" s="103"/>
      <c r="T824" s="103"/>
      <c r="U824" s="103"/>
    </row>
    <row r="825" customFormat="false" ht="22.5" hidden="false" customHeight="true" outlineLevel="0" collapsed="false">
      <c r="A825" s="99"/>
      <c r="B825" s="99"/>
      <c r="C825" s="99"/>
      <c r="D825" s="121"/>
      <c r="E825" s="99"/>
      <c r="F825" s="124" t="str">
        <f aca="false">IF(E825="CONTADO", 4%, IF(E825="TARJETA / CHEQUE", 3%, IF(OR(E825="FINANCIADO", E825="MCP"), 2.5%, "")))</f>
        <v/>
      </c>
      <c r="G825" s="121" t="str">
        <f aca="false">IF(F825="", "", F825*D825)</f>
        <v/>
      </c>
      <c r="H825" s="132" t="b">
        <f aca="false">FALSE()</f>
        <v>0</v>
      </c>
      <c r="I825" s="132" t="b">
        <f aca="false">FALSE()</f>
        <v>0</v>
      </c>
      <c r="J825" s="126"/>
      <c r="K825" s="99"/>
      <c r="L825" s="83"/>
      <c r="M825" s="103"/>
      <c r="N825" s="103"/>
      <c r="O825" s="103"/>
      <c r="P825" s="103"/>
      <c r="Q825" s="103"/>
      <c r="R825" s="83"/>
      <c r="S825" s="103"/>
      <c r="T825" s="103"/>
      <c r="U825" s="103"/>
    </row>
    <row r="826" customFormat="false" ht="22.5" hidden="false" customHeight="true" outlineLevel="0" collapsed="false">
      <c r="A826" s="110"/>
      <c r="B826" s="110"/>
      <c r="C826" s="110"/>
      <c r="D826" s="122"/>
      <c r="E826" s="110"/>
      <c r="F826" s="128" t="str">
        <f aca="false">IF(E826="CONTADO", 4%, IF(E826="TARJETA / CHEQUE", 3%, IF(OR(E826="FINANCIADO", E826="MCP"), 2.5%, "")))</f>
        <v/>
      </c>
      <c r="G826" s="122" t="str">
        <f aca="false">IF(F826="", "", F826*D826)</f>
        <v/>
      </c>
      <c r="H826" s="131" t="b">
        <f aca="false">FALSE()</f>
        <v>0</v>
      </c>
      <c r="I826" s="131" t="b">
        <f aca="false">FALSE()</f>
        <v>0</v>
      </c>
      <c r="J826" s="130"/>
      <c r="K826" s="110"/>
      <c r="L826" s="83"/>
      <c r="M826" s="103"/>
      <c r="N826" s="103"/>
      <c r="O826" s="103"/>
      <c r="P826" s="103"/>
      <c r="Q826" s="103"/>
      <c r="R826" s="83"/>
      <c r="S826" s="103"/>
      <c r="T826" s="103"/>
      <c r="U826" s="103"/>
    </row>
    <row r="827" customFormat="false" ht="22.5" hidden="false" customHeight="true" outlineLevel="0" collapsed="false">
      <c r="A827" s="99"/>
      <c r="B827" s="99"/>
      <c r="C827" s="99"/>
      <c r="D827" s="121"/>
      <c r="E827" s="99"/>
      <c r="F827" s="124" t="str">
        <f aca="false">IF(E827="CONTADO", 4%, IF(E827="TARJETA / CHEQUE", 3%, IF(OR(E827="FINANCIADO", E827="MCP"), 2.5%, "")))</f>
        <v/>
      </c>
      <c r="G827" s="121" t="str">
        <f aca="false">IF(F827="", "", F827*D827)</f>
        <v/>
      </c>
      <c r="H827" s="132" t="b">
        <f aca="false">FALSE()</f>
        <v>0</v>
      </c>
      <c r="I827" s="132" t="b">
        <f aca="false">FALSE()</f>
        <v>0</v>
      </c>
      <c r="J827" s="126"/>
      <c r="K827" s="99"/>
      <c r="L827" s="83"/>
      <c r="M827" s="103"/>
      <c r="N827" s="103"/>
      <c r="O827" s="103"/>
      <c r="P827" s="103"/>
      <c r="Q827" s="103"/>
      <c r="R827" s="83"/>
      <c r="S827" s="103"/>
      <c r="T827" s="103"/>
      <c r="U827" s="103"/>
    </row>
    <row r="828" customFormat="false" ht="22.5" hidden="false" customHeight="true" outlineLevel="0" collapsed="false">
      <c r="A828" s="110"/>
      <c r="B828" s="110"/>
      <c r="C828" s="110"/>
      <c r="D828" s="122"/>
      <c r="E828" s="110"/>
      <c r="F828" s="128" t="str">
        <f aca="false">IF(E828="CONTADO", 4%, IF(E828="TARJETA / CHEQUE", 3%, IF(OR(E828="FINANCIADO", E828="MCP"), 2.5%, "")))</f>
        <v/>
      </c>
      <c r="G828" s="122" t="str">
        <f aca="false">IF(F828="", "", F828*D828)</f>
        <v/>
      </c>
      <c r="H828" s="131" t="b">
        <f aca="false">FALSE()</f>
        <v>0</v>
      </c>
      <c r="I828" s="131" t="b">
        <f aca="false">FALSE()</f>
        <v>0</v>
      </c>
      <c r="J828" s="130"/>
      <c r="K828" s="110"/>
      <c r="L828" s="83"/>
      <c r="M828" s="103"/>
      <c r="N828" s="103"/>
      <c r="O828" s="103"/>
      <c r="P828" s="103"/>
      <c r="Q828" s="103"/>
      <c r="R828" s="83"/>
      <c r="S828" s="103"/>
      <c r="T828" s="103"/>
      <c r="U828" s="103"/>
    </row>
    <row r="829" customFormat="false" ht="22.5" hidden="false" customHeight="true" outlineLevel="0" collapsed="false">
      <c r="A829" s="99"/>
      <c r="B829" s="99"/>
      <c r="C829" s="99"/>
      <c r="D829" s="121"/>
      <c r="E829" s="99"/>
      <c r="F829" s="124" t="str">
        <f aca="false">IF(E829="CONTADO", 4%, IF(E829="TARJETA / CHEQUE", 3%, IF(OR(E829="FINANCIADO", E829="MCP"), 2.5%, "")))</f>
        <v/>
      </c>
      <c r="G829" s="121" t="str">
        <f aca="false">IF(F829="", "", F829*D829)</f>
        <v/>
      </c>
      <c r="H829" s="132" t="b">
        <f aca="false">FALSE()</f>
        <v>0</v>
      </c>
      <c r="I829" s="132" t="b">
        <f aca="false">FALSE()</f>
        <v>0</v>
      </c>
      <c r="J829" s="126"/>
      <c r="K829" s="99"/>
      <c r="L829" s="83"/>
      <c r="M829" s="103"/>
      <c r="N829" s="103"/>
      <c r="O829" s="103"/>
      <c r="P829" s="103"/>
      <c r="Q829" s="103"/>
      <c r="R829" s="83"/>
      <c r="S829" s="103"/>
      <c r="T829" s="103"/>
      <c r="U829" s="103"/>
    </row>
    <row r="830" customFormat="false" ht="22.5" hidden="false" customHeight="true" outlineLevel="0" collapsed="false">
      <c r="A830" s="110"/>
      <c r="B830" s="110"/>
      <c r="C830" s="110"/>
      <c r="D830" s="122"/>
      <c r="E830" s="110"/>
      <c r="F830" s="128" t="str">
        <f aca="false">IF(E830="CONTADO", 4%, IF(E830="TARJETA / CHEQUE", 3%, IF(OR(E830="FINANCIADO", E830="MCP"), 2.5%, "")))</f>
        <v/>
      </c>
      <c r="G830" s="122" t="str">
        <f aca="false">IF(F830="", "", F830*D830)</f>
        <v/>
      </c>
      <c r="H830" s="131" t="b">
        <f aca="false">FALSE()</f>
        <v>0</v>
      </c>
      <c r="I830" s="131" t="b">
        <f aca="false">FALSE()</f>
        <v>0</v>
      </c>
      <c r="J830" s="130"/>
      <c r="K830" s="110"/>
      <c r="L830" s="83"/>
      <c r="M830" s="103"/>
      <c r="N830" s="103"/>
      <c r="O830" s="103"/>
      <c r="P830" s="103"/>
      <c r="Q830" s="103"/>
      <c r="R830" s="83"/>
      <c r="S830" s="103"/>
      <c r="T830" s="103"/>
      <c r="U830" s="103"/>
    </row>
    <row r="831" customFormat="false" ht="22.5" hidden="false" customHeight="true" outlineLevel="0" collapsed="false">
      <c r="A831" s="99"/>
      <c r="B831" s="99"/>
      <c r="C831" s="99"/>
      <c r="D831" s="121"/>
      <c r="E831" s="99"/>
      <c r="F831" s="124" t="str">
        <f aca="false">IF(E831="CONTADO", 4%, IF(E831="TARJETA / CHEQUE", 3%, IF(OR(E831="FINANCIADO", E831="MCP"), 2.5%, "")))</f>
        <v/>
      </c>
      <c r="G831" s="121" t="str">
        <f aca="false">IF(F831="", "", F831*D831)</f>
        <v/>
      </c>
      <c r="H831" s="132" t="b">
        <f aca="false">FALSE()</f>
        <v>0</v>
      </c>
      <c r="I831" s="132" t="b">
        <f aca="false">FALSE()</f>
        <v>0</v>
      </c>
      <c r="J831" s="126"/>
      <c r="K831" s="99"/>
      <c r="L831" s="83"/>
      <c r="M831" s="103"/>
      <c r="N831" s="103"/>
      <c r="O831" s="103"/>
      <c r="P831" s="103"/>
      <c r="Q831" s="103"/>
      <c r="R831" s="83"/>
      <c r="S831" s="103"/>
      <c r="T831" s="103"/>
      <c r="U831" s="103"/>
    </row>
    <row r="832" customFormat="false" ht="22.5" hidden="false" customHeight="true" outlineLevel="0" collapsed="false">
      <c r="A832" s="110"/>
      <c r="B832" s="110"/>
      <c r="C832" s="110"/>
      <c r="D832" s="122"/>
      <c r="E832" s="110"/>
      <c r="F832" s="128" t="str">
        <f aca="false">IF(E832="CONTADO", 4%, IF(E832="TARJETA / CHEQUE", 3%, IF(OR(E832="FINANCIADO", E832="MCP"), 2.5%, "")))</f>
        <v/>
      </c>
      <c r="G832" s="122" t="str">
        <f aca="false">IF(F832="", "", F832*D832)</f>
        <v/>
      </c>
      <c r="H832" s="131" t="b">
        <f aca="false">FALSE()</f>
        <v>0</v>
      </c>
      <c r="I832" s="131" t="b">
        <f aca="false">FALSE()</f>
        <v>0</v>
      </c>
      <c r="J832" s="130"/>
      <c r="K832" s="110"/>
      <c r="L832" s="83"/>
      <c r="M832" s="103"/>
      <c r="N832" s="103"/>
      <c r="O832" s="103"/>
      <c r="P832" s="103"/>
      <c r="Q832" s="103"/>
      <c r="R832" s="83"/>
      <c r="S832" s="103"/>
      <c r="T832" s="103"/>
      <c r="U832" s="103"/>
    </row>
    <row r="833" customFormat="false" ht="22.5" hidden="false" customHeight="true" outlineLevel="0" collapsed="false">
      <c r="A833" s="99"/>
      <c r="B833" s="99"/>
      <c r="C833" s="99"/>
      <c r="D833" s="121"/>
      <c r="E833" s="99"/>
      <c r="F833" s="124" t="str">
        <f aca="false">IF(E833="CONTADO", 4%, IF(E833="TARJETA / CHEQUE", 3%, IF(OR(E833="FINANCIADO", E833="MCP"), 2.5%, "")))</f>
        <v/>
      </c>
      <c r="G833" s="121" t="str">
        <f aca="false">IF(F833="", "", F833*D833)</f>
        <v/>
      </c>
      <c r="H833" s="132" t="b">
        <f aca="false">FALSE()</f>
        <v>0</v>
      </c>
      <c r="I833" s="132" t="b">
        <f aca="false">FALSE()</f>
        <v>0</v>
      </c>
      <c r="J833" s="126"/>
      <c r="K833" s="99"/>
      <c r="L833" s="83"/>
      <c r="M833" s="103"/>
      <c r="N833" s="103"/>
      <c r="O833" s="103"/>
      <c r="P833" s="103"/>
      <c r="Q833" s="103"/>
      <c r="R833" s="83"/>
      <c r="S833" s="103"/>
      <c r="T833" s="103"/>
      <c r="U833" s="103"/>
    </row>
    <row r="834" customFormat="false" ht="22.5" hidden="false" customHeight="true" outlineLevel="0" collapsed="false">
      <c r="A834" s="110"/>
      <c r="B834" s="110"/>
      <c r="C834" s="110"/>
      <c r="D834" s="122"/>
      <c r="E834" s="110"/>
      <c r="F834" s="128" t="str">
        <f aca="false">IF(E834="CONTADO", 4%, IF(E834="TARJETA / CHEQUE", 3%, IF(OR(E834="FINANCIADO", E834="MCP"), 2.5%, "")))</f>
        <v/>
      </c>
      <c r="G834" s="122" t="str">
        <f aca="false">IF(F834="", "", F834*D834)</f>
        <v/>
      </c>
      <c r="H834" s="131" t="b">
        <f aca="false">FALSE()</f>
        <v>0</v>
      </c>
      <c r="I834" s="131" t="b">
        <f aca="false">FALSE()</f>
        <v>0</v>
      </c>
      <c r="J834" s="130"/>
      <c r="K834" s="110"/>
      <c r="L834" s="83"/>
      <c r="M834" s="103"/>
      <c r="N834" s="103"/>
      <c r="O834" s="103"/>
      <c r="P834" s="103"/>
      <c r="Q834" s="103"/>
      <c r="R834" s="83"/>
      <c r="S834" s="103"/>
      <c r="T834" s="103"/>
      <c r="U834" s="103"/>
    </row>
    <row r="835" customFormat="false" ht="22.5" hidden="false" customHeight="true" outlineLevel="0" collapsed="false">
      <c r="A835" s="99"/>
      <c r="B835" s="99"/>
      <c r="C835" s="99"/>
      <c r="D835" s="121"/>
      <c r="E835" s="99"/>
      <c r="F835" s="124" t="str">
        <f aca="false">IF(E835="CONTADO", 4%, IF(E835="TARJETA / CHEQUE", 3%, IF(OR(E835="FINANCIADO", E835="MCP"), 2.5%, "")))</f>
        <v/>
      </c>
      <c r="G835" s="121" t="str">
        <f aca="false">IF(F835="", "", F835*D835)</f>
        <v/>
      </c>
      <c r="H835" s="132" t="b">
        <f aca="false">FALSE()</f>
        <v>0</v>
      </c>
      <c r="I835" s="132" t="b">
        <f aca="false">FALSE()</f>
        <v>0</v>
      </c>
      <c r="J835" s="126"/>
      <c r="K835" s="99"/>
      <c r="L835" s="83"/>
      <c r="M835" s="103"/>
      <c r="N835" s="103"/>
      <c r="O835" s="103"/>
      <c r="P835" s="103"/>
      <c r="Q835" s="103"/>
      <c r="R835" s="83"/>
      <c r="S835" s="103"/>
      <c r="T835" s="103"/>
      <c r="U835" s="103"/>
    </row>
    <row r="836" customFormat="false" ht="22.5" hidden="false" customHeight="true" outlineLevel="0" collapsed="false">
      <c r="A836" s="110"/>
      <c r="B836" s="110"/>
      <c r="C836" s="110"/>
      <c r="D836" s="122"/>
      <c r="E836" s="110"/>
      <c r="F836" s="128" t="str">
        <f aca="false">IF(E836="CONTADO", 4%, IF(E836="TARJETA / CHEQUE", 3%, IF(OR(E836="FINANCIADO", E836="MCP"), 2.5%, "")))</f>
        <v/>
      </c>
      <c r="G836" s="122" t="str">
        <f aca="false">IF(F836="", "", F836*D836)</f>
        <v/>
      </c>
      <c r="H836" s="131" t="b">
        <f aca="false">FALSE()</f>
        <v>0</v>
      </c>
      <c r="I836" s="131" t="b">
        <f aca="false">FALSE()</f>
        <v>0</v>
      </c>
      <c r="J836" s="130"/>
      <c r="K836" s="110"/>
      <c r="L836" s="83"/>
      <c r="M836" s="103"/>
      <c r="N836" s="103"/>
      <c r="O836" s="103"/>
      <c r="P836" s="103"/>
      <c r="Q836" s="103"/>
      <c r="R836" s="83"/>
      <c r="S836" s="103"/>
      <c r="T836" s="103"/>
      <c r="U836" s="103"/>
    </row>
    <row r="837" customFormat="false" ht="22.5" hidden="false" customHeight="true" outlineLevel="0" collapsed="false">
      <c r="A837" s="99"/>
      <c r="B837" s="99"/>
      <c r="C837" s="99"/>
      <c r="D837" s="121"/>
      <c r="E837" s="99"/>
      <c r="F837" s="124" t="str">
        <f aca="false">IF(E837="CONTADO", 4%, IF(E837="TARJETA / CHEQUE", 3%, IF(OR(E837="FINANCIADO", E837="MCP"), 2.5%, "")))</f>
        <v/>
      </c>
      <c r="G837" s="121" t="str">
        <f aca="false">IF(F837="", "", F837*D837)</f>
        <v/>
      </c>
      <c r="H837" s="132" t="b">
        <f aca="false">FALSE()</f>
        <v>0</v>
      </c>
      <c r="I837" s="132" t="b">
        <f aca="false">FALSE()</f>
        <v>0</v>
      </c>
      <c r="J837" s="126"/>
      <c r="K837" s="99"/>
      <c r="L837" s="83"/>
      <c r="M837" s="103"/>
      <c r="N837" s="103"/>
      <c r="O837" s="103"/>
      <c r="P837" s="103"/>
      <c r="Q837" s="103"/>
      <c r="R837" s="83"/>
      <c r="S837" s="103"/>
      <c r="T837" s="103"/>
      <c r="U837" s="103"/>
    </row>
    <row r="838" customFormat="false" ht="22.5" hidden="false" customHeight="true" outlineLevel="0" collapsed="false">
      <c r="A838" s="110"/>
      <c r="B838" s="110"/>
      <c r="C838" s="110"/>
      <c r="D838" s="122"/>
      <c r="E838" s="110"/>
      <c r="F838" s="128" t="str">
        <f aca="false">IF(E838="CONTADO", 4%, IF(E838="TARJETA / CHEQUE", 3%, IF(OR(E838="FINANCIADO", E838="MCP"), 2.5%, "")))</f>
        <v/>
      </c>
      <c r="G838" s="122" t="str">
        <f aca="false">IF(F838="", "", F838*D838)</f>
        <v/>
      </c>
      <c r="H838" s="131" t="b">
        <f aca="false">FALSE()</f>
        <v>0</v>
      </c>
      <c r="I838" s="131" t="b">
        <f aca="false">FALSE()</f>
        <v>0</v>
      </c>
      <c r="J838" s="130"/>
      <c r="K838" s="110"/>
      <c r="L838" s="83"/>
      <c r="M838" s="103"/>
      <c r="N838" s="103"/>
      <c r="O838" s="103"/>
      <c r="P838" s="103"/>
      <c r="Q838" s="103"/>
      <c r="R838" s="83"/>
      <c r="S838" s="103"/>
      <c r="T838" s="103"/>
      <c r="U838" s="103"/>
    </row>
    <row r="839" customFormat="false" ht="22.5" hidden="false" customHeight="true" outlineLevel="0" collapsed="false">
      <c r="A839" s="99"/>
      <c r="B839" s="99"/>
      <c r="C839" s="99"/>
      <c r="D839" s="121"/>
      <c r="E839" s="99"/>
      <c r="F839" s="124" t="str">
        <f aca="false">IF(E839="CONTADO", 4%, IF(E839="TARJETA / CHEQUE", 3%, IF(OR(E839="FINANCIADO", E839="MCP"), 2.5%, "")))</f>
        <v/>
      </c>
      <c r="G839" s="121" t="str">
        <f aca="false">IF(F839="", "", F839*D839)</f>
        <v/>
      </c>
      <c r="H839" s="132" t="b">
        <f aca="false">FALSE()</f>
        <v>0</v>
      </c>
      <c r="I839" s="132" t="b">
        <f aca="false">FALSE()</f>
        <v>0</v>
      </c>
      <c r="J839" s="126"/>
      <c r="K839" s="99"/>
      <c r="L839" s="83"/>
      <c r="M839" s="103"/>
      <c r="N839" s="103"/>
      <c r="O839" s="103"/>
      <c r="P839" s="103"/>
      <c r="Q839" s="103"/>
      <c r="R839" s="83"/>
      <c r="S839" s="103"/>
      <c r="T839" s="103"/>
      <c r="U839" s="103"/>
    </row>
    <row r="840" customFormat="false" ht="22.5" hidden="false" customHeight="true" outlineLevel="0" collapsed="false">
      <c r="A840" s="110"/>
      <c r="B840" s="110"/>
      <c r="C840" s="110"/>
      <c r="D840" s="122"/>
      <c r="E840" s="110"/>
      <c r="F840" s="128" t="str">
        <f aca="false">IF(E840="CONTADO", 4%, IF(E840="TARJETA / CHEQUE", 3%, IF(OR(E840="FINANCIADO", E840="MCP"), 2.5%, "")))</f>
        <v/>
      </c>
      <c r="G840" s="122" t="str">
        <f aca="false">IF(F840="", "", F840*D840)</f>
        <v/>
      </c>
      <c r="H840" s="131" t="b">
        <f aca="false">FALSE()</f>
        <v>0</v>
      </c>
      <c r="I840" s="131" t="b">
        <f aca="false">FALSE()</f>
        <v>0</v>
      </c>
      <c r="J840" s="130"/>
      <c r="K840" s="110"/>
      <c r="L840" s="83"/>
      <c r="M840" s="103"/>
      <c r="N840" s="103"/>
      <c r="O840" s="103"/>
      <c r="P840" s="103"/>
      <c r="Q840" s="103"/>
      <c r="R840" s="83"/>
      <c r="S840" s="103"/>
      <c r="T840" s="103"/>
      <c r="U840" s="103"/>
    </row>
    <row r="841" customFormat="false" ht="22.5" hidden="false" customHeight="true" outlineLevel="0" collapsed="false">
      <c r="A841" s="99"/>
      <c r="B841" s="99"/>
      <c r="C841" s="99"/>
      <c r="D841" s="121"/>
      <c r="E841" s="99"/>
      <c r="F841" s="124" t="str">
        <f aca="false">IF(E841="CONTADO", 4%, IF(E841="TARJETA / CHEQUE", 3%, IF(OR(E841="FINANCIADO", E841="MCP"), 2.5%, "")))</f>
        <v/>
      </c>
      <c r="G841" s="121" t="str">
        <f aca="false">IF(F841="", "", F841*D841)</f>
        <v/>
      </c>
      <c r="H841" s="132" t="b">
        <f aca="false">FALSE()</f>
        <v>0</v>
      </c>
      <c r="I841" s="132" t="b">
        <f aca="false">FALSE()</f>
        <v>0</v>
      </c>
      <c r="J841" s="126"/>
      <c r="K841" s="99"/>
      <c r="L841" s="83"/>
      <c r="M841" s="103"/>
      <c r="N841" s="103"/>
      <c r="O841" s="103"/>
      <c r="P841" s="103"/>
      <c r="Q841" s="103"/>
      <c r="R841" s="83"/>
      <c r="S841" s="103"/>
      <c r="T841" s="103"/>
      <c r="U841" s="103"/>
    </row>
    <row r="842" customFormat="false" ht="22.5" hidden="false" customHeight="true" outlineLevel="0" collapsed="false">
      <c r="A842" s="110"/>
      <c r="B842" s="110"/>
      <c r="C842" s="110"/>
      <c r="D842" s="122"/>
      <c r="E842" s="110"/>
      <c r="F842" s="128" t="str">
        <f aca="false">IF(E842="CONTADO", 4%, IF(E842="TARJETA / CHEQUE", 3%, IF(OR(E842="FINANCIADO", E842="MCP"), 2.5%, "")))</f>
        <v/>
      </c>
      <c r="G842" s="122" t="str">
        <f aca="false">IF(F842="", "", F842*D842)</f>
        <v/>
      </c>
      <c r="H842" s="131" t="b">
        <f aca="false">FALSE()</f>
        <v>0</v>
      </c>
      <c r="I842" s="131" t="b">
        <f aca="false">FALSE()</f>
        <v>0</v>
      </c>
      <c r="J842" s="130"/>
      <c r="K842" s="110"/>
      <c r="L842" s="83"/>
      <c r="M842" s="103"/>
      <c r="N842" s="103"/>
      <c r="O842" s="103"/>
      <c r="P842" s="103"/>
      <c r="Q842" s="103"/>
      <c r="R842" s="83"/>
      <c r="S842" s="103"/>
      <c r="T842" s="103"/>
      <c r="U842" s="103"/>
    </row>
    <row r="843" customFormat="false" ht="22.5" hidden="false" customHeight="true" outlineLevel="0" collapsed="false">
      <c r="A843" s="99"/>
      <c r="B843" s="99"/>
      <c r="C843" s="99"/>
      <c r="D843" s="121"/>
      <c r="E843" s="99"/>
      <c r="F843" s="124" t="str">
        <f aca="false">IF(E843="CONTADO", 4%, IF(E843="TARJETA / CHEQUE", 3%, IF(OR(E843="FINANCIADO", E843="MCP"), 2.5%, "")))</f>
        <v/>
      </c>
      <c r="G843" s="121" t="str">
        <f aca="false">IF(F843="", "", F843*D843)</f>
        <v/>
      </c>
      <c r="H843" s="132" t="b">
        <f aca="false">FALSE()</f>
        <v>0</v>
      </c>
      <c r="I843" s="132" t="b">
        <f aca="false">FALSE()</f>
        <v>0</v>
      </c>
      <c r="J843" s="126"/>
      <c r="K843" s="99"/>
      <c r="L843" s="83"/>
      <c r="M843" s="103"/>
      <c r="N843" s="103"/>
      <c r="O843" s="103"/>
      <c r="P843" s="103"/>
      <c r="Q843" s="103"/>
      <c r="R843" s="83"/>
      <c r="S843" s="103"/>
      <c r="T843" s="103"/>
      <c r="U843" s="103"/>
    </row>
    <row r="844" customFormat="false" ht="22.5" hidden="false" customHeight="true" outlineLevel="0" collapsed="false">
      <c r="A844" s="110"/>
      <c r="B844" s="110"/>
      <c r="C844" s="110"/>
      <c r="D844" s="122"/>
      <c r="E844" s="110"/>
      <c r="F844" s="128" t="str">
        <f aca="false">IF(E844="CONTADO", 4%, IF(E844="TARJETA / CHEQUE", 3%, IF(OR(E844="FINANCIADO", E844="MCP"), 2.5%, "")))</f>
        <v/>
      </c>
      <c r="G844" s="122" t="str">
        <f aca="false">IF(F844="", "", F844*D844)</f>
        <v/>
      </c>
      <c r="H844" s="131" t="b">
        <f aca="false">FALSE()</f>
        <v>0</v>
      </c>
      <c r="I844" s="131" t="b">
        <f aca="false">FALSE()</f>
        <v>0</v>
      </c>
      <c r="J844" s="130"/>
      <c r="K844" s="110"/>
      <c r="L844" s="83"/>
      <c r="M844" s="103"/>
      <c r="N844" s="103"/>
      <c r="O844" s="103"/>
      <c r="P844" s="103"/>
      <c r="Q844" s="103"/>
      <c r="R844" s="83"/>
      <c r="S844" s="103"/>
      <c r="T844" s="103"/>
      <c r="U844" s="103"/>
    </row>
    <row r="845" customFormat="false" ht="22.5" hidden="false" customHeight="true" outlineLevel="0" collapsed="false">
      <c r="A845" s="99"/>
      <c r="B845" s="99"/>
      <c r="C845" s="99"/>
      <c r="D845" s="121"/>
      <c r="E845" s="99"/>
      <c r="F845" s="124" t="str">
        <f aca="false">IF(E845="CONTADO", 4%, IF(E845="TARJETA / CHEQUE", 3%, IF(OR(E845="FINANCIADO", E845="MCP"), 2.5%, "")))</f>
        <v/>
      </c>
      <c r="G845" s="121" t="str">
        <f aca="false">IF(F845="", "", F845*D845)</f>
        <v/>
      </c>
      <c r="H845" s="132" t="b">
        <f aca="false">FALSE()</f>
        <v>0</v>
      </c>
      <c r="I845" s="132" t="b">
        <f aca="false">FALSE()</f>
        <v>0</v>
      </c>
      <c r="J845" s="126"/>
      <c r="K845" s="99"/>
      <c r="L845" s="83"/>
      <c r="M845" s="103"/>
      <c r="N845" s="103"/>
      <c r="O845" s="103"/>
      <c r="P845" s="103"/>
      <c r="Q845" s="103"/>
      <c r="R845" s="83"/>
      <c r="S845" s="103"/>
      <c r="T845" s="103"/>
      <c r="U845" s="103"/>
    </row>
    <row r="846" customFormat="false" ht="22.5" hidden="false" customHeight="true" outlineLevel="0" collapsed="false">
      <c r="A846" s="110"/>
      <c r="B846" s="110"/>
      <c r="C846" s="110"/>
      <c r="D846" s="122"/>
      <c r="E846" s="110"/>
      <c r="F846" s="128" t="str">
        <f aca="false">IF(E846="CONTADO", 4%, IF(E846="TARJETA / CHEQUE", 3%, IF(OR(E846="FINANCIADO", E846="MCP"), 2.5%, "")))</f>
        <v/>
      </c>
      <c r="G846" s="122" t="str">
        <f aca="false">IF(F846="", "", F846*D846)</f>
        <v/>
      </c>
      <c r="H846" s="131" t="b">
        <f aca="false">FALSE()</f>
        <v>0</v>
      </c>
      <c r="I846" s="131" t="b">
        <f aca="false">FALSE()</f>
        <v>0</v>
      </c>
      <c r="J846" s="130"/>
      <c r="K846" s="110"/>
      <c r="L846" s="83"/>
      <c r="M846" s="103"/>
      <c r="N846" s="103"/>
      <c r="O846" s="103"/>
      <c r="P846" s="103"/>
      <c r="Q846" s="103"/>
      <c r="R846" s="83"/>
      <c r="S846" s="103"/>
      <c r="T846" s="103"/>
      <c r="U846" s="103"/>
    </row>
    <row r="847" customFormat="false" ht="22.5" hidden="false" customHeight="true" outlineLevel="0" collapsed="false">
      <c r="A847" s="99"/>
      <c r="B847" s="99"/>
      <c r="C847" s="99"/>
      <c r="D847" s="121"/>
      <c r="E847" s="99"/>
      <c r="F847" s="124" t="str">
        <f aca="false">IF(E847="CONTADO", 4%, IF(E847="TARJETA / CHEQUE", 3%, IF(OR(E847="FINANCIADO", E847="MCP"), 2.5%, "")))</f>
        <v/>
      </c>
      <c r="G847" s="121" t="str">
        <f aca="false">IF(F847="", "", F847*D847)</f>
        <v/>
      </c>
      <c r="H847" s="132" t="b">
        <f aca="false">FALSE()</f>
        <v>0</v>
      </c>
      <c r="I847" s="132" t="b">
        <f aca="false">FALSE()</f>
        <v>0</v>
      </c>
      <c r="J847" s="126"/>
      <c r="K847" s="99"/>
      <c r="L847" s="83"/>
      <c r="M847" s="103"/>
      <c r="N847" s="103"/>
      <c r="O847" s="103"/>
      <c r="P847" s="103"/>
      <c r="Q847" s="103"/>
      <c r="R847" s="83"/>
      <c r="S847" s="103"/>
      <c r="T847" s="103"/>
      <c r="U847" s="103"/>
    </row>
    <row r="848" customFormat="false" ht="22.5" hidden="false" customHeight="true" outlineLevel="0" collapsed="false">
      <c r="A848" s="110"/>
      <c r="B848" s="110"/>
      <c r="C848" s="110"/>
      <c r="D848" s="122"/>
      <c r="E848" s="110"/>
      <c r="F848" s="128" t="str">
        <f aca="false">IF(E848="CONTADO", 4%, IF(E848="TARJETA / CHEQUE", 3%, IF(OR(E848="FINANCIADO", E848="MCP"), 2.5%, "")))</f>
        <v/>
      </c>
      <c r="G848" s="122" t="str">
        <f aca="false">IF(F848="", "", F848*D848)</f>
        <v/>
      </c>
      <c r="H848" s="131" t="b">
        <f aca="false">FALSE()</f>
        <v>0</v>
      </c>
      <c r="I848" s="131" t="b">
        <f aca="false">FALSE()</f>
        <v>0</v>
      </c>
      <c r="J848" s="130"/>
      <c r="K848" s="110"/>
      <c r="L848" s="83"/>
      <c r="M848" s="103"/>
      <c r="N848" s="103"/>
      <c r="O848" s="103"/>
      <c r="P848" s="103"/>
      <c r="Q848" s="103"/>
      <c r="R848" s="83"/>
      <c r="S848" s="103"/>
      <c r="T848" s="103"/>
      <c r="U848" s="103"/>
    </row>
    <row r="849" customFormat="false" ht="22.5" hidden="false" customHeight="true" outlineLevel="0" collapsed="false">
      <c r="A849" s="99"/>
      <c r="B849" s="99"/>
      <c r="C849" s="99"/>
      <c r="D849" s="121"/>
      <c r="E849" s="99"/>
      <c r="F849" s="124" t="str">
        <f aca="false">IF(E849="CONTADO", 4%, IF(E849="TARJETA / CHEQUE", 3%, IF(OR(E849="FINANCIADO", E849="MCP"), 2.5%, "")))</f>
        <v/>
      </c>
      <c r="G849" s="121" t="str">
        <f aca="false">IF(F849="", "", F849*D849)</f>
        <v/>
      </c>
      <c r="H849" s="132" t="b">
        <f aca="false">FALSE()</f>
        <v>0</v>
      </c>
      <c r="I849" s="132" t="b">
        <f aca="false">FALSE()</f>
        <v>0</v>
      </c>
      <c r="J849" s="126"/>
      <c r="K849" s="99"/>
      <c r="L849" s="83"/>
      <c r="M849" s="103"/>
      <c r="N849" s="103"/>
      <c r="O849" s="103"/>
      <c r="P849" s="103"/>
      <c r="Q849" s="103"/>
      <c r="R849" s="83"/>
      <c r="S849" s="103"/>
      <c r="T849" s="103"/>
      <c r="U849" s="103"/>
    </row>
    <row r="850" customFormat="false" ht="22.5" hidden="false" customHeight="true" outlineLevel="0" collapsed="false">
      <c r="A850" s="110"/>
      <c r="B850" s="110"/>
      <c r="C850" s="110"/>
      <c r="D850" s="122"/>
      <c r="E850" s="110"/>
      <c r="F850" s="128" t="str">
        <f aca="false">IF(E850="CONTADO", 4%, IF(E850="TARJETA / CHEQUE", 3%, IF(OR(E850="FINANCIADO", E850="MCP"), 2.5%, "")))</f>
        <v/>
      </c>
      <c r="G850" s="122" t="str">
        <f aca="false">IF(F850="", "", F850*D850)</f>
        <v/>
      </c>
      <c r="H850" s="131" t="b">
        <f aca="false">FALSE()</f>
        <v>0</v>
      </c>
      <c r="I850" s="131" t="b">
        <f aca="false">FALSE()</f>
        <v>0</v>
      </c>
      <c r="J850" s="130"/>
      <c r="K850" s="110"/>
      <c r="L850" s="83"/>
      <c r="M850" s="103"/>
      <c r="N850" s="103"/>
      <c r="O850" s="103"/>
      <c r="P850" s="103"/>
      <c r="Q850" s="103"/>
      <c r="R850" s="83"/>
      <c r="S850" s="103"/>
      <c r="T850" s="103"/>
      <c r="U850" s="103"/>
    </row>
    <row r="851" customFormat="false" ht="22.5" hidden="false" customHeight="true" outlineLevel="0" collapsed="false">
      <c r="A851" s="99"/>
      <c r="B851" s="99"/>
      <c r="C851" s="99"/>
      <c r="D851" s="121"/>
      <c r="E851" s="99"/>
      <c r="F851" s="124" t="str">
        <f aca="false">IF(E851="CONTADO", 4%, IF(E851="TARJETA / CHEQUE", 3%, IF(OR(E851="FINANCIADO", E851="MCP"), 2.5%, "")))</f>
        <v/>
      </c>
      <c r="G851" s="121" t="str">
        <f aca="false">IF(F851="", "", F851*D851)</f>
        <v/>
      </c>
      <c r="H851" s="132" t="b">
        <f aca="false">FALSE()</f>
        <v>0</v>
      </c>
      <c r="I851" s="132" t="b">
        <f aca="false">FALSE()</f>
        <v>0</v>
      </c>
      <c r="J851" s="126"/>
      <c r="K851" s="99"/>
      <c r="L851" s="83"/>
      <c r="M851" s="103"/>
      <c r="N851" s="103"/>
      <c r="O851" s="103"/>
      <c r="P851" s="103"/>
      <c r="Q851" s="103"/>
      <c r="R851" s="83"/>
      <c r="S851" s="103"/>
      <c r="T851" s="103"/>
      <c r="U851" s="103"/>
    </row>
    <row r="852" customFormat="false" ht="22.5" hidden="false" customHeight="true" outlineLevel="0" collapsed="false">
      <c r="A852" s="110"/>
      <c r="B852" s="110"/>
      <c r="C852" s="110"/>
      <c r="D852" s="122"/>
      <c r="E852" s="110"/>
      <c r="F852" s="128" t="str">
        <f aca="false">IF(E852="CONTADO", 4%, IF(E852="TARJETA / CHEQUE", 3%, IF(OR(E852="FINANCIADO", E852="MCP"), 2.5%, "")))</f>
        <v/>
      </c>
      <c r="G852" s="122" t="str">
        <f aca="false">IF(F852="", "", F852*D852)</f>
        <v/>
      </c>
      <c r="H852" s="131" t="b">
        <f aca="false">FALSE()</f>
        <v>0</v>
      </c>
      <c r="I852" s="131" t="b">
        <f aca="false">FALSE()</f>
        <v>0</v>
      </c>
      <c r="J852" s="130"/>
      <c r="K852" s="110"/>
      <c r="L852" s="83"/>
      <c r="M852" s="103"/>
      <c r="N852" s="103"/>
      <c r="O852" s="103"/>
      <c r="P852" s="103"/>
      <c r="Q852" s="103"/>
      <c r="R852" s="83"/>
      <c r="S852" s="103"/>
      <c r="T852" s="103"/>
      <c r="U852" s="103"/>
    </row>
    <row r="853" customFormat="false" ht="22.5" hidden="false" customHeight="true" outlineLevel="0" collapsed="false">
      <c r="A853" s="99"/>
      <c r="B853" s="99"/>
      <c r="C853" s="99"/>
      <c r="D853" s="121"/>
      <c r="E853" s="99"/>
      <c r="F853" s="124" t="str">
        <f aca="false">IF(E853="CONTADO", 4%, IF(E853="TARJETA / CHEQUE", 3%, IF(OR(E853="FINANCIADO", E853="MCP"), 2.5%, "")))</f>
        <v/>
      </c>
      <c r="G853" s="121" t="str">
        <f aca="false">IF(F853="", "", F853*D853)</f>
        <v/>
      </c>
      <c r="H853" s="132" t="b">
        <f aca="false">FALSE()</f>
        <v>0</v>
      </c>
      <c r="I853" s="132" t="b">
        <f aca="false">FALSE()</f>
        <v>0</v>
      </c>
      <c r="J853" s="126"/>
      <c r="K853" s="99"/>
      <c r="L853" s="83"/>
      <c r="M853" s="103"/>
      <c r="N853" s="103"/>
      <c r="O853" s="103"/>
      <c r="P853" s="103"/>
      <c r="Q853" s="103"/>
      <c r="R853" s="83"/>
      <c r="S853" s="103"/>
      <c r="T853" s="103"/>
      <c r="U853" s="103"/>
    </row>
    <row r="854" customFormat="false" ht="22.5" hidden="false" customHeight="true" outlineLevel="0" collapsed="false">
      <c r="A854" s="110"/>
      <c r="B854" s="110"/>
      <c r="C854" s="110"/>
      <c r="D854" s="122"/>
      <c r="E854" s="110"/>
      <c r="F854" s="128" t="str">
        <f aca="false">IF(E854="CONTADO", 4%, IF(E854="TARJETA / CHEQUE", 3%, IF(OR(E854="FINANCIADO", E854="MCP"), 2.5%, "")))</f>
        <v/>
      </c>
      <c r="G854" s="122" t="str">
        <f aca="false">IF(F854="", "", F854*D854)</f>
        <v/>
      </c>
      <c r="H854" s="131" t="b">
        <f aca="false">FALSE()</f>
        <v>0</v>
      </c>
      <c r="I854" s="131" t="b">
        <f aca="false">FALSE()</f>
        <v>0</v>
      </c>
      <c r="J854" s="130"/>
      <c r="K854" s="110"/>
      <c r="L854" s="83"/>
      <c r="M854" s="103"/>
      <c r="N854" s="103"/>
      <c r="O854" s="103"/>
      <c r="P854" s="103"/>
      <c r="Q854" s="103"/>
      <c r="R854" s="83"/>
      <c r="S854" s="103"/>
      <c r="T854" s="103"/>
      <c r="U854" s="103"/>
    </row>
    <row r="855" customFormat="false" ht="22.5" hidden="false" customHeight="true" outlineLevel="0" collapsed="false">
      <c r="A855" s="99"/>
      <c r="B855" s="99"/>
      <c r="C855" s="99"/>
      <c r="D855" s="121"/>
      <c r="E855" s="99"/>
      <c r="F855" s="124" t="str">
        <f aca="false">IF(E855="CONTADO", 4%, IF(E855="TARJETA / CHEQUE", 3%, IF(OR(E855="FINANCIADO", E855="MCP"), 2.5%, "")))</f>
        <v/>
      </c>
      <c r="G855" s="121" t="str">
        <f aca="false">IF(F855="", "", F855*D855)</f>
        <v/>
      </c>
      <c r="H855" s="132" t="b">
        <f aca="false">FALSE()</f>
        <v>0</v>
      </c>
      <c r="I855" s="132" t="b">
        <f aca="false">FALSE()</f>
        <v>0</v>
      </c>
      <c r="J855" s="126"/>
      <c r="K855" s="99"/>
      <c r="L855" s="83"/>
      <c r="M855" s="103"/>
      <c r="N855" s="103"/>
      <c r="O855" s="103"/>
      <c r="P855" s="103"/>
      <c r="Q855" s="103"/>
      <c r="R855" s="83"/>
      <c r="S855" s="103"/>
      <c r="T855" s="103"/>
      <c r="U855" s="103"/>
    </row>
    <row r="856" customFormat="false" ht="22.5" hidden="false" customHeight="true" outlineLevel="0" collapsed="false">
      <c r="A856" s="110"/>
      <c r="B856" s="110"/>
      <c r="C856" s="110"/>
      <c r="D856" s="122"/>
      <c r="E856" s="110"/>
      <c r="F856" s="128" t="str">
        <f aca="false">IF(E856="CONTADO", 4%, IF(E856="TARJETA / CHEQUE", 3%, IF(OR(E856="FINANCIADO", E856="MCP"), 2.5%, "")))</f>
        <v/>
      </c>
      <c r="G856" s="122" t="str">
        <f aca="false">IF(F856="", "", F856*D856)</f>
        <v/>
      </c>
      <c r="H856" s="131" t="b">
        <f aca="false">FALSE()</f>
        <v>0</v>
      </c>
      <c r="I856" s="131" t="b">
        <f aca="false">FALSE()</f>
        <v>0</v>
      </c>
      <c r="J856" s="130"/>
      <c r="K856" s="110"/>
      <c r="L856" s="83"/>
      <c r="M856" s="103"/>
      <c r="N856" s="103"/>
      <c r="O856" s="103"/>
      <c r="P856" s="103"/>
      <c r="Q856" s="103"/>
      <c r="R856" s="83"/>
      <c r="S856" s="103"/>
      <c r="T856" s="103"/>
      <c r="U856" s="103"/>
    </row>
    <row r="857" customFormat="false" ht="22.5" hidden="false" customHeight="true" outlineLevel="0" collapsed="false">
      <c r="A857" s="99"/>
      <c r="B857" s="99"/>
      <c r="C857" s="99"/>
      <c r="D857" s="121"/>
      <c r="E857" s="99"/>
      <c r="F857" s="124" t="str">
        <f aca="false">IF(E857="CONTADO", 4%, IF(E857="TARJETA / CHEQUE", 3%, IF(OR(E857="FINANCIADO", E857="MCP"), 2.5%, "")))</f>
        <v/>
      </c>
      <c r="G857" s="121" t="str">
        <f aca="false">IF(F857="", "", F857*D857)</f>
        <v/>
      </c>
      <c r="H857" s="132" t="b">
        <f aca="false">FALSE()</f>
        <v>0</v>
      </c>
      <c r="I857" s="132" t="b">
        <f aca="false">FALSE()</f>
        <v>0</v>
      </c>
      <c r="J857" s="126"/>
      <c r="K857" s="99"/>
      <c r="L857" s="83"/>
      <c r="M857" s="103"/>
      <c r="N857" s="103"/>
      <c r="O857" s="103"/>
      <c r="P857" s="103"/>
      <c r="Q857" s="103"/>
      <c r="R857" s="83"/>
      <c r="S857" s="103"/>
      <c r="T857" s="103"/>
      <c r="U857" s="103"/>
    </row>
    <row r="858" customFormat="false" ht="22.5" hidden="false" customHeight="true" outlineLevel="0" collapsed="false">
      <c r="A858" s="110"/>
      <c r="B858" s="110"/>
      <c r="C858" s="110"/>
      <c r="D858" s="122"/>
      <c r="E858" s="110"/>
      <c r="F858" s="128" t="str">
        <f aca="false">IF(E858="CONTADO", 4%, IF(E858="TARJETA / CHEQUE", 3%, IF(OR(E858="FINANCIADO", E858="MCP"), 2.5%, "")))</f>
        <v/>
      </c>
      <c r="G858" s="122" t="str">
        <f aca="false">IF(F858="", "", F858*D858)</f>
        <v/>
      </c>
      <c r="H858" s="131" t="b">
        <f aca="false">FALSE()</f>
        <v>0</v>
      </c>
      <c r="I858" s="131" t="b">
        <f aca="false">FALSE()</f>
        <v>0</v>
      </c>
      <c r="J858" s="130"/>
      <c r="K858" s="110"/>
      <c r="L858" s="83"/>
      <c r="M858" s="103"/>
      <c r="N858" s="103"/>
      <c r="O858" s="103"/>
      <c r="P858" s="103"/>
      <c r="Q858" s="103"/>
      <c r="R858" s="83"/>
      <c r="S858" s="103"/>
      <c r="T858" s="103"/>
      <c r="U858" s="103"/>
    </row>
    <row r="859" customFormat="false" ht="22.5" hidden="false" customHeight="true" outlineLevel="0" collapsed="false">
      <c r="A859" s="99"/>
      <c r="B859" s="99"/>
      <c r="C859" s="99"/>
      <c r="D859" s="121"/>
      <c r="E859" s="99"/>
      <c r="F859" s="124" t="str">
        <f aca="false">IF(E859="CONTADO", 4%, IF(E859="TARJETA / CHEQUE", 3%, IF(OR(E859="FINANCIADO", E859="MCP"), 2.5%, "")))</f>
        <v/>
      </c>
      <c r="G859" s="121" t="str">
        <f aca="false">IF(F859="", "", F859*D859)</f>
        <v/>
      </c>
      <c r="H859" s="132" t="b">
        <f aca="false">FALSE()</f>
        <v>0</v>
      </c>
      <c r="I859" s="132" t="b">
        <f aca="false">FALSE()</f>
        <v>0</v>
      </c>
      <c r="J859" s="126"/>
      <c r="K859" s="99"/>
      <c r="L859" s="83"/>
      <c r="M859" s="103"/>
      <c r="N859" s="103"/>
      <c r="O859" s="103"/>
      <c r="P859" s="103"/>
      <c r="Q859" s="103"/>
      <c r="R859" s="83"/>
      <c r="S859" s="103"/>
      <c r="T859" s="103"/>
      <c r="U859" s="103"/>
    </row>
    <row r="860" customFormat="false" ht="22.5" hidden="false" customHeight="true" outlineLevel="0" collapsed="false">
      <c r="A860" s="110"/>
      <c r="B860" s="110"/>
      <c r="C860" s="110"/>
      <c r="D860" s="122"/>
      <c r="E860" s="110"/>
      <c r="F860" s="128" t="str">
        <f aca="false">IF(E860="CONTADO", 4%, IF(E860="TARJETA / CHEQUE", 3%, IF(OR(E860="FINANCIADO", E860="MCP"), 2.5%, "")))</f>
        <v/>
      </c>
      <c r="G860" s="122" t="str">
        <f aca="false">IF(F860="", "", F860*D860)</f>
        <v/>
      </c>
      <c r="H860" s="131" t="b">
        <f aca="false">FALSE()</f>
        <v>0</v>
      </c>
      <c r="I860" s="131" t="b">
        <f aca="false">FALSE()</f>
        <v>0</v>
      </c>
      <c r="J860" s="130"/>
      <c r="K860" s="110"/>
      <c r="L860" s="83"/>
      <c r="M860" s="103"/>
      <c r="N860" s="103"/>
      <c r="O860" s="103"/>
      <c r="P860" s="103"/>
      <c r="Q860" s="103"/>
      <c r="R860" s="83"/>
      <c r="S860" s="103"/>
      <c r="T860" s="103"/>
      <c r="U860" s="103"/>
    </row>
    <row r="861" customFormat="false" ht="22.5" hidden="false" customHeight="true" outlineLevel="0" collapsed="false">
      <c r="A861" s="99"/>
      <c r="B861" s="99"/>
      <c r="C861" s="99"/>
      <c r="D861" s="121"/>
      <c r="E861" s="99"/>
      <c r="F861" s="124" t="str">
        <f aca="false">IF(E861="CONTADO", 4%, IF(E861="TARJETA / CHEQUE", 3%, IF(OR(E861="FINANCIADO", E861="MCP"), 2.5%, "")))</f>
        <v/>
      </c>
      <c r="G861" s="121" t="str">
        <f aca="false">IF(F861="", "", F861*D861)</f>
        <v/>
      </c>
      <c r="H861" s="132" t="b">
        <f aca="false">FALSE()</f>
        <v>0</v>
      </c>
      <c r="I861" s="132" t="b">
        <f aca="false">FALSE()</f>
        <v>0</v>
      </c>
      <c r="J861" s="126"/>
      <c r="K861" s="99"/>
      <c r="L861" s="83"/>
      <c r="M861" s="103"/>
      <c r="N861" s="103"/>
      <c r="O861" s="103"/>
      <c r="P861" s="103"/>
      <c r="Q861" s="103"/>
      <c r="R861" s="83"/>
      <c r="S861" s="103"/>
      <c r="T861" s="103"/>
      <c r="U861" s="103"/>
    </row>
    <row r="862" customFormat="false" ht="22.5" hidden="false" customHeight="true" outlineLevel="0" collapsed="false">
      <c r="A862" s="110"/>
      <c r="B862" s="110"/>
      <c r="C862" s="110"/>
      <c r="D862" s="122"/>
      <c r="E862" s="110"/>
      <c r="F862" s="128" t="str">
        <f aca="false">IF(E862="CONTADO", 4%, IF(E862="TARJETA / CHEQUE", 3%, IF(OR(E862="FINANCIADO", E862="MCP"), 2.5%, "")))</f>
        <v/>
      </c>
      <c r="G862" s="122" t="str">
        <f aca="false">IF(F862="", "", F862*D862)</f>
        <v/>
      </c>
      <c r="H862" s="131" t="b">
        <f aca="false">FALSE()</f>
        <v>0</v>
      </c>
      <c r="I862" s="131" t="b">
        <f aca="false">FALSE()</f>
        <v>0</v>
      </c>
      <c r="J862" s="130"/>
      <c r="K862" s="110"/>
      <c r="L862" s="83"/>
      <c r="M862" s="103"/>
      <c r="N862" s="103"/>
      <c r="O862" s="103"/>
      <c r="P862" s="103"/>
      <c r="Q862" s="103"/>
      <c r="R862" s="83"/>
      <c r="S862" s="103"/>
      <c r="T862" s="103"/>
      <c r="U862" s="103"/>
    </row>
    <row r="863" customFormat="false" ht="22.5" hidden="false" customHeight="true" outlineLevel="0" collapsed="false">
      <c r="A863" s="99"/>
      <c r="B863" s="99"/>
      <c r="C863" s="99"/>
      <c r="D863" s="121"/>
      <c r="E863" s="99"/>
      <c r="F863" s="124" t="str">
        <f aca="false">IF(E863="CONTADO", 4%, IF(E863="TARJETA / CHEQUE", 3%, IF(OR(E863="FINANCIADO", E863="MCP"), 2.5%, "")))</f>
        <v/>
      </c>
      <c r="G863" s="121" t="str">
        <f aca="false">IF(F863="", "", F863*D863)</f>
        <v/>
      </c>
      <c r="H863" s="132" t="b">
        <f aca="false">FALSE()</f>
        <v>0</v>
      </c>
      <c r="I863" s="132" t="b">
        <f aca="false">FALSE()</f>
        <v>0</v>
      </c>
      <c r="J863" s="126"/>
      <c r="K863" s="99"/>
      <c r="L863" s="83"/>
      <c r="M863" s="103"/>
      <c r="N863" s="103"/>
      <c r="O863" s="103"/>
      <c r="P863" s="103"/>
      <c r="Q863" s="103"/>
      <c r="R863" s="83"/>
      <c r="S863" s="103"/>
      <c r="T863" s="103"/>
      <c r="U863" s="103"/>
    </row>
    <row r="864" customFormat="false" ht="22.5" hidden="false" customHeight="true" outlineLevel="0" collapsed="false">
      <c r="A864" s="110"/>
      <c r="B864" s="110"/>
      <c r="C864" s="110"/>
      <c r="D864" s="122"/>
      <c r="E864" s="110"/>
      <c r="F864" s="128" t="str">
        <f aca="false">IF(E864="CONTADO", 4%, IF(E864="TARJETA / CHEQUE", 3%, IF(OR(E864="FINANCIADO", E864="MCP"), 2.5%, "")))</f>
        <v/>
      </c>
      <c r="G864" s="122" t="str">
        <f aca="false">IF(F864="", "", F864*D864)</f>
        <v/>
      </c>
      <c r="H864" s="131" t="b">
        <f aca="false">FALSE()</f>
        <v>0</v>
      </c>
      <c r="I864" s="131" t="b">
        <f aca="false">FALSE()</f>
        <v>0</v>
      </c>
      <c r="J864" s="130"/>
      <c r="K864" s="110"/>
      <c r="L864" s="83"/>
      <c r="M864" s="103"/>
      <c r="N864" s="103"/>
      <c r="O864" s="103"/>
      <c r="P864" s="103"/>
      <c r="Q864" s="103"/>
      <c r="R864" s="83"/>
      <c r="S864" s="103"/>
      <c r="T864" s="103"/>
      <c r="U864" s="103"/>
    </row>
    <row r="865" customFormat="false" ht="22.5" hidden="false" customHeight="true" outlineLevel="0" collapsed="false">
      <c r="A865" s="99"/>
      <c r="B865" s="99"/>
      <c r="C865" s="99"/>
      <c r="D865" s="121"/>
      <c r="E865" s="99"/>
      <c r="F865" s="124" t="str">
        <f aca="false">IF(E865="CONTADO", 4%, IF(E865="TARJETA / CHEQUE", 3%, IF(OR(E865="FINANCIADO", E865="MCP"), 2.5%, "")))</f>
        <v/>
      </c>
      <c r="G865" s="121" t="str">
        <f aca="false">IF(F865="", "", F865*D865)</f>
        <v/>
      </c>
      <c r="H865" s="132" t="b">
        <f aca="false">FALSE()</f>
        <v>0</v>
      </c>
      <c r="I865" s="132" t="b">
        <f aca="false">FALSE()</f>
        <v>0</v>
      </c>
      <c r="J865" s="126"/>
      <c r="K865" s="99"/>
      <c r="L865" s="83"/>
      <c r="M865" s="103"/>
      <c r="N865" s="103"/>
      <c r="O865" s="103"/>
      <c r="P865" s="103"/>
      <c r="Q865" s="103"/>
      <c r="R865" s="83"/>
      <c r="S865" s="103"/>
      <c r="T865" s="103"/>
      <c r="U865" s="103"/>
    </row>
    <row r="866" customFormat="false" ht="22.5" hidden="false" customHeight="true" outlineLevel="0" collapsed="false">
      <c r="A866" s="110"/>
      <c r="B866" s="110"/>
      <c r="C866" s="110"/>
      <c r="D866" s="122"/>
      <c r="E866" s="110"/>
      <c r="F866" s="128" t="str">
        <f aca="false">IF(E866="CONTADO", 4%, IF(E866="TARJETA / CHEQUE", 3%, IF(OR(E866="FINANCIADO", E866="MCP"), 2.5%, "")))</f>
        <v/>
      </c>
      <c r="G866" s="122" t="str">
        <f aca="false">IF(F866="", "", F866*D866)</f>
        <v/>
      </c>
      <c r="H866" s="131" t="b">
        <f aca="false">FALSE()</f>
        <v>0</v>
      </c>
      <c r="I866" s="131" t="b">
        <f aca="false">FALSE()</f>
        <v>0</v>
      </c>
      <c r="J866" s="130"/>
      <c r="K866" s="110"/>
      <c r="L866" s="83"/>
      <c r="M866" s="103"/>
      <c r="N866" s="103"/>
      <c r="O866" s="103"/>
      <c r="P866" s="103"/>
      <c r="Q866" s="103"/>
      <c r="R866" s="83"/>
      <c r="S866" s="103"/>
      <c r="T866" s="103"/>
      <c r="U866" s="103"/>
    </row>
    <row r="867" customFormat="false" ht="22.5" hidden="false" customHeight="true" outlineLevel="0" collapsed="false">
      <c r="A867" s="99"/>
      <c r="B867" s="99"/>
      <c r="C867" s="99"/>
      <c r="D867" s="121"/>
      <c r="E867" s="99"/>
      <c r="F867" s="124" t="str">
        <f aca="false">IF(E867="CONTADO", 4%, IF(E867="TARJETA / CHEQUE", 3%, IF(OR(E867="FINANCIADO", E867="MCP"), 2.5%, "")))</f>
        <v/>
      </c>
      <c r="G867" s="121" t="str">
        <f aca="false">IF(F867="", "", F867*D867)</f>
        <v/>
      </c>
      <c r="H867" s="132" t="b">
        <f aca="false">FALSE()</f>
        <v>0</v>
      </c>
      <c r="I867" s="132" t="b">
        <f aca="false">FALSE()</f>
        <v>0</v>
      </c>
      <c r="J867" s="126"/>
      <c r="K867" s="99"/>
      <c r="L867" s="83"/>
      <c r="M867" s="103"/>
      <c r="N867" s="103"/>
      <c r="O867" s="103"/>
      <c r="P867" s="103"/>
      <c r="Q867" s="103"/>
      <c r="R867" s="83"/>
      <c r="S867" s="103"/>
      <c r="T867" s="103"/>
      <c r="U867" s="103"/>
    </row>
    <row r="868" customFormat="false" ht="22.5" hidden="false" customHeight="true" outlineLevel="0" collapsed="false">
      <c r="A868" s="110"/>
      <c r="B868" s="110"/>
      <c r="C868" s="110"/>
      <c r="D868" s="122"/>
      <c r="E868" s="110"/>
      <c r="F868" s="128" t="str">
        <f aca="false">IF(E868="CONTADO", 4%, IF(E868="TARJETA / CHEQUE", 3%, IF(OR(E868="FINANCIADO", E868="MCP"), 2.5%, "")))</f>
        <v/>
      </c>
      <c r="G868" s="122" t="str">
        <f aca="false">IF(F868="", "", F868*D868)</f>
        <v/>
      </c>
      <c r="H868" s="131" t="b">
        <f aca="false">FALSE()</f>
        <v>0</v>
      </c>
      <c r="I868" s="131" t="b">
        <f aca="false">FALSE()</f>
        <v>0</v>
      </c>
      <c r="J868" s="130"/>
      <c r="K868" s="110"/>
      <c r="L868" s="83"/>
      <c r="M868" s="103"/>
      <c r="N868" s="103"/>
      <c r="O868" s="103"/>
      <c r="P868" s="103"/>
      <c r="Q868" s="103"/>
      <c r="R868" s="83"/>
      <c r="S868" s="103"/>
      <c r="T868" s="103"/>
      <c r="U868" s="103"/>
    </row>
    <row r="869" customFormat="false" ht="22.5" hidden="false" customHeight="true" outlineLevel="0" collapsed="false">
      <c r="A869" s="99"/>
      <c r="B869" s="99"/>
      <c r="C869" s="99"/>
      <c r="D869" s="121"/>
      <c r="E869" s="99"/>
      <c r="F869" s="124" t="str">
        <f aca="false">IF(E869="CONTADO", 4%, IF(E869="TARJETA / CHEQUE", 3%, IF(OR(E869="FINANCIADO", E869="MCP"), 2.5%, "")))</f>
        <v/>
      </c>
      <c r="G869" s="121" t="str">
        <f aca="false">IF(F869="", "", F869*D869)</f>
        <v/>
      </c>
      <c r="H869" s="132" t="b">
        <f aca="false">FALSE()</f>
        <v>0</v>
      </c>
      <c r="I869" s="132" t="b">
        <f aca="false">FALSE()</f>
        <v>0</v>
      </c>
      <c r="J869" s="126"/>
      <c r="K869" s="99"/>
      <c r="L869" s="83"/>
      <c r="M869" s="103"/>
      <c r="N869" s="103"/>
      <c r="O869" s="103"/>
      <c r="P869" s="103"/>
      <c r="Q869" s="103"/>
      <c r="R869" s="83"/>
      <c r="S869" s="103"/>
      <c r="T869" s="103"/>
      <c r="U869" s="103"/>
    </row>
    <row r="870" customFormat="false" ht="22.5" hidden="false" customHeight="true" outlineLevel="0" collapsed="false">
      <c r="A870" s="110"/>
      <c r="B870" s="110"/>
      <c r="C870" s="110"/>
      <c r="D870" s="122"/>
      <c r="E870" s="110"/>
      <c r="F870" s="128" t="str">
        <f aca="false">IF(E870="CONTADO", 4%, IF(E870="TARJETA / CHEQUE", 3%, IF(OR(E870="FINANCIADO", E870="MCP"), 2.5%, "")))</f>
        <v/>
      </c>
      <c r="G870" s="122" t="str">
        <f aca="false">IF(F870="", "", F870*D870)</f>
        <v/>
      </c>
      <c r="H870" s="131" t="b">
        <f aca="false">FALSE()</f>
        <v>0</v>
      </c>
      <c r="I870" s="131" t="b">
        <f aca="false">FALSE()</f>
        <v>0</v>
      </c>
      <c r="J870" s="130"/>
      <c r="K870" s="110"/>
      <c r="L870" s="83"/>
      <c r="M870" s="103"/>
      <c r="N870" s="103"/>
      <c r="O870" s="103"/>
      <c r="P870" s="103"/>
      <c r="Q870" s="103"/>
      <c r="R870" s="83"/>
      <c r="S870" s="103"/>
      <c r="T870" s="103"/>
      <c r="U870" s="103"/>
    </row>
    <row r="871" customFormat="false" ht="22.5" hidden="false" customHeight="true" outlineLevel="0" collapsed="false">
      <c r="A871" s="99"/>
      <c r="B871" s="99"/>
      <c r="C871" s="99"/>
      <c r="D871" s="121"/>
      <c r="E871" s="99"/>
      <c r="F871" s="124" t="str">
        <f aca="false">IF(E871="CONTADO", 4%, IF(E871="TARJETA / CHEQUE", 3%, IF(OR(E871="FINANCIADO", E871="MCP"), 2.5%, "")))</f>
        <v/>
      </c>
      <c r="G871" s="121" t="str">
        <f aca="false">IF(F871="", "", F871*D871)</f>
        <v/>
      </c>
      <c r="H871" s="132" t="b">
        <f aca="false">FALSE()</f>
        <v>0</v>
      </c>
      <c r="I871" s="132" t="b">
        <f aca="false">FALSE()</f>
        <v>0</v>
      </c>
      <c r="J871" s="126"/>
      <c r="K871" s="99"/>
      <c r="L871" s="83"/>
      <c r="M871" s="103"/>
      <c r="N871" s="103"/>
      <c r="O871" s="103"/>
      <c r="P871" s="103"/>
      <c r="Q871" s="103"/>
      <c r="R871" s="83"/>
      <c r="S871" s="103"/>
      <c r="T871" s="103"/>
      <c r="U871" s="103"/>
    </row>
    <row r="872" customFormat="false" ht="22.5" hidden="false" customHeight="true" outlineLevel="0" collapsed="false">
      <c r="A872" s="110"/>
      <c r="B872" s="110"/>
      <c r="C872" s="110"/>
      <c r="D872" s="122"/>
      <c r="E872" s="110"/>
      <c r="F872" s="128" t="str">
        <f aca="false">IF(E872="CONTADO", 4%, IF(E872="TARJETA / CHEQUE", 3%, IF(OR(E872="FINANCIADO", E872="MCP"), 2.5%, "")))</f>
        <v/>
      </c>
      <c r="G872" s="122" t="str">
        <f aca="false">IF(F872="", "", F872*D872)</f>
        <v/>
      </c>
      <c r="H872" s="131" t="b">
        <f aca="false">FALSE()</f>
        <v>0</v>
      </c>
      <c r="I872" s="131" t="b">
        <f aca="false">FALSE()</f>
        <v>0</v>
      </c>
      <c r="J872" s="130"/>
      <c r="K872" s="110"/>
      <c r="L872" s="83"/>
      <c r="M872" s="103"/>
      <c r="N872" s="103"/>
      <c r="O872" s="103"/>
      <c r="P872" s="103"/>
      <c r="Q872" s="103"/>
      <c r="R872" s="83"/>
      <c r="S872" s="103"/>
      <c r="T872" s="103"/>
      <c r="U872" s="103"/>
    </row>
    <row r="873" customFormat="false" ht="22.5" hidden="false" customHeight="true" outlineLevel="0" collapsed="false">
      <c r="A873" s="99"/>
      <c r="B873" s="99"/>
      <c r="C873" s="99"/>
      <c r="D873" s="121"/>
      <c r="E873" s="99"/>
      <c r="F873" s="124" t="str">
        <f aca="false">IF(E873="CONTADO", 4%, IF(E873="TARJETA / CHEQUE", 3%, IF(OR(E873="FINANCIADO", E873="MCP"), 2.5%, "")))</f>
        <v/>
      </c>
      <c r="G873" s="121" t="str">
        <f aca="false">IF(F873="", "", F873*D873)</f>
        <v/>
      </c>
      <c r="H873" s="132" t="b">
        <f aca="false">FALSE()</f>
        <v>0</v>
      </c>
      <c r="I873" s="132" t="b">
        <f aca="false">FALSE()</f>
        <v>0</v>
      </c>
      <c r="J873" s="126"/>
      <c r="K873" s="99"/>
      <c r="L873" s="83"/>
      <c r="M873" s="103"/>
      <c r="N873" s="103"/>
      <c r="O873" s="103"/>
      <c r="P873" s="103"/>
      <c r="Q873" s="103"/>
      <c r="R873" s="83"/>
      <c r="S873" s="103"/>
      <c r="T873" s="103"/>
      <c r="U873" s="103"/>
    </row>
    <row r="874" customFormat="false" ht="22.5" hidden="false" customHeight="true" outlineLevel="0" collapsed="false">
      <c r="A874" s="110"/>
      <c r="B874" s="110"/>
      <c r="C874" s="110"/>
      <c r="D874" s="122"/>
      <c r="E874" s="110"/>
      <c r="F874" s="128" t="str">
        <f aca="false">IF(E874="CONTADO", 4%, IF(E874="TARJETA / CHEQUE", 3%, IF(OR(E874="FINANCIADO", E874="MCP"), 2.5%, "")))</f>
        <v/>
      </c>
      <c r="G874" s="122" t="str">
        <f aca="false">IF(F874="", "", F874*D874)</f>
        <v/>
      </c>
      <c r="H874" s="131" t="b">
        <f aca="false">FALSE()</f>
        <v>0</v>
      </c>
      <c r="I874" s="131" t="b">
        <f aca="false">FALSE()</f>
        <v>0</v>
      </c>
      <c r="J874" s="130"/>
      <c r="K874" s="110"/>
      <c r="L874" s="83"/>
      <c r="M874" s="103"/>
      <c r="N874" s="103"/>
      <c r="O874" s="103"/>
      <c r="P874" s="103"/>
      <c r="Q874" s="103"/>
      <c r="R874" s="83"/>
      <c r="S874" s="103"/>
      <c r="T874" s="103"/>
      <c r="U874" s="103"/>
    </row>
    <row r="875" customFormat="false" ht="22.5" hidden="false" customHeight="true" outlineLevel="0" collapsed="false">
      <c r="A875" s="99"/>
      <c r="B875" s="99"/>
      <c r="C875" s="99"/>
      <c r="D875" s="121"/>
      <c r="E875" s="99"/>
      <c r="F875" s="124" t="str">
        <f aca="false">IF(E875="CONTADO", 4%, IF(E875="TARJETA / CHEQUE", 3%, IF(OR(E875="FINANCIADO", E875="MCP"), 2.5%, "")))</f>
        <v/>
      </c>
      <c r="G875" s="121" t="str">
        <f aca="false">IF(F875="", "", F875*D875)</f>
        <v/>
      </c>
      <c r="H875" s="132" t="b">
        <f aca="false">FALSE()</f>
        <v>0</v>
      </c>
      <c r="I875" s="132" t="b">
        <f aca="false">FALSE()</f>
        <v>0</v>
      </c>
      <c r="J875" s="126"/>
      <c r="K875" s="99"/>
      <c r="L875" s="83"/>
      <c r="M875" s="103"/>
      <c r="N875" s="103"/>
      <c r="O875" s="103"/>
      <c r="P875" s="103"/>
      <c r="Q875" s="103"/>
      <c r="R875" s="83"/>
      <c r="S875" s="103"/>
      <c r="T875" s="103"/>
      <c r="U875" s="103"/>
    </row>
    <row r="876" customFormat="false" ht="22.5" hidden="false" customHeight="true" outlineLevel="0" collapsed="false">
      <c r="A876" s="110"/>
      <c r="B876" s="110"/>
      <c r="C876" s="110"/>
      <c r="D876" s="122"/>
      <c r="E876" s="110"/>
      <c r="F876" s="128" t="str">
        <f aca="false">IF(E876="CONTADO", 4%, IF(E876="TARJETA / CHEQUE", 3%, IF(OR(E876="FINANCIADO", E876="MCP"), 2.5%, "")))</f>
        <v/>
      </c>
      <c r="G876" s="122" t="str">
        <f aca="false">IF(F876="", "", F876*D876)</f>
        <v/>
      </c>
      <c r="H876" s="131" t="b">
        <f aca="false">FALSE()</f>
        <v>0</v>
      </c>
      <c r="I876" s="131" t="b">
        <f aca="false">FALSE()</f>
        <v>0</v>
      </c>
      <c r="J876" s="130"/>
      <c r="K876" s="110"/>
      <c r="L876" s="83"/>
      <c r="M876" s="103"/>
      <c r="N876" s="103"/>
      <c r="O876" s="103"/>
      <c r="P876" s="103"/>
      <c r="Q876" s="103"/>
      <c r="R876" s="83"/>
      <c r="S876" s="103"/>
      <c r="T876" s="103"/>
      <c r="U876" s="103"/>
    </row>
    <row r="877" customFormat="false" ht="22.5" hidden="false" customHeight="true" outlineLevel="0" collapsed="false">
      <c r="A877" s="99"/>
      <c r="B877" s="99"/>
      <c r="C877" s="99"/>
      <c r="D877" s="121"/>
      <c r="E877" s="99"/>
      <c r="F877" s="124" t="str">
        <f aca="false">IF(E877="CONTADO", 4%, IF(E877="TARJETA / CHEQUE", 3%, IF(OR(E877="FINANCIADO", E877="MCP"), 2.5%, "")))</f>
        <v/>
      </c>
      <c r="G877" s="121" t="str">
        <f aca="false">IF(F877="", "", F877*D877)</f>
        <v/>
      </c>
      <c r="H877" s="132" t="b">
        <f aca="false">FALSE()</f>
        <v>0</v>
      </c>
      <c r="I877" s="132" t="b">
        <f aca="false">FALSE()</f>
        <v>0</v>
      </c>
      <c r="J877" s="126"/>
      <c r="K877" s="99"/>
      <c r="L877" s="83"/>
      <c r="M877" s="103"/>
      <c r="N877" s="103"/>
      <c r="O877" s="103"/>
      <c r="P877" s="103"/>
      <c r="Q877" s="103"/>
      <c r="R877" s="83"/>
      <c r="S877" s="103"/>
      <c r="T877" s="103"/>
      <c r="U877" s="103"/>
    </row>
    <row r="878" customFormat="false" ht="22.5" hidden="false" customHeight="true" outlineLevel="0" collapsed="false">
      <c r="A878" s="110"/>
      <c r="B878" s="110"/>
      <c r="C878" s="110"/>
      <c r="D878" s="122"/>
      <c r="E878" s="110"/>
      <c r="F878" s="128" t="str">
        <f aca="false">IF(E878="CONTADO", 4%, IF(E878="TARJETA / CHEQUE", 3%, IF(OR(E878="FINANCIADO", E878="MCP"), 2.5%, "")))</f>
        <v/>
      </c>
      <c r="G878" s="122" t="str">
        <f aca="false">IF(F878="", "", F878*D878)</f>
        <v/>
      </c>
      <c r="H878" s="131" t="b">
        <f aca="false">FALSE()</f>
        <v>0</v>
      </c>
      <c r="I878" s="131" t="b">
        <f aca="false">FALSE()</f>
        <v>0</v>
      </c>
      <c r="J878" s="130"/>
      <c r="K878" s="110"/>
      <c r="L878" s="83"/>
      <c r="M878" s="103"/>
      <c r="N878" s="103"/>
      <c r="O878" s="103"/>
      <c r="P878" s="103"/>
      <c r="Q878" s="103"/>
      <c r="R878" s="83"/>
      <c r="S878" s="103"/>
      <c r="T878" s="103"/>
      <c r="U878" s="103"/>
    </row>
    <row r="879" customFormat="false" ht="22.5" hidden="false" customHeight="true" outlineLevel="0" collapsed="false">
      <c r="A879" s="99"/>
      <c r="B879" s="99"/>
      <c r="C879" s="99"/>
      <c r="D879" s="121"/>
      <c r="E879" s="99"/>
      <c r="F879" s="124" t="str">
        <f aca="false">IF(E879="CONTADO", 4%, IF(E879="TARJETA / CHEQUE", 3%, IF(OR(E879="FINANCIADO", E879="MCP"), 2.5%, "")))</f>
        <v/>
      </c>
      <c r="G879" s="121" t="str">
        <f aca="false">IF(F879="", "", F879*D879)</f>
        <v/>
      </c>
      <c r="H879" s="132" t="b">
        <f aca="false">FALSE()</f>
        <v>0</v>
      </c>
      <c r="I879" s="132" t="b">
        <f aca="false">FALSE()</f>
        <v>0</v>
      </c>
      <c r="J879" s="126"/>
      <c r="K879" s="99"/>
      <c r="L879" s="83"/>
      <c r="M879" s="103"/>
      <c r="N879" s="103"/>
      <c r="O879" s="103"/>
      <c r="P879" s="103"/>
      <c r="Q879" s="103"/>
      <c r="R879" s="83"/>
      <c r="S879" s="103"/>
      <c r="T879" s="103"/>
      <c r="U879" s="103"/>
    </row>
    <row r="880" customFormat="false" ht="22.5" hidden="false" customHeight="true" outlineLevel="0" collapsed="false">
      <c r="A880" s="110"/>
      <c r="B880" s="110"/>
      <c r="C880" s="110"/>
      <c r="D880" s="122"/>
      <c r="E880" s="110"/>
      <c r="F880" s="128" t="str">
        <f aca="false">IF(E880="CONTADO", 4%, IF(E880="TARJETA / CHEQUE", 3%, IF(OR(E880="FINANCIADO", E880="MCP"), 2.5%, "")))</f>
        <v/>
      </c>
      <c r="G880" s="122" t="str">
        <f aca="false">IF(F880="", "", F880*D880)</f>
        <v/>
      </c>
      <c r="H880" s="131" t="b">
        <f aca="false">FALSE()</f>
        <v>0</v>
      </c>
      <c r="I880" s="131" t="b">
        <f aca="false">FALSE()</f>
        <v>0</v>
      </c>
      <c r="J880" s="130"/>
      <c r="K880" s="110"/>
      <c r="L880" s="83"/>
      <c r="M880" s="103"/>
      <c r="N880" s="103"/>
      <c r="O880" s="103"/>
      <c r="P880" s="103"/>
      <c r="Q880" s="103"/>
      <c r="R880" s="83"/>
      <c r="S880" s="103"/>
      <c r="T880" s="103"/>
      <c r="U880" s="103"/>
    </row>
    <row r="881" customFormat="false" ht="22.5" hidden="false" customHeight="true" outlineLevel="0" collapsed="false">
      <c r="A881" s="99"/>
      <c r="B881" s="99"/>
      <c r="C881" s="99"/>
      <c r="D881" s="121"/>
      <c r="E881" s="99"/>
      <c r="F881" s="124" t="str">
        <f aca="false">IF(E881="CONTADO", 4%, IF(E881="TARJETA / CHEQUE", 3%, IF(OR(E881="FINANCIADO", E881="MCP"), 2.5%, "")))</f>
        <v/>
      </c>
      <c r="G881" s="121" t="str">
        <f aca="false">IF(F881="", "", F881*D881)</f>
        <v/>
      </c>
      <c r="H881" s="132" t="b">
        <f aca="false">FALSE()</f>
        <v>0</v>
      </c>
      <c r="I881" s="132" t="b">
        <f aca="false">FALSE()</f>
        <v>0</v>
      </c>
      <c r="J881" s="126"/>
      <c r="K881" s="99"/>
      <c r="L881" s="83"/>
      <c r="M881" s="103"/>
      <c r="N881" s="103"/>
      <c r="O881" s="103"/>
      <c r="P881" s="103"/>
      <c r="Q881" s="103"/>
      <c r="R881" s="83"/>
      <c r="S881" s="103"/>
      <c r="T881" s="103"/>
      <c r="U881" s="103"/>
    </row>
    <row r="882" customFormat="false" ht="22.5" hidden="false" customHeight="true" outlineLevel="0" collapsed="false">
      <c r="A882" s="110"/>
      <c r="B882" s="110"/>
      <c r="C882" s="110"/>
      <c r="D882" s="122"/>
      <c r="E882" s="110"/>
      <c r="F882" s="128" t="str">
        <f aca="false">IF(E882="CONTADO", 4%, IF(E882="TARJETA / CHEQUE", 3%, IF(OR(E882="FINANCIADO", E882="MCP"), 2.5%, "")))</f>
        <v/>
      </c>
      <c r="G882" s="122" t="str">
        <f aca="false">IF(F882="", "", F882*D882)</f>
        <v/>
      </c>
      <c r="H882" s="131" t="b">
        <f aca="false">FALSE()</f>
        <v>0</v>
      </c>
      <c r="I882" s="131" t="b">
        <f aca="false">FALSE()</f>
        <v>0</v>
      </c>
      <c r="J882" s="130"/>
      <c r="K882" s="110"/>
      <c r="L882" s="83"/>
      <c r="M882" s="103"/>
      <c r="N882" s="103"/>
      <c r="O882" s="103"/>
      <c r="P882" s="103"/>
      <c r="Q882" s="103"/>
      <c r="R882" s="83"/>
      <c r="S882" s="103"/>
      <c r="T882" s="103"/>
      <c r="U882" s="103"/>
    </row>
    <row r="883" customFormat="false" ht="22.5" hidden="false" customHeight="true" outlineLevel="0" collapsed="false">
      <c r="A883" s="99"/>
      <c r="B883" s="99"/>
      <c r="C883" s="99"/>
      <c r="D883" s="121"/>
      <c r="E883" s="99"/>
      <c r="F883" s="124" t="str">
        <f aca="false">IF(E883="CONTADO", 4%, IF(E883="TARJETA / CHEQUE", 3%, IF(OR(E883="FINANCIADO", E883="MCP"), 2.5%, "")))</f>
        <v/>
      </c>
      <c r="G883" s="121" t="str">
        <f aca="false">IF(F883="", "", F883*D883)</f>
        <v/>
      </c>
      <c r="H883" s="132" t="b">
        <f aca="false">FALSE()</f>
        <v>0</v>
      </c>
      <c r="I883" s="132" t="b">
        <f aca="false">FALSE()</f>
        <v>0</v>
      </c>
      <c r="J883" s="126"/>
      <c r="K883" s="99"/>
      <c r="L883" s="83"/>
      <c r="M883" s="103"/>
      <c r="N883" s="103"/>
      <c r="O883" s="103"/>
      <c r="P883" s="103"/>
      <c r="Q883" s="103"/>
      <c r="R883" s="83"/>
      <c r="S883" s="103"/>
      <c r="T883" s="103"/>
      <c r="U883" s="103"/>
    </row>
    <row r="884" customFormat="false" ht="22.5" hidden="false" customHeight="true" outlineLevel="0" collapsed="false">
      <c r="A884" s="110"/>
      <c r="B884" s="110"/>
      <c r="C884" s="110"/>
      <c r="D884" s="122"/>
      <c r="E884" s="110"/>
      <c r="F884" s="128" t="str">
        <f aca="false">IF(E884="CONTADO", 4%, IF(E884="TARJETA / CHEQUE", 3%, IF(OR(E884="FINANCIADO", E884="MCP"), 2.5%, "")))</f>
        <v/>
      </c>
      <c r="G884" s="122" t="str">
        <f aca="false">IF(F884="", "", F884*D884)</f>
        <v/>
      </c>
      <c r="H884" s="131" t="b">
        <f aca="false">FALSE()</f>
        <v>0</v>
      </c>
      <c r="I884" s="131" t="b">
        <f aca="false">FALSE()</f>
        <v>0</v>
      </c>
      <c r="J884" s="130"/>
      <c r="K884" s="110"/>
      <c r="L884" s="83"/>
      <c r="M884" s="103"/>
      <c r="N884" s="103"/>
      <c r="O884" s="103"/>
      <c r="P884" s="103"/>
      <c r="Q884" s="103"/>
      <c r="R884" s="83"/>
      <c r="S884" s="103"/>
      <c r="T884" s="103"/>
      <c r="U884" s="103"/>
    </row>
    <row r="885" customFormat="false" ht="22.5" hidden="false" customHeight="true" outlineLevel="0" collapsed="false">
      <c r="A885" s="99"/>
      <c r="B885" s="99"/>
      <c r="C885" s="99"/>
      <c r="D885" s="121"/>
      <c r="E885" s="99"/>
      <c r="F885" s="124" t="str">
        <f aca="false">IF(E885="CONTADO", 4%, IF(E885="TARJETA / CHEQUE", 3%, IF(OR(E885="FINANCIADO", E885="MCP"), 2.5%, "")))</f>
        <v/>
      </c>
      <c r="G885" s="121" t="str">
        <f aca="false">IF(F885="", "", F885*D885)</f>
        <v/>
      </c>
      <c r="H885" s="132" t="b">
        <f aca="false">FALSE()</f>
        <v>0</v>
      </c>
      <c r="I885" s="132" t="b">
        <f aca="false">FALSE()</f>
        <v>0</v>
      </c>
      <c r="J885" s="126"/>
      <c r="K885" s="99"/>
      <c r="L885" s="83"/>
      <c r="M885" s="103"/>
      <c r="N885" s="103"/>
      <c r="O885" s="103"/>
      <c r="P885" s="103"/>
      <c r="Q885" s="103"/>
      <c r="R885" s="83"/>
      <c r="S885" s="103"/>
      <c r="T885" s="103"/>
      <c r="U885" s="103"/>
    </row>
    <row r="886" customFormat="false" ht="22.5" hidden="false" customHeight="true" outlineLevel="0" collapsed="false">
      <c r="A886" s="110"/>
      <c r="B886" s="110"/>
      <c r="C886" s="110"/>
      <c r="D886" s="122"/>
      <c r="E886" s="110"/>
      <c r="F886" s="128" t="str">
        <f aca="false">IF(E886="CONTADO", 4%, IF(E886="TARJETA / CHEQUE", 3%, IF(OR(E886="FINANCIADO", E886="MCP"), 2.5%, "")))</f>
        <v/>
      </c>
      <c r="G886" s="122" t="str">
        <f aca="false">IF(F886="", "", F886*D886)</f>
        <v/>
      </c>
      <c r="H886" s="131" t="b">
        <f aca="false">FALSE()</f>
        <v>0</v>
      </c>
      <c r="I886" s="131" t="b">
        <f aca="false">FALSE()</f>
        <v>0</v>
      </c>
      <c r="J886" s="130"/>
      <c r="K886" s="110"/>
      <c r="L886" s="83"/>
      <c r="M886" s="103"/>
      <c r="N886" s="103"/>
      <c r="O886" s="103"/>
      <c r="P886" s="103"/>
      <c r="Q886" s="103"/>
      <c r="R886" s="83"/>
      <c r="S886" s="103"/>
      <c r="T886" s="103"/>
      <c r="U886" s="103"/>
    </row>
    <row r="887" customFormat="false" ht="22.5" hidden="false" customHeight="true" outlineLevel="0" collapsed="false">
      <c r="A887" s="99"/>
      <c r="B887" s="99"/>
      <c r="C887" s="99"/>
      <c r="D887" s="121"/>
      <c r="E887" s="99"/>
      <c r="F887" s="124" t="str">
        <f aca="false">IF(E887="CONTADO", 4%, IF(E887="TARJETA / CHEQUE", 3%, IF(OR(E887="FINANCIADO", E887="MCP"), 2.5%, "")))</f>
        <v/>
      </c>
      <c r="G887" s="121" t="str">
        <f aca="false">IF(F887="", "", F887*D887)</f>
        <v/>
      </c>
      <c r="H887" s="132" t="b">
        <f aca="false">FALSE()</f>
        <v>0</v>
      </c>
      <c r="I887" s="132" t="b">
        <f aca="false">FALSE()</f>
        <v>0</v>
      </c>
      <c r="J887" s="126"/>
      <c r="K887" s="99"/>
      <c r="L887" s="83"/>
      <c r="M887" s="103"/>
      <c r="N887" s="103"/>
      <c r="O887" s="103"/>
      <c r="P887" s="103"/>
      <c r="Q887" s="103"/>
      <c r="R887" s="83"/>
      <c r="S887" s="103"/>
      <c r="T887" s="103"/>
      <c r="U887" s="103"/>
    </row>
    <row r="888" customFormat="false" ht="22.5" hidden="false" customHeight="true" outlineLevel="0" collapsed="false">
      <c r="A888" s="110"/>
      <c r="B888" s="110"/>
      <c r="C888" s="110"/>
      <c r="D888" s="122"/>
      <c r="E888" s="110"/>
      <c r="F888" s="128" t="str">
        <f aca="false">IF(E888="CONTADO", 4%, IF(E888="TARJETA / CHEQUE", 3%, IF(OR(E888="FINANCIADO", E888="MCP"), 2.5%, "")))</f>
        <v/>
      </c>
      <c r="G888" s="122" t="str">
        <f aca="false">IF(F888="", "", F888*D888)</f>
        <v/>
      </c>
      <c r="H888" s="131" t="b">
        <f aca="false">FALSE()</f>
        <v>0</v>
      </c>
      <c r="I888" s="131" t="b">
        <f aca="false">FALSE()</f>
        <v>0</v>
      </c>
      <c r="J888" s="130"/>
      <c r="K888" s="110"/>
      <c r="L888" s="83"/>
      <c r="M888" s="103"/>
      <c r="N888" s="103"/>
      <c r="O888" s="103"/>
      <c r="P888" s="103"/>
      <c r="Q888" s="103"/>
      <c r="R888" s="83"/>
      <c r="S888" s="103"/>
      <c r="T888" s="103"/>
      <c r="U888" s="103"/>
    </row>
    <row r="889" customFormat="false" ht="22.5" hidden="false" customHeight="true" outlineLevel="0" collapsed="false">
      <c r="A889" s="99"/>
      <c r="B889" s="99"/>
      <c r="C889" s="99"/>
      <c r="D889" s="121"/>
      <c r="E889" s="99"/>
      <c r="F889" s="124" t="str">
        <f aca="false">IF(E889="CONTADO", 4%, IF(E889="TARJETA / CHEQUE", 3%, IF(OR(E889="FINANCIADO", E889="MCP"), 2.5%, "")))</f>
        <v/>
      </c>
      <c r="G889" s="121" t="str">
        <f aca="false">IF(F889="", "", F889*D889)</f>
        <v/>
      </c>
      <c r="H889" s="132" t="b">
        <f aca="false">FALSE()</f>
        <v>0</v>
      </c>
      <c r="I889" s="132" t="b">
        <f aca="false">FALSE()</f>
        <v>0</v>
      </c>
      <c r="J889" s="126"/>
      <c r="K889" s="99"/>
      <c r="L889" s="83"/>
      <c r="M889" s="103"/>
      <c r="N889" s="103"/>
      <c r="O889" s="103"/>
      <c r="P889" s="103"/>
      <c r="Q889" s="103"/>
      <c r="R889" s="83"/>
      <c r="S889" s="103"/>
      <c r="T889" s="103"/>
      <c r="U889" s="103"/>
    </row>
    <row r="890" customFormat="false" ht="22.5" hidden="false" customHeight="true" outlineLevel="0" collapsed="false">
      <c r="A890" s="110"/>
      <c r="B890" s="110"/>
      <c r="C890" s="110"/>
      <c r="D890" s="122"/>
      <c r="E890" s="110"/>
      <c r="F890" s="128" t="str">
        <f aca="false">IF(E890="CONTADO", 4%, IF(E890="TARJETA / CHEQUE", 3%, IF(OR(E890="FINANCIADO", E890="MCP"), 2.5%, "")))</f>
        <v/>
      </c>
      <c r="G890" s="122" t="str">
        <f aca="false">IF(F890="", "", F890*D890)</f>
        <v/>
      </c>
      <c r="H890" s="131" t="b">
        <f aca="false">FALSE()</f>
        <v>0</v>
      </c>
      <c r="I890" s="131" t="b">
        <f aca="false">FALSE()</f>
        <v>0</v>
      </c>
      <c r="J890" s="130"/>
      <c r="K890" s="110"/>
      <c r="L890" s="83"/>
      <c r="M890" s="103"/>
      <c r="N890" s="103"/>
      <c r="O890" s="103"/>
      <c r="P890" s="103"/>
      <c r="Q890" s="103"/>
      <c r="R890" s="83"/>
      <c r="S890" s="103"/>
      <c r="T890" s="103"/>
      <c r="U890" s="103"/>
    </row>
    <row r="891" customFormat="false" ht="22.5" hidden="false" customHeight="true" outlineLevel="0" collapsed="false">
      <c r="A891" s="99"/>
      <c r="B891" s="99"/>
      <c r="C891" s="99"/>
      <c r="D891" s="121"/>
      <c r="E891" s="99"/>
      <c r="F891" s="124" t="str">
        <f aca="false">IF(E891="CONTADO", 4%, IF(E891="TARJETA / CHEQUE", 3%, IF(OR(E891="FINANCIADO", E891="MCP"), 2.5%, "")))</f>
        <v/>
      </c>
      <c r="G891" s="121" t="str">
        <f aca="false">IF(F891="", "", F891*D891)</f>
        <v/>
      </c>
      <c r="H891" s="132" t="b">
        <f aca="false">FALSE()</f>
        <v>0</v>
      </c>
      <c r="I891" s="132" t="b">
        <f aca="false">FALSE()</f>
        <v>0</v>
      </c>
      <c r="J891" s="126"/>
      <c r="K891" s="99"/>
      <c r="L891" s="83"/>
      <c r="M891" s="103"/>
      <c r="N891" s="103"/>
      <c r="O891" s="103"/>
      <c r="P891" s="103"/>
      <c r="Q891" s="103"/>
      <c r="R891" s="83"/>
      <c r="S891" s="103"/>
      <c r="T891" s="103"/>
      <c r="U891" s="103"/>
    </row>
    <row r="892" customFormat="false" ht="22.5" hidden="false" customHeight="true" outlineLevel="0" collapsed="false">
      <c r="A892" s="110"/>
      <c r="B892" s="110"/>
      <c r="C892" s="110"/>
      <c r="D892" s="122"/>
      <c r="E892" s="110"/>
      <c r="F892" s="128" t="str">
        <f aca="false">IF(E892="CONTADO", 4%, IF(E892="TARJETA / CHEQUE", 3%, IF(OR(E892="FINANCIADO", E892="MCP"), 2.5%, "")))</f>
        <v/>
      </c>
      <c r="G892" s="122" t="str">
        <f aca="false">IF(F892="", "", F892*D892)</f>
        <v/>
      </c>
      <c r="H892" s="131" t="b">
        <f aca="false">FALSE()</f>
        <v>0</v>
      </c>
      <c r="I892" s="131" t="b">
        <f aca="false">FALSE()</f>
        <v>0</v>
      </c>
      <c r="J892" s="130"/>
      <c r="K892" s="110"/>
      <c r="L892" s="83"/>
      <c r="M892" s="103"/>
      <c r="N892" s="103"/>
      <c r="O892" s="103"/>
      <c r="P892" s="103"/>
      <c r="Q892" s="103"/>
      <c r="R892" s="83"/>
      <c r="S892" s="103"/>
      <c r="T892" s="103"/>
      <c r="U892" s="103"/>
    </row>
    <row r="893" customFormat="false" ht="22.5" hidden="false" customHeight="true" outlineLevel="0" collapsed="false">
      <c r="A893" s="99"/>
      <c r="B893" s="99"/>
      <c r="C893" s="99"/>
      <c r="D893" s="121"/>
      <c r="E893" s="99"/>
      <c r="F893" s="124" t="str">
        <f aca="false">IF(E893="CONTADO", 4%, IF(E893="TARJETA / CHEQUE", 3%, IF(OR(E893="FINANCIADO", E893="MCP"), 2.5%, "")))</f>
        <v/>
      </c>
      <c r="G893" s="121" t="str">
        <f aca="false">IF(F893="", "", F893*D893)</f>
        <v/>
      </c>
      <c r="H893" s="132" t="b">
        <f aca="false">FALSE()</f>
        <v>0</v>
      </c>
      <c r="I893" s="132" t="b">
        <f aca="false">FALSE()</f>
        <v>0</v>
      </c>
      <c r="J893" s="126"/>
      <c r="K893" s="99"/>
      <c r="L893" s="83"/>
      <c r="M893" s="103"/>
      <c r="N893" s="103"/>
      <c r="O893" s="103"/>
      <c r="P893" s="103"/>
      <c r="Q893" s="103"/>
      <c r="R893" s="83"/>
      <c r="S893" s="103"/>
      <c r="T893" s="103"/>
      <c r="U893" s="103"/>
    </row>
    <row r="894" customFormat="false" ht="22.5" hidden="false" customHeight="true" outlineLevel="0" collapsed="false">
      <c r="A894" s="110"/>
      <c r="B894" s="110"/>
      <c r="C894" s="110"/>
      <c r="D894" s="122"/>
      <c r="E894" s="110"/>
      <c r="F894" s="128" t="str">
        <f aca="false">IF(E894="CONTADO", 4%, IF(E894="TARJETA / CHEQUE", 3%, IF(OR(E894="FINANCIADO", E894="MCP"), 2.5%, "")))</f>
        <v/>
      </c>
      <c r="G894" s="122" t="str">
        <f aca="false">IF(F894="", "", F894*D894)</f>
        <v/>
      </c>
      <c r="H894" s="131" t="b">
        <f aca="false">FALSE()</f>
        <v>0</v>
      </c>
      <c r="I894" s="131" t="b">
        <f aca="false">FALSE()</f>
        <v>0</v>
      </c>
      <c r="J894" s="130"/>
      <c r="K894" s="110"/>
      <c r="L894" s="83"/>
      <c r="M894" s="103"/>
      <c r="N894" s="103"/>
      <c r="O894" s="103"/>
      <c r="P894" s="103"/>
      <c r="Q894" s="103"/>
      <c r="R894" s="83"/>
      <c r="S894" s="103"/>
      <c r="T894" s="103"/>
      <c r="U894" s="103"/>
    </row>
    <row r="895" customFormat="false" ht="22.5" hidden="false" customHeight="true" outlineLevel="0" collapsed="false">
      <c r="A895" s="99"/>
      <c r="B895" s="99"/>
      <c r="C895" s="99"/>
      <c r="D895" s="121"/>
      <c r="E895" s="99"/>
      <c r="F895" s="124" t="str">
        <f aca="false">IF(E895="CONTADO", 4%, IF(E895="TARJETA / CHEQUE", 3%, IF(OR(E895="FINANCIADO", E895="MCP"), 2.5%, "")))</f>
        <v/>
      </c>
      <c r="G895" s="121" t="str">
        <f aca="false">IF(F895="", "", F895*D895)</f>
        <v/>
      </c>
      <c r="H895" s="132" t="b">
        <f aca="false">FALSE()</f>
        <v>0</v>
      </c>
      <c r="I895" s="132" t="b">
        <f aca="false">FALSE()</f>
        <v>0</v>
      </c>
      <c r="J895" s="126"/>
      <c r="K895" s="99"/>
      <c r="L895" s="83"/>
      <c r="M895" s="103"/>
      <c r="N895" s="103"/>
      <c r="O895" s="103"/>
      <c r="P895" s="103"/>
      <c r="Q895" s="103"/>
      <c r="R895" s="83"/>
      <c r="S895" s="103"/>
      <c r="T895" s="103"/>
      <c r="U895" s="103"/>
    </row>
    <row r="896" customFormat="false" ht="22.5" hidden="false" customHeight="true" outlineLevel="0" collapsed="false">
      <c r="A896" s="110"/>
      <c r="B896" s="110"/>
      <c r="C896" s="110"/>
      <c r="D896" s="122"/>
      <c r="E896" s="110"/>
      <c r="F896" s="128" t="str">
        <f aca="false">IF(E896="CONTADO", 4%, IF(E896="TARJETA / CHEQUE", 3%, IF(OR(E896="FINANCIADO", E896="MCP"), 2.5%, "")))</f>
        <v/>
      </c>
      <c r="G896" s="122" t="str">
        <f aca="false">IF(F896="", "", F896*D896)</f>
        <v/>
      </c>
      <c r="H896" s="131" t="b">
        <f aca="false">FALSE()</f>
        <v>0</v>
      </c>
      <c r="I896" s="131" t="b">
        <f aca="false">FALSE()</f>
        <v>0</v>
      </c>
      <c r="J896" s="130"/>
      <c r="K896" s="110"/>
      <c r="L896" s="83"/>
      <c r="M896" s="103"/>
      <c r="N896" s="103"/>
      <c r="O896" s="103"/>
      <c r="P896" s="103"/>
      <c r="Q896" s="103"/>
      <c r="R896" s="83"/>
      <c r="S896" s="103"/>
      <c r="T896" s="103"/>
      <c r="U896" s="103"/>
    </row>
    <row r="897" customFormat="false" ht="22.5" hidden="false" customHeight="true" outlineLevel="0" collapsed="false">
      <c r="A897" s="99"/>
      <c r="B897" s="99"/>
      <c r="C897" s="99"/>
      <c r="D897" s="121"/>
      <c r="E897" s="99"/>
      <c r="F897" s="124" t="str">
        <f aca="false">IF(E897="CONTADO", 4%, IF(E897="TARJETA / CHEQUE", 3%, IF(OR(E897="FINANCIADO", E897="MCP"), 2.5%, "")))</f>
        <v/>
      </c>
      <c r="G897" s="121" t="str">
        <f aca="false">IF(F897="", "", F897*D897)</f>
        <v/>
      </c>
      <c r="H897" s="132" t="b">
        <f aca="false">FALSE()</f>
        <v>0</v>
      </c>
      <c r="I897" s="132" t="b">
        <f aca="false">FALSE()</f>
        <v>0</v>
      </c>
      <c r="J897" s="126"/>
      <c r="K897" s="99"/>
      <c r="L897" s="83"/>
      <c r="M897" s="103"/>
      <c r="N897" s="103"/>
      <c r="O897" s="103"/>
      <c r="P897" s="103"/>
      <c r="Q897" s="103"/>
      <c r="R897" s="83"/>
      <c r="S897" s="103"/>
      <c r="T897" s="103"/>
      <c r="U897" s="103"/>
    </row>
    <row r="898" customFormat="false" ht="22.5" hidden="false" customHeight="true" outlineLevel="0" collapsed="false">
      <c r="A898" s="110"/>
      <c r="B898" s="110"/>
      <c r="C898" s="110"/>
      <c r="D898" s="122"/>
      <c r="E898" s="110"/>
      <c r="F898" s="128" t="str">
        <f aca="false">IF(E898="CONTADO", 4%, IF(E898="TARJETA / CHEQUE", 3%, IF(OR(E898="FINANCIADO", E898="MCP"), 2.5%, "")))</f>
        <v/>
      </c>
      <c r="G898" s="122" t="str">
        <f aca="false">IF(F898="", "", F898*D898)</f>
        <v/>
      </c>
      <c r="H898" s="131" t="b">
        <f aca="false">FALSE()</f>
        <v>0</v>
      </c>
      <c r="I898" s="131" t="b">
        <f aca="false">FALSE()</f>
        <v>0</v>
      </c>
      <c r="J898" s="130"/>
      <c r="K898" s="110"/>
      <c r="L898" s="83"/>
      <c r="M898" s="103"/>
      <c r="N898" s="103"/>
      <c r="O898" s="103"/>
      <c r="P898" s="103"/>
      <c r="Q898" s="103"/>
      <c r="R898" s="83"/>
      <c r="S898" s="103"/>
      <c r="T898" s="103"/>
      <c r="U898" s="103"/>
    </row>
    <row r="899" customFormat="false" ht="22.5" hidden="false" customHeight="true" outlineLevel="0" collapsed="false">
      <c r="A899" s="99"/>
      <c r="B899" s="99"/>
      <c r="C899" s="99"/>
      <c r="D899" s="121"/>
      <c r="E899" s="99"/>
      <c r="F899" s="124" t="str">
        <f aca="false">IF(E899="CONTADO", 4%, IF(E899="TARJETA / CHEQUE", 3%, IF(OR(E899="FINANCIADO", E899="MCP"), 2.5%, "")))</f>
        <v/>
      </c>
      <c r="G899" s="121" t="str">
        <f aca="false">IF(F899="", "", F899*D899)</f>
        <v/>
      </c>
      <c r="H899" s="132" t="b">
        <f aca="false">FALSE()</f>
        <v>0</v>
      </c>
      <c r="I899" s="132" t="b">
        <f aca="false">FALSE()</f>
        <v>0</v>
      </c>
      <c r="J899" s="126"/>
      <c r="K899" s="99"/>
      <c r="L899" s="83"/>
      <c r="M899" s="103"/>
      <c r="N899" s="103"/>
      <c r="O899" s="103"/>
      <c r="P899" s="103"/>
      <c r="Q899" s="103"/>
      <c r="R899" s="83"/>
      <c r="S899" s="103"/>
      <c r="T899" s="103"/>
      <c r="U899" s="103"/>
    </row>
    <row r="900" customFormat="false" ht="22.5" hidden="false" customHeight="true" outlineLevel="0" collapsed="false">
      <c r="A900" s="110"/>
      <c r="B900" s="110"/>
      <c r="C900" s="110"/>
      <c r="D900" s="122"/>
      <c r="E900" s="110"/>
      <c r="F900" s="128" t="str">
        <f aca="false">IF(E900="CONTADO", 4%, IF(E900="TARJETA / CHEQUE", 3%, IF(OR(E900="FINANCIADO", E900="MCP"), 2.5%, "")))</f>
        <v/>
      </c>
      <c r="G900" s="122" t="str">
        <f aca="false">IF(F900="", "", F900*D900)</f>
        <v/>
      </c>
      <c r="H900" s="131" t="b">
        <f aca="false">FALSE()</f>
        <v>0</v>
      </c>
      <c r="I900" s="131" t="b">
        <f aca="false">FALSE()</f>
        <v>0</v>
      </c>
      <c r="J900" s="130"/>
      <c r="K900" s="110"/>
      <c r="L900" s="83"/>
      <c r="M900" s="103"/>
      <c r="N900" s="103"/>
      <c r="O900" s="103"/>
      <c r="P900" s="103"/>
      <c r="Q900" s="103"/>
      <c r="R900" s="83"/>
      <c r="S900" s="103"/>
      <c r="T900" s="103"/>
      <c r="U900" s="103"/>
    </row>
    <row r="901" customFormat="false" ht="22.5" hidden="false" customHeight="true" outlineLevel="0" collapsed="false">
      <c r="A901" s="99"/>
      <c r="B901" s="99"/>
      <c r="C901" s="99"/>
      <c r="D901" s="121"/>
      <c r="E901" s="99"/>
      <c r="F901" s="124" t="str">
        <f aca="false">IF(E901="CONTADO", 4%, IF(E901="TARJETA / CHEQUE", 3%, IF(OR(E901="FINANCIADO", E901="MCP"), 2.5%, "")))</f>
        <v/>
      </c>
      <c r="G901" s="121" t="str">
        <f aca="false">IF(F901="", "", F901*D901)</f>
        <v/>
      </c>
      <c r="H901" s="132" t="b">
        <f aca="false">FALSE()</f>
        <v>0</v>
      </c>
      <c r="I901" s="132" t="b">
        <f aca="false">FALSE()</f>
        <v>0</v>
      </c>
      <c r="J901" s="126"/>
      <c r="K901" s="99"/>
      <c r="L901" s="83"/>
      <c r="M901" s="103"/>
      <c r="N901" s="103"/>
      <c r="O901" s="103"/>
      <c r="P901" s="103"/>
      <c r="Q901" s="103"/>
      <c r="R901" s="83"/>
      <c r="S901" s="103"/>
      <c r="T901" s="103"/>
      <c r="U901" s="103"/>
    </row>
    <row r="902" customFormat="false" ht="22.5" hidden="false" customHeight="true" outlineLevel="0" collapsed="false">
      <c r="A902" s="110"/>
      <c r="B902" s="110"/>
      <c r="C902" s="110"/>
      <c r="D902" s="122"/>
      <c r="E902" s="110"/>
      <c r="F902" s="128" t="str">
        <f aca="false">IF(E902="CONTADO", 4%, IF(E902="TARJETA / CHEQUE", 3%, IF(OR(E902="FINANCIADO", E902="MCP"), 2.5%, "")))</f>
        <v/>
      </c>
      <c r="G902" s="122" t="str">
        <f aca="false">IF(F902="", "", F902*D902)</f>
        <v/>
      </c>
      <c r="H902" s="131" t="b">
        <f aca="false">FALSE()</f>
        <v>0</v>
      </c>
      <c r="I902" s="131" t="b">
        <f aca="false">FALSE()</f>
        <v>0</v>
      </c>
      <c r="J902" s="130"/>
      <c r="K902" s="110"/>
      <c r="L902" s="83"/>
      <c r="M902" s="103"/>
      <c r="N902" s="103"/>
      <c r="O902" s="103"/>
      <c r="P902" s="103"/>
      <c r="Q902" s="103"/>
      <c r="R902" s="83"/>
      <c r="S902" s="103"/>
      <c r="T902" s="103"/>
      <c r="U902" s="103"/>
    </row>
    <row r="903" customFormat="false" ht="22.5" hidden="false" customHeight="true" outlineLevel="0" collapsed="false">
      <c r="A903" s="99"/>
      <c r="B903" s="99"/>
      <c r="C903" s="99"/>
      <c r="D903" s="121"/>
      <c r="E903" s="99"/>
      <c r="F903" s="124" t="str">
        <f aca="false">IF(E903="CONTADO", 4%, IF(E903="TARJETA / CHEQUE", 3%, IF(OR(E903="FINANCIADO", E903="MCP"), 2.5%, "")))</f>
        <v/>
      </c>
      <c r="G903" s="121" t="str">
        <f aca="false">IF(F903="", "", F903*D903)</f>
        <v/>
      </c>
      <c r="H903" s="132" t="b">
        <f aca="false">FALSE()</f>
        <v>0</v>
      </c>
      <c r="I903" s="132" t="b">
        <f aca="false">FALSE()</f>
        <v>0</v>
      </c>
      <c r="J903" s="126"/>
      <c r="K903" s="99"/>
      <c r="L903" s="83"/>
      <c r="M903" s="103"/>
      <c r="N903" s="103"/>
      <c r="O903" s="103"/>
      <c r="P903" s="103"/>
      <c r="Q903" s="103"/>
      <c r="R903" s="83"/>
      <c r="S903" s="103"/>
      <c r="T903" s="103"/>
      <c r="U903" s="103"/>
    </row>
    <row r="904" customFormat="false" ht="22.5" hidden="false" customHeight="true" outlineLevel="0" collapsed="false">
      <c r="A904" s="110"/>
      <c r="B904" s="110"/>
      <c r="C904" s="110"/>
      <c r="D904" s="122"/>
      <c r="E904" s="110"/>
      <c r="F904" s="128" t="str">
        <f aca="false">IF(E904="CONTADO", 4%, IF(E904="TARJETA / CHEQUE", 3%, IF(OR(E904="FINANCIADO", E904="MCP"), 2.5%, "")))</f>
        <v/>
      </c>
      <c r="G904" s="122" t="str">
        <f aca="false">IF(F904="", "", F904*D904)</f>
        <v/>
      </c>
      <c r="H904" s="131" t="b">
        <f aca="false">FALSE()</f>
        <v>0</v>
      </c>
      <c r="I904" s="131" t="b">
        <f aca="false">FALSE()</f>
        <v>0</v>
      </c>
      <c r="J904" s="130"/>
      <c r="K904" s="110"/>
      <c r="L904" s="83"/>
      <c r="M904" s="103"/>
      <c r="N904" s="103"/>
      <c r="O904" s="103"/>
      <c r="P904" s="103"/>
      <c r="Q904" s="103"/>
      <c r="R904" s="83"/>
      <c r="S904" s="103"/>
      <c r="T904" s="103"/>
      <c r="U904" s="103"/>
    </row>
    <row r="905" customFormat="false" ht="22.5" hidden="false" customHeight="true" outlineLevel="0" collapsed="false">
      <c r="A905" s="99"/>
      <c r="B905" s="99"/>
      <c r="C905" s="99"/>
      <c r="D905" s="121"/>
      <c r="E905" s="99"/>
      <c r="F905" s="124" t="str">
        <f aca="false">IF(E905="CONTADO", 4%, IF(E905="TARJETA / CHEQUE", 3%, IF(OR(E905="FINANCIADO", E905="MCP"), 2.5%, "")))</f>
        <v/>
      </c>
      <c r="G905" s="121" t="str">
        <f aca="false">IF(F905="", "", F905*D905)</f>
        <v/>
      </c>
      <c r="H905" s="132" t="b">
        <f aca="false">FALSE()</f>
        <v>0</v>
      </c>
      <c r="I905" s="132" t="b">
        <f aca="false">FALSE()</f>
        <v>0</v>
      </c>
      <c r="J905" s="126"/>
      <c r="K905" s="99"/>
      <c r="L905" s="83"/>
      <c r="M905" s="103"/>
      <c r="N905" s="103"/>
      <c r="O905" s="103"/>
      <c r="P905" s="103"/>
      <c r="Q905" s="103"/>
      <c r="R905" s="83"/>
      <c r="S905" s="103"/>
      <c r="T905" s="103"/>
      <c r="U905" s="103"/>
    </row>
    <row r="906" customFormat="false" ht="22.5" hidden="false" customHeight="true" outlineLevel="0" collapsed="false">
      <c r="A906" s="110"/>
      <c r="B906" s="110"/>
      <c r="C906" s="110"/>
      <c r="D906" s="122"/>
      <c r="E906" s="110"/>
      <c r="F906" s="128" t="str">
        <f aca="false">IF(E906="CONTADO", 4%, IF(E906="TARJETA / CHEQUE", 3%, IF(OR(E906="FINANCIADO", E906="MCP"), 2.5%, "")))</f>
        <v/>
      </c>
      <c r="G906" s="122" t="str">
        <f aca="false">IF(F906="", "", F906*D906)</f>
        <v/>
      </c>
      <c r="H906" s="131" t="b">
        <f aca="false">FALSE()</f>
        <v>0</v>
      </c>
      <c r="I906" s="131" t="b">
        <f aca="false">FALSE()</f>
        <v>0</v>
      </c>
      <c r="J906" s="130"/>
      <c r="K906" s="110"/>
      <c r="L906" s="83"/>
      <c r="M906" s="103"/>
      <c r="N906" s="103"/>
      <c r="O906" s="103"/>
      <c r="P906" s="103"/>
      <c r="Q906" s="103"/>
      <c r="R906" s="83"/>
      <c r="S906" s="103"/>
      <c r="T906" s="103"/>
      <c r="U906" s="103"/>
    </row>
    <row r="907" customFormat="false" ht="22.5" hidden="false" customHeight="true" outlineLevel="0" collapsed="false">
      <c r="A907" s="99"/>
      <c r="B907" s="99"/>
      <c r="C907" s="99"/>
      <c r="D907" s="121"/>
      <c r="E907" s="99"/>
      <c r="F907" s="124" t="str">
        <f aca="false">IF(E907="CONTADO", 4%, IF(E907="TARJETA / CHEQUE", 3%, IF(OR(E907="FINANCIADO", E907="MCP"), 2.5%, "")))</f>
        <v/>
      </c>
      <c r="G907" s="121" t="str">
        <f aca="false">IF(F907="", "", F907*D907)</f>
        <v/>
      </c>
      <c r="H907" s="132" t="b">
        <f aca="false">FALSE()</f>
        <v>0</v>
      </c>
      <c r="I907" s="132" t="b">
        <f aca="false">FALSE()</f>
        <v>0</v>
      </c>
      <c r="J907" s="126"/>
      <c r="K907" s="99"/>
      <c r="L907" s="83"/>
      <c r="M907" s="103"/>
      <c r="N907" s="103"/>
      <c r="O907" s="103"/>
      <c r="P907" s="103"/>
      <c r="Q907" s="103"/>
      <c r="R907" s="83"/>
      <c r="S907" s="103"/>
      <c r="T907" s="103"/>
      <c r="U907" s="103"/>
    </row>
    <row r="908" customFormat="false" ht="22.5" hidden="false" customHeight="true" outlineLevel="0" collapsed="false">
      <c r="A908" s="110"/>
      <c r="B908" s="110"/>
      <c r="C908" s="110"/>
      <c r="D908" s="122"/>
      <c r="E908" s="110"/>
      <c r="F908" s="128" t="str">
        <f aca="false">IF(E908="CONTADO", 4%, IF(E908="TARJETA / CHEQUE", 3%, IF(OR(E908="FINANCIADO", E908="MCP"), 2.5%, "")))</f>
        <v/>
      </c>
      <c r="G908" s="122" t="str">
        <f aca="false">IF(F908="", "", F908*D908)</f>
        <v/>
      </c>
      <c r="H908" s="131" t="b">
        <f aca="false">FALSE()</f>
        <v>0</v>
      </c>
      <c r="I908" s="131" t="b">
        <f aca="false">FALSE()</f>
        <v>0</v>
      </c>
      <c r="J908" s="130"/>
      <c r="K908" s="110"/>
      <c r="L908" s="83"/>
      <c r="M908" s="103"/>
      <c r="N908" s="103"/>
      <c r="O908" s="103"/>
      <c r="P908" s="103"/>
      <c r="Q908" s="103"/>
      <c r="R908" s="83"/>
      <c r="S908" s="103"/>
      <c r="T908" s="103"/>
      <c r="U908" s="103"/>
    </row>
    <row r="909" customFormat="false" ht="22.5" hidden="false" customHeight="true" outlineLevel="0" collapsed="false">
      <c r="A909" s="99"/>
      <c r="B909" s="99"/>
      <c r="C909" s="99"/>
      <c r="D909" s="121"/>
      <c r="E909" s="99"/>
      <c r="F909" s="124" t="str">
        <f aca="false">IF(E909="CONTADO", 4%, IF(E909="TARJETA / CHEQUE", 3%, IF(OR(E909="FINANCIADO", E909="MCP"), 2.5%, "")))</f>
        <v/>
      </c>
      <c r="G909" s="121" t="str">
        <f aca="false">IF(F909="", "", F909*D909)</f>
        <v/>
      </c>
      <c r="H909" s="132" t="b">
        <f aca="false">FALSE()</f>
        <v>0</v>
      </c>
      <c r="I909" s="132" t="b">
        <f aca="false">FALSE()</f>
        <v>0</v>
      </c>
      <c r="J909" s="126"/>
      <c r="K909" s="99"/>
      <c r="L909" s="83"/>
      <c r="M909" s="103"/>
      <c r="N909" s="103"/>
      <c r="O909" s="103"/>
      <c r="P909" s="103"/>
      <c r="Q909" s="103"/>
      <c r="R909" s="83"/>
      <c r="S909" s="103"/>
      <c r="T909" s="103"/>
      <c r="U909" s="103"/>
    </row>
    <row r="910" customFormat="false" ht="22.5" hidden="false" customHeight="true" outlineLevel="0" collapsed="false">
      <c r="A910" s="110"/>
      <c r="B910" s="110"/>
      <c r="C910" s="110"/>
      <c r="D910" s="122"/>
      <c r="E910" s="110"/>
      <c r="F910" s="128" t="str">
        <f aca="false">IF(E910="CONTADO", 4%, IF(E910="TARJETA / CHEQUE", 3%, IF(OR(E910="FINANCIADO", E910="MCP"), 2.5%, "")))</f>
        <v/>
      </c>
      <c r="G910" s="122" t="str">
        <f aca="false">IF(F910="", "", F910*D910)</f>
        <v/>
      </c>
      <c r="H910" s="131" t="b">
        <f aca="false">FALSE()</f>
        <v>0</v>
      </c>
      <c r="I910" s="131" t="b">
        <f aca="false">FALSE()</f>
        <v>0</v>
      </c>
      <c r="J910" s="130"/>
      <c r="K910" s="110"/>
      <c r="L910" s="83"/>
      <c r="M910" s="103"/>
      <c r="N910" s="103"/>
      <c r="O910" s="103"/>
      <c r="P910" s="103"/>
      <c r="Q910" s="103"/>
      <c r="R910" s="83"/>
      <c r="S910" s="103"/>
      <c r="T910" s="103"/>
      <c r="U910" s="103"/>
    </row>
    <row r="911" customFormat="false" ht="22.5" hidden="false" customHeight="true" outlineLevel="0" collapsed="false">
      <c r="A911" s="99"/>
      <c r="B911" s="99"/>
      <c r="C911" s="99"/>
      <c r="D911" s="121"/>
      <c r="E911" s="99"/>
      <c r="F911" s="124" t="str">
        <f aca="false">IF(E911="CONTADO", 4%, IF(E911="TARJETA / CHEQUE", 3%, IF(OR(E911="FINANCIADO", E911="MCP"), 2.5%, "")))</f>
        <v/>
      </c>
      <c r="G911" s="121" t="str">
        <f aca="false">IF(F911="", "", F911*D911)</f>
        <v/>
      </c>
      <c r="H911" s="132" t="b">
        <f aca="false">FALSE()</f>
        <v>0</v>
      </c>
      <c r="I911" s="132" t="b">
        <f aca="false">FALSE()</f>
        <v>0</v>
      </c>
      <c r="J911" s="126"/>
      <c r="K911" s="99"/>
      <c r="L911" s="83"/>
      <c r="M911" s="103"/>
      <c r="N911" s="103"/>
      <c r="O911" s="103"/>
      <c r="P911" s="103"/>
      <c r="Q911" s="103"/>
      <c r="R911" s="83"/>
      <c r="S911" s="103"/>
      <c r="T911" s="103"/>
      <c r="U911" s="103"/>
    </row>
    <row r="912" customFormat="false" ht="22.5" hidden="false" customHeight="true" outlineLevel="0" collapsed="false">
      <c r="A912" s="110"/>
      <c r="B912" s="110"/>
      <c r="C912" s="110"/>
      <c r="D912" s="122"/>
      <c r="E912" s="110"/>
      <c r="F912" s="128" t="str">
        <f aca="false">IF(E912="CONTADO", 4%, IF(E912="TARJETA / CHEQUE", 3%, IF(OR(E912="FINANCIADO", E912="MCP"), 2.5%, "")))</f>
        <v/>
      </c>
      <c r="G912" s="122" t="str">
        <f aca="false">IF(F912="", "", F912*D912)</f>
        <v/>
      </c>
      <c r="H912" s="131" t="b">
        <f aca="false">FALSE()</f>
        <v>0</v>
      </c>
      <c r="I912" s="131" t="b">
        <f aca="false">FALSE()</f>
        <v>0</v>
      </c>
      <c r="J912" s="130"/>
      <c r="K912" s="110"/>
      <c r="L912" s="83"/>
      <c r="M912" s="103"/>
      <c r="N912" s="103"/>
      <c r="O912" s="103"/>
      <c r="P912" s="103"/>
      <c r="Q912" s="103"/>
      <c r="R912" s="83"/>
      <c r="S912" s="103"/>
      <c r="T912" s="103"/>
      <c r="U912" s="103"/>
    </row>
    <row r="913" customFormat="false" ht="22.5" hidden="false" customHeight="true" outlineLevel="0" collapsed="false">
      <c r="A913" s="99"/>
      <c r="B913" s="99"/>
      <c r="C913" s="99"/>
      <c r="D913" s="121"/>
      <c r="E913" s="99"/>
      <c r="F913" s="124" t="str">
        <f aca="false">IF(E913="CONTADO", 4%, IF(E913="TARJETA / CHEQUE", 3%, IF(OR(E913="FINANCIADO", E913="MCP"), 2.5%, "")))</f>
        <v/>
      </c>
      <c r="G913" s="121" t="str">
        <f aca="false">IF(F913="", "", F913*D913)</f>
        <v/>
      </c>
      <c r="H913" s="132" t="b">
        <f aca="false">FALSE()</f>
        <v>0</v>
      </c>
      <c r="I913" s="132" t="b">
        <f aca="false">FALSE()</f>
        <v>0</v>
      </c>
      <c r="J913" s="126"/>
      <c r="K913" s="99"/>
      <c r="L913" s="83"/>
      <c r="M913" s="103"/>
      <c r="N913" s="103"/>
      <c r="O913" s="103"/>
      <c r="P913" s="103"/>
      <c r="Q913" s="103"/>
      <c r="R913" s="83"/>
      <c r="S913" s="103"/>
      <c r="T913" s="103"/>
      <c r="U913" s="103"/>
    </row>
    <row r="914" customFormat="false" ht="22.5" hidden="false" customHeight="true" outlineLevel="0" collapsed="false">
      <c r="A914" s="110"/>
      <c r="B914" s="110"/>
      <c r="C914" s="110"/>
      <c r="D914" s="122"/>
      <c r="E914" s="110"/>
      <c r="F914" s="128" t="str">
        <f aca="false">IF(E914="CONTADO", 4%, IF(E914="TARJETA / CHEQUE", 3%, IF(OR(E914="FINANCIADO", E914="MCP"), 2.5%, "")))</f>
        <v/>
      </c>
      <c r="G914" s="122" t="str">
        <f aca="false">IF(F914="", "", F914*D914)</f>
        <v/>
      </c>
      <c r="H914" s="131" t="b">
        <f aca="false">FALSE()</f>
        <v>0</v>
      </c>
      <c r="I914" s="131" t="b">
        <f aca="false">FALSE()</f>
        <v>0</v>
      </c>
      <c r="J914" s="130"/>
      <c r="K914" s="110"/>
      <c r="L914" s="83"/>
      <c r="M914" s="103"/>
      <c r="N914" s="103"/>
      <c r="O914" s="103"/>
      <c r="P914" s="103"/>
      <c r="Q914" s="103"/>
      <c r="R914" s="83"/>
      <c r="S914" s="103"/>
      <c r="T914" s="103"/>
      <c r="U914" s="103"/>
    </row>
    <row r="915" customFormat="false" ht="22.5" hidden="false" customHeight="true" outlineLevel="0" collapsed="false">
      <c r="A915" s="99"/>
      <c r="B915" s="99"/>
      <c r="C915" s="99"/>
      <c r="D915" s="121"/>
      <c r="E915" s="99"/>
      <c r="F915" s="124" t="str">
        <f aca="false">IF(E915="CONTADO", 4%, IF(E915="TARJETA / CHEQUE", 3%, IF(OR(E915="FINANCIADO", E915="MCP"), 2.5%, "")))</f>
        <v/>
      </c>
      <c r="G915" s="121" t="str">
        <f aca="false">IF(F915="", "", F915*D915)</f>
        <v/>
      </c>
      <c r="H915" s="132" t="b">
        <f aca="false">FALSE()</f>
        <v>0</v>
      </c>
      <c r="I915" s="132" t="b">
        <f aca="false">FALSE()</f>
        <v>0</v>
      </c>
      <c r="J915" s="126"/>
      <c r="K915" s="99"/>
      <c r="L915" s="83"/>
      <c r="M915" s="103"/>
      <c r="N915" s="103"/>
      <c r="O915" s="103"/>
      <c r="P915" s="103"/>
      <c r="Q915" s="103"/>
      <c r="R915" s="83"/>
      <c r="S915" s="103"/>
      <c r="T915" s="103"/>
      <c r="U915" s="103"/>
    </row>
    <row r="916" customFormat="false" ht="22.5" hidden="false" customHeight="true" outlineLevel="0" collapsed="false">
      <c r="A916" s="110"/>
      <c r="B916" s="110"/>
      <c r="C916" s="110"/>
      <c r="D916" s="122"/>
      <c r="E916" s="110"/>
      <c r="F916" s="128" t="str">
        <f aca="false">IF(E916="CONTADO", 4%, IF(E916="TARJETA / CHEQUE", 3%, IF(OR(E916="FINANCIADO", E916="MCP"), 2.5%, "")))</f>
        <v/>
      </c>
      <c r="G916" s="122" t="str">
        <f aca="false">IF(F916="", "", F916*D916)</f>
        <v/>
      </c>
      <c r="H916" s="131" t="b">
        <f aca="false">FALSE()</f>
        <v>0</v>
      </c>
      <c r="I916" s="131" t="b">
        <f aca="false">FALSE()</f>
        <v>0</v>
      </c>
      <c r="J916" s="130"/>
      <c r="K916" s="110"/>
      <c r="L916" s="83"/>
      <c r="M916" s="103"/>
      <c r="N916" s="103"/>
      <c r="O916" s="103"/>
      <c r="P916" s="103"/>
      <c r="Q916" s="103"/>
      <c r="R916" s="83"/>
      <c r="S916" s="103"/>
      <c r="T916" s="103"/>
      <c r="U916" s="103"/>
    </row>
    <row r="917" customFormat="false" ht="22.5" hidden="false" customHeight="true" outlineLevel="0" collapsed="false">
      <c r="A917" s="99"/>
      <c r="B917" s="99"/>
      <c r="C917" s="99"/>
      <c r="D917" s="121"/>
      <c r="E917" s="99"/>
      <c r="F917" s="124" t="str">
        <f aca="false">IF(E917="CONTADO", 4%, IF(E917="TARJETA / CHEQUE", 3%, IF(OR(E917="FINANCIADO", E917="MCP"), 2.5%, "")))</f>
        <v/>
      </c>
      <c r="G917" s="121" t="str">
        <f aca="false">IF(F917="", "", F917*D917)</f>
        <v/>
      </c>
      <c r="H917" s="132" t="b">
        <f aca="false">FALSE()</f>
        <v>0</v>
      </c>
      <c r="I917" s="132" t="b">
        <f aca="false">FALSE()</f>
        <v>0</v>
      </c>
      <c r="J917" s="126"/>
      <c r="K917" s="99"/>
      <c r="L917" s="83"/>
      <c r="M917" s="103"/>
      <c r="N917" s="103"/>
      <c r="O917" s="103"/>
      <c r="P917" s="103"/>
      <c r="Q917" s="103"/>
      <c r="R917" s="83"/>
      <c r="S917" s="103"/>
      <c r="T917" s="103"/>
      <c r="U917" s="103"/>
    </row>
    <row r="918" customFormat="false" ht="22.5" hidden="false" customHeight="true" outlineLevel="0" collapsed="false">
      <c r="A918" s="110"/>
      <c r="B918" s="110"/>
      <c r="C918" s="110"/>
      <c r="D918" s="122"/>
      <c r="E918" s="110"/>
      <c r="F918" s="128" t="str">
        <f aca="false">IF(E918="CONTADO", 4%, IF(E918="TARJETA / CHEQUE", 3%, IF(OR(E918="FINANCIADO", E918="MCP"), 2.5%, "")))</f>
        <v/>
      </c>
      <c r="G918" s="122" t="str">
        <f aca="false">IF(F918="", "", F918*D918)</f>
        <v/>
      </c>
      <c r="H918" s="131" t="b">
        <f aca="false">FALSE()</f>
        <v>0</v>
      </c>
      <c r="I918" s="131" t="b">
        <f aca="false">FALSE()</f>
        <v>0</v>
      </c>
      <c r="J918" s="130"/>
      <c r="K918" s="110"/>
      <c r="L918" s="83"/>
      <c r="M918" s="103"/>
      <c r="N918" s="103"/>
      <c r="O918" s="103"/>
      <c r="P918" s="103"/>
      <c r="Q918" s="103"/>
      <c r="R918" s="83"/>
      <c r="S918" s="103"/>
      <c r="T918" s="103"/>
      <c r="U918" s="103"/>
    </row>
    <row r="919" customFormat="false" ht="22.5" hidden="false" customHeight="true" outlineLevel="0" collapsed="false">
      <c r="A919" s="99"/>
      <c r="B919" s="99"/>
      <c r="C919" s="99"/>
      <c r="D919" s="121"/>
      <c r="E919" s="99"/>
      <c r="F919" s="124" t="str">
        <f aca="false">IF(E919="CONTADO", 4%, IF(E919="TARJETA / CHEQUE", 3%, IF(OR(E919="FINANCIADO", E919="MCP"), 2.5%, "")))</f>
        <v/>
      </c>
      <c r="G919" s="121" t="str">
        <f aca="false">IF(F919="", "", F919*D919)</f>
        <v/>
      </c>
      <c r="H919" s="132" t="b">
        <f aca="false">FALSE()</f>
        <v>0</v>
      </c>
      <c r="I919" s="132" t="b">
        <f aca="false">FALSE()</f>
        <v>0</v>
      </c>
      <c r="J919" s="126"/>
      <c r="K919" s="99"/>
      <c r="L919" s="83"/>
      <c r="M919" s="103"/>
      <c r="N919" s="103"/>
      <c r="O919" s="103"/>
      <c r="P919" s="103"/>
      <c r="Q919" s="103"/>
      <c r="R919" s="83"/>
      <c r="S919" s="103"/>
      <c r="T919" s="103"/>
      <c r="U919" s="103"/>
    </row>
    <row r="920" customFormat="false" ht="22.5" hidden="false" customHeight="true" outlineLevel="0" collapsed="false">
      <c r="A920" s="110"/>
      <c r="B920" s="110"/>
      <c r="C920" s="110"/>
      <c r="D920" s="122"/>
      <c r="E920" s="110"/>
      <c r="F920" s="128" t="str">
        <f aca="false">IF(E920="CONTADO", 4%, IF(E920="TARJETA / CHEQUE", 3%, IF(OR(E920="FINANCIADO", E920="MCP"), 2.5%, "")))</f>
        <v/>
      </c>
      <c r="G920" s="122" t="str">
        <f aca="false">IF(F920="", "", F920*D920)</f>
        <v/>
      </c>
      <c r="H920" s="131" t="b">
        <f aca="false">FALSE()</f>
        <v>0</v>
      </c>
      <c r="I920" s="131" t="b">
        <f aca="false">FALSE()</f>
        <v>0</v>
      </c>
      <c r="J920" s="130"/>
      <c r="K920" s="110"/>
      <c r="L920" s="83"/>
      <c r="M920" s="103"/>
      <c r="N920" s="103"/>
      <c r="O920" s="103"/>
      <c r="P920" s="103"/>
      <c r="Q920" s="103"/>
      <c r="R920" s="83"/>
      <c r="S920" s="103"/>
      <c r="T920" s="103"/>
      <c r="U920" s="103"/>
    </row>
    <row r="921" customFormat="false" ht="22.5" hidden="false" customHeight="true" outlineLevel="0" collapsed="false">
      <c r="A921" s="99"/>
      <c r="B921" s="99"/>
      <c r="C921" s="99"/>
      <c r="D921" s="121"/>
      <c r="E921" s="99"/>
      <c r="F921" s="124" t="str">
        <f aca="false">IF(E921="CONTADO", 4%, IF(E921="TARJETA / CHEQUE", 3%, IF(OR(E921="FINANCIADO", E921="MCP"), 2.5%, "")))</f>
        <v/>
      </c>
      <c r="G921" s="121" t="str">
        <f aca="false">IF(F921="", "", F921*D921)</f>
        <v/>
      </c>
      <c r="H921" s="132" t="b">
        <f aca="false">FALSE()</f>
        <v>0</v>
      </c>
      <c r="I921" s="132" t="b">
        <f aca="false">FALSE()</f>
        <v>0</v>
      </c>
      <c r="J921" s="126"/>
      <c r="K921" s="99"/>
      <c r="L921" s="83"/>
      <c r="M921" s="103"/>
      <c r="N921" s="103"/>
      <c r="O921" s="103"/>
      <c r="P921" s="103"/>
      <c r="Q921" s="103"/>
      <c r="R921" s="83"/>
      <c r="S921" s="103"/>
      <c r="T921" s="103"/>
      <c r="U921" s="103"/>
    </row>
    <row r="922" customFormat="false" ht="22.5" hidden="false" customHeight="true" outlineLevel="0" collapsed="false">
      <c r="A922" s="110"/>
      <c r="B922" s="110"/>
      <c r="C922" s="110"/>
      <c r="D922" s="122"/>
      <c r="E922" s="110"/>
      <c r="F922" s="128" t="str">
        <f aca="false">IF(E922="CONTADO", 4%, IF(E922="TARJETA / CHEQUE", 3%, IF(OR(E922="FINANCIADO", E922="MCP"), 2.5%, "")))</f>
        <v/>
      </c>
      <c r="G922" s="122" t="str">
        <f aca="false">IF(F922="", "", F922*D922)</f>
        <v/>
      </c>
      <c r="H922" s="131" t="b">
        <f aca="false">FALSE()</f>
        <v>0</v>
      </c>
      <c r="I922" s="131" t="b">
        <f aca="false">FALSE()</f>
        <v>0</v>
      </c>
      <c r="J922" s="130"/>
      <c r="K922" s="110"/>
      <c r="L922" s="83"/>
      <c r="M922" s="103"/>
      <c r="N922" s="103"/>
      <c r="O922" s="103"/>
      <c r="P922" s="103"/>
      <c r="Q922" s="103"/>
      <c r="R922" s="83"/>
      <c r="S922" s="103"/>
      <c r="T922" s="103"/>
      <c r="U922" s="103"/>
    </row>
    <row r="923" customFormat="false" ht="22.5" hidden="false" customHeight="true" outlineLevel="0" collapsed="false">
      <c r="A923" s="99"/>
      <c r="B923" s="99"/>
      <c r="C923" s="99"/>
      <c r="D923" s="121"/>
      <c r="E923" s="99"/>
      <c r="F923" s="124" t="str">
        <f aca="false">IF(E923="CONTADO", 4%, IF(E923="TARJETA / CHEQUE", 3%, IF(OR(E923="FINANCIADO", E923="MCP"), 2.5%, "")))</f>
        <v/>
      </c>
      <c r="G923" s="121" t="str">
        <f aca="false">IF(F923="", "", F923*D923)</f>
        <v/>
      </c>
      <c r="H923" s="132" t="b">
        <f aca="false">FALSE()</f>
        <v>0</v>
      </c>
      <c r="I923" s="132" t="b">
        <f aca="false">FALSE()</f>
        <v>0</v>
      </c>
      <c r="J923" s="126"/>
      <c r="K923" s="99"/>
      <c r="L923" s="83"/>
      <c r="M923" s="103"/>
      <c r="N923" s="103"/>
      <c r="O923" s="103"/>
      <c r="P923" s="103"/>
      <c r="Q923" s="103"/>
      <c r="R923" s="83"/>
      <c r="S923" s="103"/>
      <c r="T923" s="103"/>
      <c r="U923" s="103"/>
    </row>
    <row r="924" customFormat="false" ht="22.5" hidden="false" customHeight="true" outlineLevel="0" collapsed="false">
      <c r="A924" s="110"/>
      <c r="B924" s="110"/>
      <c r="C924" s="110"/>
      <c r="D924" s="122"/>
      <c r="E924" s="110"/>
      <c r="F924" s="128" t="str">
        <f aca="false">IF(E924="CONTADO", 4%, IF(E924="TARJETA / CHEQUE", 3%, IF(OR(E924="FINANCIADO", E924="MCP"), 2.5%, "")))</f>
        <v/>
      </c>
      <c r="G924" s="122" t="str">
        <f aca="false">IF(F924="", "", F924*D924)</f>
        <v/>
      </c>
      <c r="H924" s="131" t="b">
        <f aca="false">FALSE()</f>
        <v>0</v>
      </c>
      <c r="I924" s="131" t="b">
        <f aca="false">FALSE()</f>
        <v>0</v>
      </c>
      <c r="J924" s="130"/>
      <c r="K924" s="110"/>
      <c r="L924" s="83"/>
      <c r="M924" s="103"/>
      <c r="N924" s="103"/>
      <c r="O924" s="103"/>
      <c r="P924" s="103"/>
      <c r="Q924" s="103"/>
      <c r="R924" s="83"/>
      <c r="S924" s="103"/>
      <c r="T924" s="103"/>
      <c r="U924" s="103"/>
    </row>
    <row r="925" customFormat="false" ht="22.5" hidden="false" customHeight="true" outlineLevel="0" collapsed="false">
      <c r="A925" s="99"/>
      <c r="B925" s="99"/>
      <c r="C925" s="99"/>
      <c r="D925" s="121"/>
      <c r="E925" s="99"/>
      <c r="F925" s="124" t="str">
        <f aca="false">IF(E925="CONTADO", 4%, IF(E925="TARJETA / CHEQUE", 3%, IF(OR(E925="FINANCIADO", E925="MCP"), 2.5%, "")))</f>
        <v/>
      </c>
      <c r="G925" s="121" t="str">
        <f aca="false">IF(F925="", "", F925*D925)</f>
        <v/>
      </c>
      <c r="H925" s="132" t="b">
        <f aca="false">FALSE()</f>
        <v>0</v>
      </c>
      <c r="I925" s="132" t="b">
        <f aca="false">FALSE()</f>
        <v>0</v>
      </c>
      <c r="J925" s="126"/>
      <c r="K925" s="99"/>
      <c r="L925" s="83"/>
      <c r="M925" s="103"/>
      <c r="N925" s="103"/>
      <c r="O925" s="103"/>
      <c r="P925" s="103"/>
      <c r="Q925" s="103"/>
      <c r="R925" s="83"/>
      <c r="S925" s="103"/>
      <c r="T925" s="103"/>
      <c r="U925" s="103"/>
    </row>
    <row r="926" customFormat="false" ht="22.5" hidden="false" customHeight="true" outlineLevel="0" collapsed="false">
      <c r="A926" s="110"/>
      <c r="B926" s="110"/>
      <c r="C926" s="110"/>
      <c r="D926" s="122"/>
      <c r="E926" s="110"/>
      <c r="F926" s="128" t="str">
        <f aca="false">IF(E926="CONTADO", 4%, IF(E926="TARJETA / CHEQUE", 3%, IF(OR(E926="FINANCIADO", E926="MCP"), 2.5%, "")))</f>
        <v/>
      </c>
      <c r="G926" s="122" t="str">
        <f aca="false">IF(F926="", "", F926*D926)</f>
        <v/>
      </c>
      <c r="H926" s="131" t="b">
        <f aca="false">FALSE()</f>
        <v>0</v>
      </c>
      <c r="I926" s="131" t="b">
        <f aca="false">FALSE()</f>
        <v>0</v>
      </c>
      <c r="J926" s="130"/>
      <c r="K926" s="110"/>
      <c r="L926" s="83"/>
      <c r="M926" s="103"/>
      <c r="N926" s="103"/>
      <c r="O926" s="103"/>
      <c r="P926" s="103"/>
      <c r="Q926" s="103"/>
      <c r="R926" s="83"/>
      <c r="S926" s="103"/>
      <c r="T926" s="103"/>
      <c r="U926" s="103"/>
    </row>
    <row r="927" customFormat="false" ht="22.5" hidden="false" customHeight="true" outlineLevel="0" collapsed="false">
      <c r="A927" s="99"/>
      <c r="B927" s="99"/>
      <c r="C927" s="99"/>
      <c r="D927" s="121"/>
      <c r="E927" s="99"/>
      <c r="F927" s="124" t="str">
        <f aca="false">IF(E927="CONTADO", 4%, IF(E927="TARJETA / CHEQUE", 3%, IF(OR(E927="FINANCIADO", E927="MCP"), 2.5%, "")))</f>
        <v/>
      </c>
      <c r="G927" s="121" t="str">
        <f aca="false">IF(F927="", "", F927*D927)</f>
        <v/>
      </c>
      <c r="H927" s="132" t="b">
        <f aca="false">FALSE()</f>
        <v>0</v>
      </c>
      <c r="I927" s="132" t="b">
        <f aca="false">FALSE()</f>
        <v>0</v>
      </c>
      <c r="J927" s="126"/>
      <c r="K927" s="99"/>
      <c r="L927" s="83"/>
      <c r="M927" s="103"/>
      <c r="N927" s="103"/>
      <c r="O927" s="103"/>
      <c r="P927" s="103"/>
      <c r="Q927" s="103"/>
      <c r="R927" s="83"/>
      <c r="S927" s="103"/>
      <c r="T927" s="103"/>
      <c r="U927" s="103"/>
    </row>
    <row r="928" customFormat="false" ht="22.5" hidden="false" customHeight="true" outlineLevel="0" collapsed="false">
      <c r="A928" s="110"/>
      <c r="B928" s="110"/>
      <c r="C928" s="110"/>
      <c r="D928" s="122"/>
      <c r="E928" s="110"/>
      <c r="F928" s="128" t="str">
        <f aca="false">IF(E928="CONTADO", 4%, IF(E928="TARJETA / CHEQUE", 3%, IF(OR(E928="FINANCIADO", E928="MCP"), 2.5%, "")))</f>
        <v/>
      </c>
      <c r="G928" s="122" t="str">
        <f aca="false">IF(F928="", "", F928*D928)</f>
        <v/>
      </c>
      <c r="H928" s="131" t="b">
        <f aca="false">FALSE()</f>
        <v>0</v>
      </c>
      <c r="I928" s="131" t="b">
        <f aca="false">FALSE()</f>
        <v>0</v>
      </c>
      <c r="J928" s="130"/>
      <c r="K928" s="110"/>
      <c r="L928" s="83"/>
      <c r="M928" s="103"/>
      <c r="N928" s="103"/>
      <c r="O928" s="103"/>
      <c r="P928" s="103"/>
      <c r="Q928" s="103"/>
      <c r="R928" s="83"/>
      <c r="S928" s="103"/>
      <c r="T928" s="103"/>
      <c r="U928" s="103"/>
    </row>
    <row r="929" customFormat="false" ht="22.5" hidden="false" customHeight="true" outlineLevel="0" collapsed="false">
      <c r="A929" s="99"/>
      <c r="B929" s="99"/>
      <c r="C929" s="99"/>
      <c r="D929" s="121"/>
      <c r="E929" s="99"/>
      <c r="F929" s="124" t="str">
        <f aca="false">IF(E929="CONTADO", 4%, IF(E929="TARJETA / CHEQUE", 3%, IF(OR(E929="FINANCIADO", E929="MCP"), 2.5%, "")))</f>
        <v/>
      </c>
      <c r="G929" s="121" t="str">
        <f aca="false">IF(F929="", "", F929*D929)</f>
        <v/>
      </c>
      <c r="H929" s="132" t="b">
        <f aca="false">FALSE()</f>
        <v>0</v>
      </c>
      <c r="I929" s="132" t="b">
        <f aca="false">FALSE()</f>
        <v>0</v>
      </c>
      <c r="J929" s="126"/>
      <c r="K929" s="99"/>
      <c r="L929" s="83"/>
      <c r="M929" s="103"/>
      <c r="N929" s="103"/>
      <c r="O929" s="103"/>
      <c r="P929" s="103"/>
      <c r="Q929" s="103"/>
      <c r="R929" s="83"/>
      <c r="S929" s="103"/>
      <c r="T929" s="103"/>
      <c r="U929" s="103"/>
    </row>
    <row r="930" customFormat="false" ht="22.5" hidden="false" customHeight="true" outlineLevel="0" collapsed="false">
      <c r="A930" s="110"/>
      <c r="B930" s="110"/>
      <c r="C930" s="110"/>
      <c r="D930" s="122"/>
      <c r="E930" s="110"/>
      <c r="F930" s="128" t="str">
        <f aca="false">IF(E930="CONTADO", 4%, IF(E930="TARJETA / CHEQUE", 3%, IF(OR(E930="FINANCIADO", E930="MCP"), 2.5%, "")))</f>
        <v/>
      </c>
      <c r="G930" s="122" t="str">
        <f aca="false">IF(F930="", "", F930*D930)</f>
        <v/>
      </c>
      <c r="H930" s="131" t="b">
        <f aca="false">FALSE()</f>
        <v>0</v>
      </c>
      <c r="I930" s="131" t="b">
        <f aca="false">FALSE()</f>
        <v>0</v>
      </c>
      <c r="J930" s="130"/>
      <c r="K930" s="110"/>
      <c r="L930" s="83"/>
      <c r="M930" s="103"/>
      <c r="N930" s="103"/>
      <c r="O930" s="103"/>
      <c r="P930" s="103"/>
      <c r="Q930" s="103"/>
      <c r="R930" s="83"/>
      <c r="S930" s="103"/>
      <c r="T930" s="103"/>
      <c r="U930" s="103"/>
    </row>
    <row r="931" customFormat="false" ht="22.5" hidden="false" customHeight="true" outlineLevel="0" collapsed="false">
      <c r="A931" s="99"/>
      <c r="B931" s="99"/>
      <c r="C931" s="99"/>
      <c r="D931" s="121"/>
      <c r="E931" s="99"/>
      <c r="F931" s="124" t="str">
        <f aca="false">IF(E931="CONTADO", 4%, IF(E931="TARJETA / CHEQUE", 3%, IF(OR(E931="FINANCIADO", E931="MCP"), 2.5%, "")))</f>
        <v/>
      </c>
      <c r="G931" s="121" t="str">
        <f aca="false">IF(F931="", "", F931*D931)</f>
        <v/>
      </c>
      <c r="H931" s="132" t="b">
        <f aca="false">FALSE()</f>
        <v>0</v>
      </c>
      <c r="I931" s="132" t="b">
        <f aca="false">FALSE()</f>
        <v>0</v>
      </c>
      <c r="J931" s="126"/>
      <c r="K931" s="99"/>
      <c r="L931" s="83"/>
      <c r="M931" s="103"/>
      <c r="N931" s="103"/>
      <c r="O931" s="103"/>
      <c r="P931" s="103"/>
      <c r="Q931" s="103"/>
      <c r="R931" s="83"/>
      <c r="S931" s="103"/>
      <c r="T931" s="103"/>
      <c r="U931" s="103"/>
    </row>
    <row r="932" customFormat="false" ht="22.5" hidden="false" customHeight="true" outlineLevel="0" collapsed="false">
      <c r="A932" s="110"/>
      <c r="B932" s="110"/>
      <c r="C932" s="110"/>
      <c r="D932" s="122"/>
      <c r="E932" s="110"/>
      <c r="F932" s="128" t="str">
        <f aca="false">IF(E932="CONTADO", 4%, IF(E932="TARJETA / CHEQUE", 3%, IF(OR(E932="FINANCIADO", E932="MCP"), 2.5%, "")))</f>
        <v/>
      </c>
      <c r="G932" s="122" t="str">
        <f aca="false">IF(F932="", "", F932*D932)</f>
        <v/>
      </c>
      <c r="H932" s="131" t="b">
        <f aca="false">FALSE()</f>
        <v>0</v>
      </c>
      <c r="I932" s="131" t="b">
        <f aca="false">FALSE()</f>
        <v>0</v>
      </c>
      <c r="J932" s="130"/>
      <c r="K932" s="110"/>
      <c r="L932" s="83"/>
      <c r="M932" s="103"/>
      <c r="N932" s="103"/>
      <c r="O932" s="103"/>
      <c r="P932" s="103"/>
      <c r="Q932" s="103"/>
      <c r="R932" s="83"/>
      <c r="S932" s="103"/>
      <c r="T932" s="103"/>
      <c r="U932" s="103"/>
    </row>
    <row r="933" customFormat="false" ht="22.5" hidden="false" customHeight="true" outlineLevel="0" collapsed="false">
      <c r="A933" s="99"/>
      <c r="B933" s="99"/>
      <c r="C933" s="99"/>
      <c r="D933" s="121"/>
      <c r="E933" s="99"/>
      <c r="F933" s="124" t="str">
        <f aca="false">IF(E933="CONTADO", 4%, IF(E933="TARJETA / CHEQUE", 3%, IF(OR(E933="FINANCIADO", E933="MCP"), 2.5%, "")))</f>
        <v/>
      </c>
      <c r="G933" s="121" t="str">
        <f aca="false">IF(F933="", "", F933*D933)</f>
        <v/>
      </c>
      <c r="H933" s="132" t="b">
        <f aca="false">FALSE()</f>
        <v>0</v>
      </c>
      <c r="I933" s="132" t="b">
        <f aca="false">FALSE()</f>
        <v>0</v>
      </c>
      <c r="J933" s="126"/>
      <c r="K933" s="99"/>
      <c r="L933" s="83"/>
      <c r="M933" s="103"/>
      <c r="N933" s="103"/>
      <c r="O933" s="103"/>
      <c r="P933" s="103"/>
      <c r="Q933" s="103"/>
      <c r="R933" s="83"/>
      <c r="S933" s="103"/>
      <c r="T933" s="103"/>
      <c r="U933" s="103"/>
    </row>
    <row r="934" customFormat="false" ht="22.5" hidden="false" customHeight="true" outlineLevel="0" collapsed="false">
      <c r="A934" s="110"/>
      <c r="B934" s="110"/>
      <c r="C934" s="110"/>
      <c r="D934" s="122"/>
      <c r="E934" s="110"/>
      <c r="F934" s="128" t="str">
        <f aca="false">IF(E934="CONTADO", 4%, IF(E934="TARJETA / CHEQUE", 3%, IF(OR(E934="FINANCIADO", E934="MCP"), 2.5%, "")))</f>
        <v/>
      </c>
      <c r="G934" s="122" t="str">
        <f aca="false">IF(F934="", "", F934*D934)</f>
        <v/>
      </c>
      <c r="H934" s="131" t="b">
        <f aca="false">FALSE()</f>
        <v>0</v>
      </c>
      <c r="I934" s="131" t="b">
        <f aca="false">FALSE()</f>
        <v>0</v>
      </c>
      <c r="J934" s="130"/>
      <c r="K934" s="110"/>
      <c r="L934" s="83"/>
      <c r="M934" s="103"/>
      <c r="N934" s="103"/>
      <c r="O934" s="103"/>
      <c r="P934" s="103"/>
      <c r="Q934" s="103"/>
      <c r="R934" s="83"/>
      <c r="S934" s="103"/>
      <c r="T934" s="103"/>
      <c r="U934" s="103"/>
    </row>
    <row r="935" customFormat="false" ht="22.5" hidden="false" customHeight="true" outlineLevel="0" collapsed="false">
      <c r="A935" s="99"/>
      <c r="B935" s="99"/>
      <c r="C935" s="99"/>
      <c r="D935" s="121"/>
      <c r="E935" s="99"/>
      <c r="F935" s="124" t="str">
        <f aca="false">IF(E935="CONTADO", 4%, IF(E935="TARJETA / CHEQUE", 3%, IF(OR(E935="FINANCIADO", E935="MCP"), 2.5%, "")))</f>
        <v/>
      </c>
      <c r="G935" s="121" t="str">
        <f aca="false">IF(F935="", "", F935*D935)</f>
        <v/>
      </c>
      <c r="H935" s="132" t="b">
        <f aca="false">FALSE()</f>
        <v>0</v>
      </c>
      <c r="I935" s="132" t="b">
        <f aca="false">FALSE()</f>
        <v>0</v>
      </c>
      <c r="J935" s="126"/>
      <c r="K935" s="99"/>
      <c r="L935" s="83"/>
      <c r="M935" s="103"/>
      <c r="N935" s="103"/>
      <c r="O935" s="103"/>
      <c r="P935" s="103"/>
      <c r="Q935" s="103"/>
      <c r="R935" s="83"/>
      <c r="S935" s="103"/>
      <c r="T935" s="103"/>
      <c r="U935" s="103"/>
    </row>
    <row r="936" customFormat="false" ht="22.5" hidden="false" customHeight="true" outlineLevel="0" collapsed="false">
      <c r="A936" s="110"/>
      <c r="B936" s="110"/>
      <c r="C936" s="110"/>
      <c r="D936" s="122"/>
      <c r="E936" s="110"/>
      <c r="F936" s="128" t="str">
        <f aca="false">IF(E936="CONTADO", 4%, IF(E936="TARJETA / CHEQUE", 3%, IF(OR(E936="FINANCIADO", E936="MCP"), 2.5%, "")))</f>
        <v/>
      </c>
      <c r="G936" s="122" t="str">
        <f aca="false">IF(F936="", "", F936*D936)</f>
        <v/>
      </c>
      <c r="H936" s="131" t="b">
        <f aca="false">FALSE()</f>
        <v>0</v>
      </c>
      <c r="I936" s="131" t="b">
        <f aca="false">FALSE()</f>
        <v>0</v>
      </c>
      <c r="J936" s="130"/>
      <c r="K936" s="110"/>
      <c r="L936" s="83"/>
      <c r="M936" s="103"/>
      <c r="N936" s="103"/>
      <c r="O936" s="103"/>
      <c r="P936" s="103"/>
      <c r="Q936" s="103"/>
      <c r="R936" s="83"/>
      <c r="S936" s="103"/>
      <c r="T936" s="103"/>
      <c r="U936" s="103"/>
    </row>
    <row r="937" customFormat="false" ht="22.5" hidden="false" customHeight="true" outlineLevel="0" collapsed="false">
      <c r="A937" s="99"/>
      <c r="B937" s="99"/>
      <c r="C937" s="99"/>
      <c r="D937" s="121"/>
      <c r="E937" s="99"/>
      <c r="F937" s="124" t="str">
        <f aca="false">IF(E937="CONTADO", 4%, IF(E937="TARJETA / CHEQUE", 3%, IF(OR(E937="FINANCIADO", E937="MCP"), 2.5%, "")))</f>
        <v/>
      </c>
      <c r="G937" s="121" t="str">
        <f aca="false">IF(F937="", "", F937*D937)</f>
        <v/>
      </c>
      <c r="H937" s="132" t="b">
        <f aca="false">FALSE()</f>
        <v>0</v>
      </c>
      <c r="I937" s="132" t="b">
        <f aca="false">FALSE()</f>
        <v>0</v>
      </c>
      <c r="J937" s="126"/>
      <c r="K937" s="99"/>
      <c r="L937" s="83"/>
      <c r="M937" s="103"/>
      <c r="N937" s="103"/>
      <c r="O937" s="103"/>
      <c r="P937" s="103"/>
      <c r="Q937" s="103"/>
      <c r="R937" s="83"/>
      <c r="S937" s="103"/>
      <c r="T937" s="103"/>
      <c r="U937" s="103"/>
    </row>
    <row r="938" customFormat="false" ht="22.5" hidden="false" customHeight="true" outlineLevel="0" collapsed="false">
      <c r="A938" s="110"/>
      <c r="B938" s="110"/>
      <c r="C938" s="110"/>
      <c r="D938" s="122"/>
      <c r="E938" s="110"/>
      <c r="F938" s="128" t="str">
        <f aca="false">IF(E938="CONTADO", 4%, IF(E938="TARJETA / CHEQUE", 3%, IF(OR(E938="FINANCIADO", E938="MCP"), 2.5%, "")))</f>
        <v/>
      </c>
      <c r="G938" s="122" t="str">
        <f aca="false">IF(F938="", "", F938*D938)</f>
        <v/>
      </c>
      <c r="H938" s="131" t="b">
        <f aca="false">FALSE()</f>
        <v>0</v>
      </c>
      <c r="I938" s="131" t="b">
        <f aca="false">FALSE()</f>
        <v>0</v>
      </c>
      <c r="J938" s="130"/>
      <c r="K938" s="110"/>
      <c r="L938" s="83"/>
      <c r="M938" s="103"/>
      <c r="N938" s="103"/>
      <c r="O938" s="103"/>
      <c r="P938" s="103"/>
      <c r="Q938" s="103"/>
      <c r="R938" s="83"/>
      <c r="S938" s="103"/>
      <c r="T938" s="103"/>
      <c r="U938" s="103"/>
    </row>
    <row r="939" customFormat="false" ht="22.5" hidden="false" customHeight="true" outlineLevel="0" collapsed="false">
      <c r="A939" s="99"/>
      <c r="B939" s="99"/>
      <c r="C939" s="99"/>
      <c r="D939" s="121"/>
      <c r="E939" s="99"/>
      <c r="F939" s="124" t="str">
        <f aca="false">IF(E939="CONTADO", 4%, IF(E939="TARJETA / CHEQUE", 3%, IF(OR(E939="FINANCIADO", E939="MCP"), 2.5%, "")))</f>
        <v/>
      </c>
      <c r="G939" s="121" t="str">
        <f aca="false">IF(F939="", "", F939*D939)</f>
        <v/>
      </c>
      <c r="H939" s="132" t="b">
        <f aca="false">FALSE()</f>
        <v>0</v>
      </c>
      <c r="I939" s="132" t="b">
        <f aca="false">FALSE()</f>
        <v>0</v>
      </c>
      <c r="J939" s="126"/>
      <c r="K939" s="99"/>
      <c r="L939" s="83"/>
      <c r="M939" s="103"/>
      <c r="N939" s="103"/>
      <c r="O939" s="103"/>
      <c r="P939" s="103"/>
      <c r="Q939" s="103"/>
      <c r="R939" s="83"/>
      <c r="S939" s="103"/>
      <c r="T939" s="103"/>
      <c r="U939" s="103"/>
    </row>
    <row r="940" customFormat="false" ht="22.5" hidden="false" customHeight="true" outlineLevel="0" collapsed="false">
      <c r="A940" s="110"/>
      <c r="B940" s="110"/>
      <c r="C940" s="110"/>
      <c r="D940" s="122"/>
      <c r="E940" s="110"/>
      <c r="F940" s="128" t="str">
        <f aca="false">IF(E940="CONTADO", 4%, IF(E940="TARJETA / CHEQUE", 3%, IF(OR(E940="FINANCIADO", E940="MCP"), 2.5%, "")))</f>
        <v/>
      </c>
      <c r="G940" s="122" t="str">
        <f aca="false">IF(F940="", "", F940*D940)</f>
        <v/>
      </c>
      <c r="H940" s="131" t="b">
        <f aca="false">FALSE()</f>
        <v>0</v>
      </c>
      <c r="I940" s="131" t="b">
        <f aca="false">FALSE()</f>
        <v>0</v>
      </c>
      <c r="J940" s="130"/>
      <c r="K940" s="110"/>
      <c r="L940" s="83"/>
      <c r="M940" s="103"/>
      <c r="N940" s="103"/>
      <c r="O940" s="103"/>
      <c r="P940" s="103"/>
      <c r="Q940" s="103"/>
      <c r="R940" s="83"/>
      <c r="S940" s="103"/>
      <c r="T940" s="103"/>
      <c r="U940" s="103"/>
    </row>
    <row r="941" customFormat="false" ht="22.5" hidden="false" customHeight="true" outlineLevel="0" collapsed="false">
      <c r="A941" s="99"/>
      <c r="B941" s="99"/>
      <c r="C941" s="99"/>
      <c r="D941" s="121"/>
      <c r="E941" s="99"/>
      <c r="F941" s="124" t="str">
        <f aca="false">IF(E941="CONTADO", 4%, IF(E941="TARJETA / CHEQUE", 3%, IF(OR(E941="FINANCIADO", E941="MCP"), 2.5%, "")))</f>
        <v/>
      </c>
      <c r="G941" s="121" t="str">
        <f aca="false">IF(F941="", "", F941*D941)</f>
        <v/>
      </c>
      <c r="H941" s="132" t="b">
        <f aca="false">FALSE()</f>
        <v>0</v>
      </c>
      <c r="I941" s="132" t="b">
        <f aca="false">FALSE()</f>
        <v>0</v>
      </c>
      <c r="J941" s="126"/>
      <c r="K941" s="99"/>
      <c r="L941" s="83"/>
      <c r="M941" s="103"/>
      <c r="N941" s="103"/>
      <c r="O941" s="103"/>
      <c r="P941" s="103"/>
      <c r="Q941" s="103"/>
      <c r="R941" s="83"/>
      <c r="S941" s="103"/>
      <c r="T941" s="103"/>
      <c r="U941" s="103"/>
    </row>
    <row r="942" customFormat="false" ht="22.5" hidden="false" customHeight="true" outlineLevel="0" collapsed="false">
      <c r="A942" s="110"/>
      <c r="B942" s="110"/>
      <c r="C942" s="110"/>
      <c r="D942" s="122"/>
      <c r="E942" s="110"/>
      <c r="F942" s="128" t="str">
        <f aca="false">IF(E942="CONTADO", 4%, IF(E942="TARJETA / CHEQUE", 3%, IF(OR(E942="FINANCIADO", E942="MCP"), 2.5%, "")))</f>
        <v/>
      </c>
      <c r="G942" s="122" t="str">
        <f aca="false">IF(F942="", "", F942*D942)</f>
        <v/>
      </c>
      <c r="H942" s="131" t="b">
        <f aca="false">FALSE()</f>
        <v>0</v>
      </c>
      <c r="I942" s="131" t="b">
        <f aca="false">FALSE()</f>
        <v>0</v>
      </c>
      <c r="J942" s="130"/>
      <c r="K942" s="110"/>
      <c r="L942" s="83"/>
      <c r="M942" s="103"/>
      <c r="N942" s="103"/>
      <c r="O942" s="103"/>
      <c r="P942" s="103"/>
      <c r="Q942" s="103"/>
      <c r="R942" s="83"/>
      <c r="S942" s="103"/>
      <c r="T942" s="103"/>
      <c r="U942" s="103"/>
    </row>
    <row r="943" customFormat="false" ht="22.5" hidden="false" customHeight="true" outlineLevel="0" collapsed="false">
      <c r="A943" s="99"/>
      <c r="B943" s="99"/>
      <c r="C943" s="99"/>
      <c r="D943" s="121"/>
      <c r="E943" s="99"/>
      <c r="F943" s="124" t="str">
        <f aca="false">IF(E943="CONTADO", 4%, IF(E943="TARJETA / CHEQUE", 3%, IF(OR(E943="FINANCIADO", E943="MCP"), 2.5%, "")))</f>
        <v/>
      </c>
      <c r="G943" s="121" t="str">
        <f aca="false">IF(F943="", "", F943*D943)</f>
        <v/>
      </c>
      <c r="H943" s="132" t="b">
        <f aca="false">FALSE()</f>
        <v>0</v>
      </c>
      <c r="I943" s="132" t="b">
        <f aca="false">FALSE()</f>
        <v>0</v>
      </c>
      <c r="J943" s="126"/>
      <c r="K943" s="99"/>
      <c r="L943" s="83"/>
      <c r="M943" s="103"/>
      <c r="N943" s="103"/>
      <c r="O943" s="103"/>
      <c r="P943" s="103"/>
      <c r="Q943" s="103"/>
      <c r="R943" s="83"/>
      <c r="S943" s="103"/>
      <c r="T943" s="103"/>
      <c r="U943" s="103"/>
    </row>
    <row r="944" customFormat="false" ht="22.5" hidden="false" customHeight="true" outlineLevel="0" collapsed="false">
      <c r="A944" s="110"/>
      <c r="B944" s="110"/>
      <c r="C944" s="110"/>
      <c r="D944" s="122"/>
      <c r="E944" s="110"/>
      <c r="F944" s="128" t="str">
        <f aca="false">IF(E944="CONTADO", 4%, IF(E944="TARJETA / CHEQUE", 3%, IF(OR(E944="FINANCIADO", E944="MCP"), 2.5%, "")))</f>
        <v/>
      </c>
      <c r="G944" s="122" t="str">
        <f aca="false">IF(F944="", "", F944*D944)</f>
        <v/>
      </c>
      <c r="H944" s="131" t="b">
        <f aca="false">FALSE()</f>
        <v>0</v>
      </c>
      <c r="I944" s="131" t="b">
        <f aca="false">FALSE()</f>
        <v>0</v>
      </c>
      <c r="J944" s="130"/>
      <c r="K944" s="110"/>
      <c r="L944" s="83"/>
      <c r="M944" s="103"/>
      <c r="N944" s="103"/>
      <c r="O944" s="103"/>
      <c r="P944" s="103"/>
      <c r="Q944" s="103"/>
      <c r="R944" s="83"/>
      <c r="S944" s="103"/>
      <c r="T944" s="103"/>
      <c r="U944" s="103"/>
    </row>
    <row r="945" customFormat="false" ht="22.5" hidden="false" customHeight="true" outlineLevel="0" collapsed="false">
      <c r="A945" s="99"/>
      <c r="B945" s="99"/>
      <c r="C945" s="99"/>
      <c r="D945" s="121"/>
      <c r="E945" s="99"/>
      <c r="F945" s="124" t="str">
        <f aca="false">IF(E945="CONTADO", 4%, IF(E945="TARJETA / CHEQUE", 3%, IF(OR(E945="FINANCIADO", E945="MCP"), 2.5%, "")))</f>
        <v/>
      </c>
      <c r="G945" s="121" t="str">
        <f aca="false">IF(F945="", "", F945*D945)</f>
        <v/>
      </c>
      <c r="H945" s="132" t="b">
        <f aca="false">FALSE()</f>
        <v>0</v>
      </c>
      <c r="I945" s="132" t="b">
        <f aca="false">FALSE()</f>
        <v>0</v>
      </c>
      <c r="J945" s="126"/>
      <c r="K945" s="99"/>
      <c r="L945" s="83"/>
      <c r="M945" s="103"/>
      <c r="N945" s="103"/>
      <c r="O945" s="103"/>
      <c r="P945" s="103"/>
      <c r="Q945" s="103"/>
      <c r="R945" s="83"/>
      <c r="S945" s="103"/>
      <c r="T945" s="103"/>
      <c r="U945" s="103"/>
    </row>
    <row r="946" customFormat="false" ht="22.5" hidden="false" customHeight="true" outlineLevel="0" collapsed="false">
      <c r="A946" s="110"/>
      <c r="B946" s="110"/>
      <c r="C946" s="110"/>
      <c r="D946" s="122"/>
      <c r="E946" s="110"/>
      <c r="F946" s="128" t="str">
        <f aca="false">IF(E946="CONTADO", 4%, IF(E946="TARJETA / CHEQUE", 3%, IF(OR(E946="FINANCIADO", E946="MCP"), 2.5%, "")))</f>
        <v/>
      </c>
      <c r="G946" s="122" t="str">
        <f aca="false">IF(F946="", "", F946*D946)</f>
        <v/>
      </c>
      <c r="H946" s="131" t="b">
        <f aca="false">FALSE()</f>
        <v>0</v>
      </c>
      <c r="I946" s="131" t="b">
        <f aca="false">FALSE()</f>
        <v>0</v>
      </c>
      <c r="J946" s="130"/>
      <c r="K946" s="110"/>
      <c r="L946" s="83"/>
      <c r="M946" s="103"/>
      <c r="N946" s="103"/>
      <c r="O946" s="103"/>
      <c r="P946" s="103"/>
      <c r="Q946" s="103"/>
      <c r="R946" s="83"/>
      <c r="S946" s="103"/>
      <c r="T946" s="103"/>
      <c r="U946" s="103"/>
    </row>
    <row r="947" customFormat="false" ht="22.5" hidden="false" customHeight="true" outlineLevel="0" collapsed="false">
      <c r="A947" s="99"/>
      <c r="B947" s="99"/>
      <c r="C947" s="99"/>
      <c r="D947" s="121"/>
      <c r="E947" s="99"/>
      <c r="F947" s="124" t="str">
        <f aca="false">IF(E947="CONTADO", 4%, IF(E947="TARJETA / CHEQUE", 3%, IF(OR(E947="FINANCIADO", E947="MCP"), 2.5%, "")))</f>
        <v/>
      </c>
      <c r="G947" s="121" t="str">
        <f aca="false">IF(F947="", "", F947*D947)</f>
        <v/>
      </c>
      <c r="H947" s="132" t="b">
        <f aca="false">FALSE()</f>
        <v>0</v>
      </c>
      <c r="I947" s="132" t="b">
        <f aca="false">FALSE()</f>
        <v>0</v>
      </c>
      <c r="J947" s="126"/>
      <c r="K947" s="99"/>
      <c r="L947" s="83"/>
      <c r="M947" s="103"/>
      <c r="N947" s="103"/>
      <c r="O947" s="103"/>
      <c r="P947" s="103"/>
      <c r="Q947" s="103"/>
      <c r="R947" s="83"/>
      <c r="S947" s="103"/>
      <c r="T947" s="103"/>
      <c r="U947" s="103"/>
    </row>
    <row r="948" customFormat="false" ht="22.5" hidden="false" customHeight="true" outlineLevel="0" collapsed="false">
      <c r="A948" s="110"/>
      <c r="B948" s="110"/>
      <c r="C948" s="110"/>
      <c r="D948" s="122"/>
      <c r="E948" s="110"/>
      <c r="F948" s="128" t="str">
        <f aca="false">IF(E948="CONTADO", 4%, IF(E948="TARJETA / CHEQUE", 3%, IF(OR(E948="FINANCIADO", E948="MCP"), 2.5%, "")))</f>
        <v/>
      </c>
      <c r="G948" s="122" t="str">
        <f aca="false">IF(F948="", "", F948*D948)</f>
        <v/>
      </c>
      <c r="H948" s="131" t="b">
        <f aca="false">FALSE()</f>
        <v>0</v>
      </c>
      <c r="I948" s="131" t="b">
        <f aca="false">FALSE()</f>
        <v>0</v>
      </c>
      <c r="J948" s="130"/>
      <c r="K948" s="110"/>
      <c r="L948" s="83"/>
      <c r="M948" s="103"/>
      <c r="N948" s="103"/>
      <c r="O948" s="103"/>
      <c r="P948" s="103"/>
      <c r="Q948" s="103"/>
      <c r="R948" s="83"/>
      <c r="S948" s="103"/>
      <c r="T948" s="103"/>
      <c r="U948" s="103"/>
    </row>
    <row r="949" customFormat="false" ht="22.5" hidden="false" customHeight="true" outlineLevel="0" collapsed="false">
      <c r="A949" s="99"/>
      <c r="B949" s="99"/>
      <c r="C949" s="99"/>
      <c r="D949" s="121"/>
      <c r="E949" s="99"/>
      <c r="F949" s="124" t="str">
        <f aca="false">IF(E949="CONTADO", 4%, IF(E949="TARJETA / CHEQUE", 3%, IF(OR(E949="FINANCIADO", E949="MCP"), 2.5%, "")))</f>
        <v/>
      </c>
      <c r="G949" s="121" t="str">
        <f aca="false">IF(F949="", "", F949*D949)</f>
        <v/>
      </c>
      <c r="H949" s="132" t="b">
        <f aca="false">FALSE()</f>
        <v>0</v>
      </c>
      <c r="I949" s="132" t="b">
        <f aca="false">FALSE()</f>
        <v>0</v>
      </c>
      <c r="J949" s="126"/>
      <c r="K949" s="99"/>
      <c r="L949" s="83"/>
      <c r="M949" s="103"/>
      <c r="N949" s="103"/>
      <c r="O949" s="103"/>
      <c r="P949" s="103"/>
      <c r="Q949" s="103"/>
      <c r="R949" s="83"/>
      <c r="S949" s="103"/>
      <c r="T949" s="103"/>
      <c r="U949" s="103"/>
    </row>
    <row r="950" customFormat="false" ht="22.5" hidden="false" customHeight="true" outlineLevel="0" collapsed="false">
      <c r="A950" s="110"/>
      <c r="B950" s="110"/>
      <c r="C950" s="110"/>
      <c r="D950" s="122"/>
      <c r="E950" s="110"/>
      <c r="F950" s="128" t="str">
        <f aca="false">IF(E950="CONTADO", 4%, IF(E950="TARJETA / CHEQUE", 3%, IF(OR(E950="FINANCIADO", E950="MCP"), 2.5%, "")))</f>
        <v/>
      </c>
      <c r="G950" s="122" t="str">
        <f aca="false">IF(F950="", "", F950*D950)</f>
        <v/>
      </c>
      <c r="H950" s="131" t="b">
        <f aca="false">FALSE()</f>
        <v>0</v>
      </c>
      <c r="I950" s="131" t="b">
        <f aca="false">FALSE()</f>
        <v>0</v>
      </c>
      <c r="J950" s="130"/>
      <c r="K950" s="110"/>
      <c r="L950" s="83"/>
      <c r="M950" s="103"/>
      <c r="N950" s="103"/>
      <c r="O950" s="103"/>
      <c r="P950" s="103"/>
      <c r="Q950" s="103"/>
      <c r="R950" s="83"/>
      <c r="S950" s="103"/>
      <c r="T950" s="103"/>
      <c r="U950" s="103"/>
    </row>
    <row r="951" customFormat="false" ht="22.5" hidden="false" customHeight="true" outlineLevel="0" collapsed="false">
      <c r="A951" s="99"/>
      <c r="B951" s="99"/>
      <c r="C951" s="99"/>
      <c r="D951" s="121"/>
      <c r="E951" s="99"/>
      <c r="F951" s="124" t="str">
        <f aca="false">IF(E951="CONTADO", 4%, IF(E951="TARJETA / CHEQUE", 3%, IF(OR(E951="FINANCIADO", E951="MCP"), 2.5%, "")))</f>
        <v/>
      </c>
      <c r="G951" s="121" t="str">
        <f aca="false">IF(F951="", "", F951*D951)</f>
        <v/>
      </c>
      <c r="H951" s="132" t="b">
        <f aca="false">FALSE()</f>
        <v>0</v>
      </c>
      <c r="I951" s="132" t="b">
        <f aca="false">FALSE()</f>
        <v>0</v>
      </c>
      <c r="J951" s="126"/>
      <c r="K951" s="99"/>
      <c r="L951" s="83"/>
      <c r="M951" s="103"/>
      <c r="N951" s="103"/>
      <c r="O951" s="103"/>
      <c r="P951" s="103"/>
      <c r="Q951" s="103"/>
      <c r="R951" s="83"/>
      <c r="S951" s="103"/>
      <c r="T951" s="103"/>
      <c r="U951" s="103"/>
    </row>
    <row r="952" customFormat="false" ht="22.5" hidden="false" customHeight="true" outlineLevel="0" collapsed="false">
      <c r="A952" s="110"/>
      <c r="B952" s="110"/>
      <c r="C952" s="110"/>
      <c r="D952" s="122"/>
      <c r="E952" s="110"/>
      <c r="F952" s="128" t="str">
        <f aca="false">IF(E952="CONTADO", 4%, IF(E952="TARJETA / CHEQUE", 3%, IF(OR(E952="FINANCIADO", E952="MCP"), 2.5%, "")))</f>
        <v/>
      </c>
      <c r="G952" s="122" t="str">
        <f aca="false">IF(F952="", "", F952*D952)</f>
        <v/>
      </c>
      <c r="H952" s="131" t="b">
        <f aca="false">FALSE()</f>
        <v>0</v>
      </c>
      <c r="I952" s="131" t="b">
        <f aca="false">FALSE()</f>
        <v>0</v>
      </c>
      <c r="J952" s="130"/>
      <c r="K952" s="110"/>
      <c r="L952" s="83"/>
      <c r="M952" s="103"/>
      <c r="N952" s="103"/>
      <c r="O952" s="103"/>
      <c r="P952" s="103"/>
      <c r="Q952" s="103"/>
      <c r="R952" s="83"/>
      <c r="S952" s="103"/>
      <c r="T952" s="103"/>
      <c r="U952" s="103"/>
    </row>
    <row r="953" customFormat="false" ht="22.5" hidden="false" customHeight="true" outlineLevel="0" collapsed="false">
      <c r="A953" s="99"/>
      <c r="B953" s="99"/>
      <c r="C953" s="99"/>
      <c r="D953" s="121"/>
      <c r="E953" s="99"/>
      <c r="F953" s="124" t="str">
        <f aca="false">IF(E953="CONTADO", 4%, IF(E953="TARJETA / CHEQUE", 3%, IF(OR(E953="FINANCIADO", E953="MCP"), 2.5%, "")))</f>
        <v/>
      </c>
      <c r="G953" s="121" t="str">
        <f aca="false">IF(F953="", "", F953*D953)</f>
        <v/>
      </c>
      <c r="H953" s="132" t="b">
        <f aca="false">FALSE()</f>
        <v>0</v>
      </c>
      <c r="I953" s="132" t="b">
        <f aca="false">FALSE()</f>
        <v>0</v>
      </c>
      <c r="J953" s="126"/>
      <c r="K953" s="99"/>
      <c r="L953" s="83"/>
      <c r="M953" s="103"/>
      <c r="N953" s="103"/>
      <c r="O953" s="103"/>
      <c r="P953" s="103"/>
      <c r="Q953" s="103"/>
      <c r="R953" s="83"/>
      <c r="S953" s="103"/>
      <c r="T953" s="103"/>
      <c r="U953" s="103"/>
    </row>
    <row r="954" customFormat="false" ht="22.5" hidden="false" customHeight="true" outlineLevel="0" collapsed="false">
      <c r="A954" s="110"/>
      <c r="B954" s="110"/>
      <c r="C954" s="110"/>
      <c r="D954" s="122"/>
      <c r="E954" s="110"/>
      <c r="F954" s="128" t="str">
        <f aca="false">IF(E954="CONTADO", 4%, IF(E954="TARJETA / CHEQUE", 3%, IF(OR(E954="FINANCIADO", E954="MCP"), 2.5%, "")))</f>
        <v/>
      </c>
      <c r="G954" s="122" t="str">
        <f aca="false">IF(F954="", "", F954*D954)</f>
        <v/>
      </c>
      <c r="H954" s="131" t="b">
        <f aca="false">FALSE()</f>
        <v>0</v>
      </c>
      <c r="I954" s="131" t="b">
        <f aca="false">FALSE()</f>
        <v>0</v>
      </c>
      <c r="J954" s="130"/>
      <c r="K954" s="110"/>
      <c r="L954" s="83"/>
      <c r="M954" s="103"/>
      <c r="N954" s="103"/>
      <c r="O954" s="103"/>
      <c r="P954" s="103"/>
      <c r="Q954" s="103"/>
      <c r="R954" s="83"/>
      <c r="S954" s="103"/>
      <c r="T954" s="103"/>
      <c r="U954" s="103"/>
    </row>
    <row r="955" customFormat="false" ht="22.5" hidden="false" customHeight="true" outlineLevel="0" collapsed="false">
      <c r="A955" s="99"/>
      <c r="B955" s="99"/>
      <c r="C955" s="99"/>
      <c r="D955" s="121"/>
      <c r="E955" s="99"/>
      <c r="F955" s="124" t="str">
        <f aca="false">IF(E955="CONTADO", 4%, IF(E955="TARJETA / CHEQUE", 3%, IF(OR(E955="FINANCIADO", E955="MCP"), 2.5%, "")))</f>
        <v/>
      </c>
      <c r="G955" s="121" t="str">
        <f aca="false">IF(F955="", "", F955*D955)</f>
        <v/>
      </c>
      <c r="H955" s="132" t="b">
        <f aca="false">FALSE()</f>
        <v>0</v>
      </c>
      <c r="I955" s="132" t="b">
        <f aca="false">FALSE()</f>
        <v>0</v>
      </c>
      <c r="J955" s="126"/>
      <c r="K955" s="99"/>
      <c r="L955" s="83"/>
      <c r="M955" s="103"/>
      <c r="N955" s="103"/>
      <c r="O955" s="103"/>
      <c r="P955" s="103"/>
      <c r="Q955" s="103"/>
      <c r="R955" s="83"/>
      <c r="S955" s="103"/>
      <c r="T955" s="103"/>
      <c r="U955" s="103"/>
    </row>
    <row r="956" customFormat="false" ht="22.5" hidden="false" customHeight="true" outlineLevel="0" collapsed="false">
      <c r="A956" s="110"/>
      <c r="B956" s="110"/>
      <c r="C956" s="110"/>
      <c r="D956" s="122"/>
      <c r="E956" s="110"/>
      <c r="F956" s="128" t="str">
        <f aca="false">IF(E956="CONTADO", 4%, IF(E956="TARJETA / CHEQUE", 3%, IF(OR(E956="FINANCIADO", E956="MCP"), 2.5%, "")))</f>
        <v/>
      </c>
      <c r="G956" s="122" t="str">
        <f aca="false">IF(F956="", "", F956*D956)</f>
        <v/>
      </c>
      <c r="H956" s="131" t="b">
        <f aca="false">FALSE()</f>
        <v>0</v>
      </c>
      <c r="I956" s="131" t="b">
        <f aca="false">FALSE()</f>
        <v>0</v>
      </c>
      <c r="J956" s="130"/>
      <c r="K956" s="110"/>
      <c r="L956" s="83"/>
      <c r="M956" s="103"/>
      <c r="N956" s="103"/>
      <c r="O956" s="103"/>
      <c r="P956" s="103"/>
      <c r="Q956" s="103"/>
      <c r="R956" s="83"/>
      <c r="S956" s="103"/>
      <c r="T956" s="103"/>
      <c r="U956" s="103"/>
    </row>
    <row r="957" customFormat="false" ht="22.5" hidden="false" customHeight="true" outlineLevel="0" collapsed="false">
      <c r="A957" s="99"/>
      <c r="B957" s="99"/>
      <c r="C957" s="99"/>
      <c r="D957" s="121"/>
      <c r="E957" s="99"/>
      <c r="F957" s="124" t="str">
        <f aca="false">IF(E957="CONTADO", 4%, IF(E957="TARJETA / CHEQUE", 3%, IF(OR(E957="FINANCIADO", E957="MCP"), 2.5%, "")))</f>
        <v/>
      </c>
      <c r="G957" s="121" t="str">
        <f aca="false">IF(F957="", "", F957*D957)</f>
        <v/>
      </c>
      <c r="H957" s="132" t="b">
        <f aca="false">FALSE()</f>
        <v>0</v>
      </c>
      <c r="I957" s="132" t="b">
        <f aca="false">FALSE()</f>
        <v>0</v>
      </c>
      <c r="J957" s="126"/>
      <c r="K957" s="99"/>
      <c r="L957" s="83"/>
      <c r="M957" s="103"/>
      <c r="N957" s="103"/>
      <c r="O957" s="103"/>
      <c r="P957" s="103"/>
      <c r="Q957" s="103"/>
      <c r="R957" s="83"/>
      <c r="S957" s="103"/>
      <c r="T957" s="103"/>
      <c r="U957" s="103"/>
    </row>
    <row r="958" customFormat="false" ht="22.5" hidden="false" customHeight="true" outlineLevel="0" collapsed="false">
      <c r="A958" s="110"/>
      <c r="B958" s="110"/>
      <c r="C958" s="110"/>
      <c r="D958" s="122"/>
      <c r="E958" s="110"/>
      <c r="F958" s="128" t="str">
        <f aca="false">IF(E958="CONTADO", 4%, IF(E958="TARJETA / CHEQUE", 3%, IF(OR(E958="FINANCIADO", E958="MCP"), 2.5%, "")))</f>
        <v/>
      </c>
      <c r="G958" s="122" t="str">
        <f aca="false">IF(F958="", "", F958*D958)</f>
        <v/>
      </c>
      <c r="H958" s="131" t="b">
        <f aca="false">FALSE()</f>
        <v>0</v>
      </c>
      <c r="I958" s="131" t="b">
        <f aca="false">FALSE()</f>
        <v>0</v>
      </c>
      <c r="J958" s="130"/>
      <c r="K958" s="110"/>
      <c r="L958" s="83"/>
      <c r="M958" s="103"/>
      <c r="N958" s="103"/>
      <c r="O958" s="103"/>
      <c r="P958" s="103"/>
      <c r="Q958" s="103"/>
      <c r="R958" s="83"/>
      <c r="S958" s="103"/>
      <c r="T958" s="103"/>
      <c r="U958" s="103"/>
    </row>
    <row r="959" customFormat="false" ht="22.5" hidden="false" customHeight="true" outlineLevel="0" collapsed="false">
      <c r="A959" s="99"/>
      <c r="B959" s="99"/>
      <c r="C959" s="99"/>
      <c r="D959" s="121"/>
      <c r="E959" s="99"/>
      <c r="F959" s="124" t="str">
        <f aca="false">IF(E959="CONTADO", 4%, IF(E959="TARJETA / CHEQUE", 3%, IF(OR(E959="FINANCIADO", E959="MCP"), 2.5%, "")))</f>
        <v/>
      </c>
      <c r="G959" s="121" t="str">
        <f aca="false">IF(F959="", "", F959*D959)</f>
        <v/>
      </c>
      <c r="H959" s="132" t="b">
        <f aca="false">FALSE()</f>
        <v>0</v>
      </c>
      <c r="I959" s="132" t="b">
        <f aca="false">FALSE()</f>
        <v>0</v>
      </c>
      <c r="J959" s="126"/>
      <c r="K959" s="99"/>
      <c r="L959" s="83"/>
      <c r="M959" s="103"/>
      <c r="N959" s="103"/>
      <c r="O959" s="103"/>
      <c r="P959" s="103"/>
      <c r="Q959" s="103"/>
      <c r="R959" s="83"/>
      <c r="S959" s="103"/>
      <c r="T959" s="103"/>
      <c r="U959" s="103"/>
    </row>
    <row r="960" customFormat="false" ht="22.5" hidden="false" customHeight="true" outlineLevel="0" collapsed="false">
      <c r="A960" s="110"/>
      <c r="B960" s="110"/>
      <c r="C960" s="110"/>
      <c r="D960" s="122"/>
      <c r="E960" s="110"/>
      <c r="F960" s="128" t="str">
        <f aca="false">IF(E960="CONTADO", 4%, IF(E960="TARJETA / CHEQUE", 3%, IF(OR(E960="FINANCIADO", E960="MCP"), 2.5%, "")))</f>
        <v/>
      </c>
      <c r="G960" s="122" t="str">
        <f aca="false">IF(F960="", "", F960*D960)</f>
        <v/>
      </c>
      <c r="H960" s="131" t="b">
        <f aca="false">FALSE()</f>
        <v>0</v>
      </c>
      <c r="I960" s="131" t="b">
        <f aca="false">FALSE()</f>
        <v>0</v>
      </c>
      <c r="J960" s="130"/>
      <c r="K960" s="110"/>
      <c r="L960" s="83"/>
      <c r="M960" s="103"/>
      <c r="N960" s="103"/>
      <c r="O960" s="103"/>
      <c r="P960" s="103"/>
      <c r="Q960" s="103"/>
      <c r="R960" s="83"/>
      <c r="S960" s="103"/>
      <c r="T960" s="103"/>
      <c r="U960" s="103"/>
    </row>
    <row r="961" customFormat="false" ht="22.5" hidden="false" customHeight="true" outlineLevel="0" collapsed="false">
      <c r="A961" s="99"/>
      <c r="B961" s="99"/>
      <c r="C961" s="99"/>
      <c r="D961" s="121"/>
      <c r="E961" s="99"/>
      <c r="F961" s="124" t="str">
        <f aca="false">IF(E961="CONTADO", 4%, IF(E961="TARJETA / CHEQUE", 3%, IF(OR(E961="FINANCIADO", E961="MCP"), 2.5%, "")))</f>
        <v/>
      </c>
      <c r="G961" s="121" t="str">
        <f aca="false">IF(F961="", "", F961*D961)</f>
        <v/>
      </c>
      <c r="H961" s="132" t="b">
        <f aca="false">FALSE()</f>
        <v>0</v>
      </c>
      <c r="I961" s="132" t="b">
        <f aca="false">FALSE()</f>
        <v>0</v>
      </c>
      <c r="J961" s="126"/>
      <c r="K961" s="99"/>
      <c r="L961" s="83"/>
      <c r="M961" s="103"/>
      <c r="N961" s="103"/>
      <c r="O961" s="103"/>
      <c r="P961" s="103"/>
      <c r="Q961" s="103"/>
      <c r="R961" s="83"/>
      <c r="S961" s="103"/>
      <c r="T961" s="103"/>
      <c r="U961" s="103"/>
    </row>
    <row r="962" customFormat="false" ht="22.5" hidden="false" customHeight="true" outlineLevel="0" collapsed="false">
      <c r="A962" s="110"/>
      <c r="B962" s="110"/>
      <c r="C962" s="110"/>
      <c r="D962" s="122"/>
      <c r="E962" s="110"/>
      <c r="F962" s="128" t="str">
        <f aca="false">IF(E962="CONTADO", 4%, IF(E962="TARJETA / CHEQUE", 3%, IF(OR(E962="FINANCIADO", E962="MCP"), 2.5%, "")))</f>
        <v/>
      </c>
      <c r="G962" s="122" t="str">
        <f aca="false">IF(F962="", "", F962*D962)</f>
        <v/>
      </c>
      <c r="H962" s="131" t="b">
        <f aca="false">FALSE()</f>
        <v>0</v>
      </c>
      <c r="I962" s="131" t="b">
        <f aca="false">FALSE()</f>
        <v>0</v>
      </c>
      <c r="J962" s="130"/>
      <c r="K962" s="110"/>
      <c r="L962" s="83"/>
      <c r="M962" s="103"/>
      <c r="N962" s="103"/>
      <c r="O962" s="103"/>
      <c r="P962" s="103"/>
      <c r="Q962" s="103"/>
      <c r="R962" s="83"/>
      <c r="S962" s="103"/>
      <c r="T962" s="103"/>
      <c r="U962" s="103"/>
    </row>
    <row r="963" customFormat="false" ht="22.5" hidden="false" customHeight="true" outlineLevel="0" collapsed="false">
      <c r="A963" s="99"/>
      <c r="B963" s="99"/>
      <c r="C963" s="99"/>
      <c r="D963" s="121"/>
      <c r="E963" s="99"/>
      <c r="F963" s="124" t="str">
        <f aca="false">IF(E963="CONTADO", 4%, IF(E963="TARJETA / CHEQUE", 3%, IF(OR(E963="FINANCIADO", E963="MCP"), 2.5%, "")))</f>
        <v/>
      </c>
      <c r="G963" s="121" t="str">
        <f aca="false">IF(F963="", "", F963*D963)</f>
        <v/>
      </c>
      <c r="H963" s="132" t="b">
        <f aca="false">FALSE()</f>
        <v>0</v>
      </c>
      <c r="I963" s="132" t="b">
        <f aca="false">FALSE()</f>
        <v>0</v>
      </c>
      <c r="J963" s="126"/>
      <c r="K963" s="99"/>
      <c r="L963" s="83"/>
      <c r="M963" s="103"/>
      <c r="N963" s="103"/>
      <c r="O963" s="103"/>
      <c r="P963" s="103"/>
      <c r="Q963" s="103"/>
      <c r="R963" s="83"/>
      <c r="S963" s="103"/>
      <c r="T963" s="103"/>
      <c r="U963" s="103"/>
    </row>
    <row r="964" customFormat="false" ht="22.5" hidden="false" customHeight="true" outlineLevel="0" collapsed="false">
      <c r="A964" s="110"/>
      <c r="B964" s="110"/>
      <c r="C964" s="110"/>
      <c r="D964" s="122"/>
      <c r="E964" s="110"/>
      <c r="F964" s="128" t="str">
        <f aca="false">IF(E964="CONTADO", 4%, IF(E964="TARJETA / CHEQUE", 3%, IF(OR(E964="FINANCIADO", E964="MCP"), 2.5%, "")))</f>
        <v/>
      </c>
      <c r="G964" s="122" t="str">
        <f aca="false">IF(F964="", "", F964*D964)</f>
        <v/>
      </c>
      <c r="H964" s="131" t="b">
        <f aca="false">FALSE()</f>
        <v>0</v>
      </c>
      <c r="I964" s="131" t="b">
        <f aca="false">FALSE()</f>
        <v>0</v>
      </c>
      <c r="J964" s="130"/>
      <c r="K964" s="110"/>
      <c r="L964" s="83"/>
      <c r="M964" s="103"/>
      <c r="N964" s="103"/>
      <c r="O964" s="103"/>
      <c r="P964" s="103"/>
      <c r="Q964" s="103"/>
      <c r="R964" s="83"/>
      <c r="S964" s="103"/>
      <c r="T964" s="103"/>
      <c r="U964" s="103"/>
    </row>
    <row r="965" customFormat="false" ht="22.5" hidden="false" customHeight="true" outlineLevel="0" collapsed="false">
      <c r="A965" s="99"/>
      <c r="B965" s="99"/>
      <c r="C965" s="99"/>
      <c r="D965" s="121"/>
      <c r="E965" s="99"/>
      <c r="F965" s="124" t="str">
        <f aca="false">IF(E965="CONTADO", 4%, IF(E965="TARJETA / CHEQUE", 3%, IF(OR(E965="FINANCIADO", E965="MCP"), 2.5%, "")))</f>
        <v/>
      </c>
      <c r="G965" s="121" t="str">
        <f aca="false">IF(F965="", "", F965*D965)</f>
        <v/>
      </c>
      <c r="H965" s="132" t="b">
        <f aca="false">FALSE()</f>
        <v>0</v>
      </c>
      <c r="I965" s="132" t="b">
        <f aca="false">FALSE()</f>
        <v>0</v>
      </c>
      <c r="J965" s="126"/>
      <c r="K965" s="99"/>
      <c r="L965" s="83"/>
      <c r="M965" s="103"/>
      <c r="N965" s="103"/>
      <c r="O965" s="103"/>
      <c r="P965" s="103"/>
      <c r="Q965" s="103"/>
      <c r="R965" s="83"/>
      <c r="S965" s="103"/>
      <c r="T965" s="103"/>
      <c r="U965" s="103"/>
    </row>
    <row r="966" customFormat="false" ht="22.5" hidden="false" customHeight="true" outlineLevel="0" collapsed="false">
      <c r="A966" s="110"/>
      <c r="B966" s="110"/>
      <c r="C966" s="110"/>
      <c r="D966" s="122"/>
      <c r="E966" s="110"/>
      <c r="F966" s="128" t="str">
        <f aca="false">IF(E966="CONTADO", 4%, IF(E966="TARJETA / CHEQUE", 3%, IF(OR(E966="FINANCIADO", E966="MCP"), 2.5%, "")))</f>
        <v/>
      </c>
      <c r="G966" s="122" t="str">
        <f aca="false">IF(F966="", "", F966*D966)</f>
        <v/>
      </c>
      <c r="H966" s="131" t="b">
        <f aca="false">FALSE()</f>
        <v>0</v>
      </c>
      <c r="I966" s="131" t="b">
        <f aca="false">FALSE()</f>
        <v>0</v>
      </c>
      <c r="J966" s="130"/>
      <c r="K966" s="110"/>
      <c r="L966" s="83"/>
      <c r="M966" s="103"/>
      <c r="N966" s="103"/>
      <c r="O966" s="103"/>
      <c r="P966" s="103"/>
      <c r="Q966" s="103"/>
      <c r="R966" s="83"/>
      <c r="S966" s="103"/>
      <c r="T966" s="103"/>
      <c r="U966" s="103"/>
    </row>
    <row r="967" customFormat="false" ht="22.5" hidden="false" customHeight="true" outlineLevel="0" collapsed="false">
      <c r="A967" s="99"/>
      <c r="B967" s="99"/>
      <c r="C967" s="99"/>
      <c r="D967" s="121"/>
      <c r="E967" s="99"/>
      <c r="F967" s="124" t="str">
        <f aca="false">IF(E967="CONTADO", 4%, IF(E967="TARJETA / CHEQUE", 3%, IF(OR(E967="FINANCIADO", E967="MCP"), 2.5%, "")))</f>
        <v/>
      </c>
      <c r="G967" s="121" t="str">
        <f aca="false">IF(F967="", "", F967*D967)</f>
        <v/>
      </c>
      <c r="H967" s="132" t="b">
        <f aca="false">FALSE()</f>
        <v>0</v>
      </c>
      <c r="I967" s="132" t="b">
        <f aca="false">FALSE()</f>
        <v>0</v>
      </c>
      <c r="J967" s="126"/>
      <c r="K967" s="99"/>
      <c r="L967" s="83"/>
      <c r="M967" s="103"/>
      <c r="N967" s="103"/>
      <c r="O967" s="103"/>
      <c r="P967" s="103"/>
      <c r="Q967" s="103"/>
      <c r="R967" s="83"/>
      <c r="S967" s="103"/>
      <c r="T967" s="103"/>
      <c r="U967" s="103"/>
    </row>
    <row r="968" customFormat="false" ht="22.5" hidden="false" customHeight="true" outlineLevel="0" collapsed="false">
      <c r="A968" s="110"/>
      <c r="B968" s="110"/>
      <c r="C968" s="110"/>
      <c r="D968" s="122"/>
      <c r="E968" s="110"/>
      <c r="F968" s="128" t="str">
        <f aca="false">IF(E968="CONTADO", 4%, IF(E968="TARJETA / CHEQUE", 3%, IF(OR(E968="FINANCIADO", E968="MCP"), 2.5%, "")))</f>
        <v/>
      </c>
      <c r="G968" s="122" t="str">
        <f aca="false">IF(F968="", "", F968*D968)</f>
        <v/>
      </c>
      <c r="H968" s="131" t="b">
        <f aca="false">FALSE()</f>
        <v>0</v>
      </c>
      <c r="I968" s="131" t="b">
        <f aca="false">FALSE()</f>
        <v>0</v>
      </c>
      <c r="J968" s="130"/>
      <c r="K968" s="110"/>
      <c r="L968" s="83"/>
      <c r="M968" s="103"/>
      <c r="N968" s="103"/>
      <c r="O968" s="103"/>
      <c r="P968" s="103"/>
      <c r="Q968" s="103"/>
      <c r="R968" s="83"/>
      <c r="S968" s="103"/>
      <c r="T968" s="103"/>
      <c r="U968" s="103"/>
    </row>
    <row r="969" customFormat="false" ht="22.5" hidden="false" customHeight="true" outlineLevel="0" collapsed="false">
      <c r="A969" s="99"/>
      <c r="B969" s="99"/>
      <c r="C969" s="99"/>
      <c r="D969" s="121"/>
      <c r="E969" s="99"/>
      <c r="F969" s="124" t="str">
        <f aca="false">IF(E969="CONTADO", 4%, IF(E969="TARJETA / CHEQUE", 3%, IF(OR(E969="FINANCIADO", E969="MCP"), 2.5%, "")))</f>
        <v/>
      </c>
      <c r="G969" s="121" t="str">
        <f aca="false">IF(F969="", "", F969*D969)</f>
        <v/>
      </c>
      <c r="H969" s="132" t="b">
        <f aca="false">FALSE()</f>
        <v>0</v>
      </c>
      <c r="I969" s="132" t="b">
        <f aca="false">FALSE()</f>
        <v>0</v>
      </c>
      <c r="J969" s="126"/>
      <c r="K969" s="99"/>
      <c r="L969" s="83"/>
      <c r="M969" s="103"/>
      <c r="N969" s="103"/>
      <c r="O969" s="103"/>
      <c r="P969" s="103"/>
      <c r="Q969" s="103"/>
      <c r="R969" s="83"/>
      <c r="S969" s="103"/>
      <c r="T969" s="103"/>
      <c r="U969" s="103"/>
    </row>
    <row r="970" customFormat="false" ht="22.5" hidden="false" customHeight="true" outlineLevel="0" collapsed="false">
      <c r="A970" s="110"/>
      <c r="B970" s="110"/>
      <c r="C970" s="110"/>
      <c r="D970" s="122"/>
      <c r="E970" s="110"/>
      <c r="F970" s="128" t="str">
        <f aca="false">IF(E970="CONTADO", 4%, IF(E970="TARJETA / CHEQUE", 3%, IF(OR(E970="FINANCIADO", E970="MCP"), 2.5%, "")))</f>
        <v/>
      </c>
      <c r="G970" s="122" t="str">
        <f aca="false">IF(F970="", "", F970*D970)</f>
        <v/>
      </c>
      <c r="H970" s="131" t="b">
        <f aca="false">FALSE()</f>
        <v>0</v>
      </c>
      <c r="I970" s="131" t="b">
        <f aca="false">FALSE()</f>
        <v>0</v>
      </c>
      <c r="J970" s="130"/>
      <c r="K970" s="110"/>
      <c r="L970" s="83"/>
      <c r="M970" s="103"/>
      <c r="N970" s="103"/>
      <c r="O970" s="103"/>
      <c r="P970" s="103"/>
      <c r="Q970" s="103"/>
      <c r="R970" s="83"/>
      <c r="S970" s="103"/>
      <c r="T970" s="103"/>
      <c r="U970" s="103"/>
    </row>
    <row r="971" customFormat="false" ht="22.5" hidden="false" customHeight="true" outlineLevel="0" collapsed="false">
      <c r="A971" s="99"/>
      <c r="B971" s="99"/>
      <c r="C971" s="99"/>
      <c r="D971" s="121"/>
      <c r="E971" s="99"/>
      <c r="F971" s="124" t="str">
        <f aca="false">IF(E971="CONTADO", 4%, IF(E971="TARJETA / CHEQUE", 3%, IF(OR(E971="FINANCIADO", E971="MCP"), 2.5%, "")))</f>
        <v/>
      </c>
      <c r="G971" s="121" t="str">
        <f aca="false">IF(F971="", "", F971*D971)</f>
        <v/>
      </c>
      <c r="H971" s="132" t="b">
        <f aca="false">FALSE()</f>
        <v>0</v>
      </c>
      <c r="I971" s="132" t="b">
        <f aca="false">FALSE()</f>
        <v>0</v>
      </c>
      <c r="J971" s="126"/>
      <c r="K971" s="99"/>
      <c r="L971" s="83"/>
      <c r="M971" s="103"/>
      <c r="N971" s="103"/>
      <c r="O971" s="103"/>
      <c r="P971" s="103"/>
      <c r="Q971" s="103"/>
      <c r="R971" s="83"/>
      <c r="S971" s="103"/>
      <c r="T971" s="103"/>
      <c r="U971" s="103"/>
    </row>
    <row r="972" customFormat="false" ht="22.5" hidden="false" customHeight="true" outlineLevel="0" collapsed="false">
      <c r="A972" s="110"/>
      <c r="B972" s="110"/>
      <c r="C972" s="110"/>
      <c r="D972" s="122"/>
      <c r="E972" s="110"/>
      <c r="F972" s="128" t="str">
        <f aca="false">IF(E972="CONTADO", 4%, IF(E972="TARJETA / CHEQUE", 3%, IF(OR(E972="FINANCIADO", E972="MCP"), 2.5%, "")))</f>
        <v/>
      </c>
      <c r="G972" s="122" t="str">
        <f aca="false">IF(F972="", "", F972*D972)</f>
        <v/>
      </c>
      <c r="H972" s="131" t="b">
        <f aca="false">FALSE()</f>
        <v>0</v>
      </c>
      <c r="I972" s="131" t="b">
        <f aca="false">FALSE()</f>
        <v>0</v>
      </c>
      <c r="J972" s="130"/>
      <c r="K972" s="110"/>
      <c r="L972" s="83"/>
      <c r="M972" s="103"/>
      <c r="N972" s="103"/>
      <c r="O972" s="103"/>
      <c r="P972" s="103"/>
      <c r="Q972" s="103"/>
      <c r="R972" s="83"/>
      <c r="S972" s="103"/>
      <c r="T972" s="103"/>
      <c r="U972" s="103"/>
    </row>
    <row r="973" customFormat="false" ht="22.5" hidden="false" customHeight="true" outlineLevel="0" collapsed="false">
      <c r="A973" s="99"/>
      <c r="B973" s="99"/>
      <c r="C973" s="99"/>
      <c r="D973" s="121"/>
      <c r="E973" s="99"/>
      <c r="F973" s="124" t="str">
        <f aca="false">IF(E973="CONTADO", 4%, IF(E973="TARJETA / CHEQUE", 3%, IF(OR(E973="FINANCIADO", E973="MCP"), 2.5%, "")))</f>
        <v/>
      </c>
      <c r="G973" s="121" t="str">
        <f aca="false">IF(F973="", "", F973*D973)</f>
        <v/>
      </c>
      <c r="H973" s="132" t="b">
        <f aca="false">FALSE()</f>
        <v>0</v>
      </c>
      <c r="I973" s="132" t="b">
        <f aca="false">FALSE()</f>
        <v>0</v>
      </c>
      <c r="J973" s="126"/>
      <c r="K973" s="99"/>
      <c r="L973" s="83"/>
      <c r="M973" s="103"/>
      <c r="N973" s="103"/>
      <c r="O973" s="103"/>
      <c r="P973" s="103"/>
      <c r="Q973" s="103"/>
      <c r="R973" s="83"/>
      <c r="S973" s="103"/>
      <c r="T973" s="103"/>
      <c r="U973" s="103"/>
    </row>
    <row r="974" customFormat="false" ht="22.5" hidden="false" customHeight="true" outlineLevel="0" collapsed="false">
      <c r="A974" s="110"/>
      <c r="B974" s="110"/>
      <c r="C974" s="110"/>
      <c r="D974" s="122"/>
      <c r="E974" s="110"/>
      <c r="F974" s="128" t="str">
        <f aca="false">IF(E974="CONTADO", 4%, IF(E974="TARJETA / CHEQUE", 3%, IF(OR(E974="FINANCIADO", E974="MCP"), 2.5%, "")))</f>
        <v/>
      </c>
      <c r="G974" s="122" t="str">
        <f aca="false">IF(F974="", "", F974*D974)</f>
        <v/>
      </c>
      <c r="H974" s="131" t="b">
        <f aca="false">FALSE()</f>
        <v>0</v>
      </c>
      <c r="I974" s="131" t="b">
        <f aca="false">FALSE()</f>
        <v>0</v>
      </c>
      <c r="J974" s="130"/>
      <c r="K974" s="110"/>
      <c r="L974" s="83"/>
      <c r="M974" s="103"/>
      <c r="N974" s="103"/>
      <c r="O974" s="103"/>
      <c r="P974" s="103"/>
      <c r="Q974" s="103"/>
      <c r="R974" s="83"/>
      <c r="S974" s="103"/>
      <c r="T974" s="103"/>
      <c r="U974" s="103"/>
    </row>
    <row r="975" customFormat="false" ht="22.5" hidden="false" customHeight="true" outlineLevel="0" collapsed="false">
      <c r="A975" s="99"/>
      <c r="B975" s="99"/>
      <c r="C975" s="99"/>
      <c r="D975" s="121"/>
      <c r="E975" s="99"/>
      <c r="F975" s="124" t="str">
        <f aca="false">IF(E975="CONTADO", 4%, IF(E975="TARJETA / CHEQUE", 3%, IF(OR(E975="FINANCIADO", E975="MCP"), 2.5%, "")))</f>
        <v/>
      </c>
      <c r="G975" s="121" t="str">
        <f aca="false">IF(F975="", "", F975*D975)</f>
        <v/>
      </c>
      <c r="H975" s="132" t="b">
        <f aca="false">FALSE()</f>
        <v>0</v>
      </c>
      <c r="I975" s="132" t="b">
        <f aca="false">FALSE()</f>
        <v>0</v>
      </c>
      <c r="J975" s="126"/>
      <c r="K975" s="99"/>
      <c r="L975" s="83"/>
      <c r="M975" s="103"/>
      <c r="N975" s="103"/>
      <c r="O975" s="103"/>
      <c r="P975" s="103"/>
      <c r="Q975" s="103"/>
      <c r="R975" s="83"/>
      <c r="S975" s="103"/>
      <c r="T975" s="103"/>
      <c r="U975" s="103"/>
    </row>
    <row r="976" customFormat="false" ht="22.5" hidden="false" customHeight="true" outlineLevel="0" collapsed="false">
      <c r="A976" s="110"/>
      <c r="B976" s="110"/>
      <c r="C976" s="110"/>
      <c r="D976" s="122"/>
      <c r="E976" s="110"/>
      <c r="F976" s="128" t="str">
        <f aca="false">IF(E976="CONTADO", 4%, IF(E976="TARJETA / CHEQUE", 3%, IF(OR(E976="FINANCIADO", E976="MCP"), 2.5%, "")))</f>
        <v/>
      </c>
      <c r="G976" s="122" t="str">
        <f aca="false">IF(F976="", "", F976*D976)</f>
        <v/>
      </c>
      <c r="H976" s="131" t="b">
        <f aca="false">FALSE()</f>
        <v>0</v>
      </c>
      <c r="I976" s="131" t="b">
        <f aca="false">FALSE()</f>
        <v>0</v>
      </c>
      <c r="J976" s="130"/>
      <c r="K976" s="110"/>
      <c r="L976" s="83"/>
      <c r="M976" s="103"/>
      <c r="N976" s="103"/>
      <c r="O976" s="103"/>
      <c r="P976" s="103"/>
      <c r="Q976" s="103"/>
      <c r="R976" s="83"/>
      <c r="S976" s="103"/>
      <c r="T976" s="103"/>
      <c r="U976" s="103"/>
    </row>
    <row r="977" customFormat="false" ht="22.5" hidden="false" customHeight="true" outlineLevel="0" collapsed="false">
      <c r="A977" s="99"/>
      <c r="B977" s="99"/>
      <c r="C977" s="99"/>
      <c r="D977" s="121"/>
      <c r="E977" s="99"/>
      <c r="F977" s="124" t="str">
        <f aca="false">IF(E977="CONTADO", 4%, IF(E977="TARJETA / CHEQUE", 3%, IF(OR(E977="FINANCIADO", E977="MCP"), 2.5%, "")))</f>
        <v/>
      </c>
      <c r="G977" s="121" t="str">
        <f aca="false">IF(F977="", "", F977*D977)</f>
        <v/>
      </c>
      <c r="H977" s="132" t="b">
        <f aca="false">FALSE()</f>
        <v>0</v>
      </c>
      <c r="I977" s="132" t="b">
        <f aca="false">FALSE()</f>
        <v>0</v>
      </c>
      <c r="J977" s="126"/>
      <c r="K977" s="99"/>
      <c r="L977" s="83"/>
      <c r="M977" s="103"/>
      <c r="N977" s="103"/>
      <c r="O977" s="103"/>
      <c r="P977" s="103"/>
      <c r="Q977" s="103"/>
      <c r="R977" s="83"/>
      <c r="S977" s="103"/>
      <c r="T977" s="103"/>
      <c r="U977" s="103"/>
    </row>
    <row r="978" customFormat="false" ht="22.5" hidden="false" customHeight="true" outlineLevel="0" collapsed="false">
      <c r="A978" s="110"/>
      <c r="B978" s="110"/>
      <c r="C978" s="110"/>
      <c r="D978" s="122"/>
      <c r="E978" s="110"/>
      <c r="F978" s="128" t="str">
        <f aca="false">IF(E978="CONTADO", 4%, IF(E978="TARJETA / CHEQUE", 3%, IF(OR(E978="FINANCIADO", E978="MCP"), 2.5%, "")))</f>
        <v/>
      </c>
      <c r="G978" s="122" t="str">
        <f aca="false">IF(F978="", "", F978*D978)</f>
        <v/>
      </c>
      <c r="H978" s="131" t="b">
        <f aca="false">FALSE()</f>
        <v>0</v>
      </c>
      <c r="I978" s="131" t="b">
        <f aca="false">FALSE()</f>
        <v>0</v>
      </c>
      <c r="J978" s="130"/>
      <c r="K978" s="110"/>
      <c r="L978" s="83"/>
      <c r="M978" s="103"/>
      <c r="N978" s="103"/>
      <c r="O978" s="103"/>
      <c r="P978" s="103"/>
      <c r="Q978" s="103"/>
      <c r="R978" s="83"/>
      <c r="S978" s="103"/>
      <c r="T978" s="103"/>
      <c r="U978" s="103"/>
    </row>
    <row r="979" customFormat="false" ht="22.5" hidden="false" customHeight="true" outlineLevel="0" collapsed="false">
      <c r="A979" s="99"/>
      <c r="B979" s="99"/>
      <c r="C979" s="99"/>
      <c r="D979" s="121"/>
      <c r="E979" s="99"/>
      <c r="F979" s="124" t="str">
        <f aca="false">IF(E979="CONTADO", 4%, IF(E979="TARJETA / CHEQUE", 3%, IF(OR(E979="FINANCIADO", E979="MCP"), 2.5%, "")))</f>
        <v/>
      </c>
      <c r="G979" s="121" t="str">
        <f aca="false">IF(F979="", "", F979*D979)</f>
        <v/>
      </c>
      <c r="H979" s="132" t="b">
        <f aca="false">FALSE()</f>
        <v>0</v>
      </c>
      <c r="I979" s="132" t="b">
        <f aca="false">FALSE()</f>
        <v>0</v>
      </c>
      <c r="J979" s="126"/>
      <c r="K979" s="99"/>
      <c r="L979" s="83"/>
      <c r="M979" s="103"/>
      <c r="N979" s="103"/>
      <c r="O979" s="103"/>
      <c r="P979" s="103"/>
      <c r="Q979" s="103"/>
      <c r="R979" s="83"/>
      <c r="S979" s="103"/>
      <c r="T979" s="103"/>
      <c r="U979" s="103"/>
    </row>
    <row r="980" customFormat="false" ht="22.5" hidden="false" customHeight="true" outlineLevel="0" collapsed="false">
      <c r="A980" s="110"/>
      <c r="B980" s="110"/>
      <c r="C980" s="110"/>
      <c r="D980" s="122"/>
      <c r="E980" s="110"/>
      <c r="F980" s="128" t="str">
        <f aca="false">IF(E980="CONTADO", 4%, IF(E980="TARJETA / CHEQUE", 3%, IF(OR(E980="FINANCIADO", E980="MCP"), 2.5%, "")))</f>
        <v/>
      </c>
      <c r="G980" s="122" t="str">
        <f aca="false">IF(F980="", "", F980*D980)</f>
        <v/>
      </c>
      <c r="H980" s="131" t="b">
        <f aca="false">FALSE()</f>
        <v>0</v>
      </c>
      <c r="I980" s="131" t="b">
        <f aca="false">FALSE()</f>
        <v>0</v>
      </c>
      <c r="J980" s="130"/>
      <c r="K980" s="110"/>
      <c r="L980" s="83"/>
      <c r="M980" s="103"/>
      <c r="N980" s="103"/>
      <c r="O980" s="103"/>
      <c r="P980" s="103"/>
      <c r="Q980" s="103"/>
      <c r="R980" s="83"/>
      <c r="S980" s="103"/>
      <c r="T980" s="103"/>
      <c r="U980" s="103"/>
    </row>
    <row r="981" customFormat="false" ht="22.5" hidden="false" customHeight="true" outlineLevel="0" collapsed="false">
      <c r="A981" s="99"/>
      <c r="B981" s="99"/>
      <c r="C981" s="99"/>
      <c r="D981" s="121"/>
      <c r="E981" s="99"/>
      <c r="F981" s="124" t="str">
        <f aca="false">IF(E981="CONTADO", 4%, IF(E981="TARJETA / CHEQUE", 3%, IF(OR(E981="FINANCIADO", E981="MCP"), 2.5%, "")))</f>
        <v/>
      </c>
      <c r="G981" s="121" t="str">
        <f aca="false">IF(F981="", "", F981*D981)</f>
        <v/>
      </c>
      <c r="H981" s="132" t="b">
        <f aca="false">FALSE()</f>
        <v>0</v>
      </c>
      <c r="I981" s="132" t="b">
        <f aca="false">FALSE()</f>
        <v>0</v>
      </c>
      <c r="J981" s="126"/>
      <c r="K981" s="99"/>
      <c r="L981" s="83"/>
      <c r="M981" s="103"/>
      <c r="N981" s="103"/>
      <c r="O981" s="103"/>
      <c r="P981" s="103"/>
      <c r="Q981" s="103"/>
      <c r="R981" s="83"/>
      <c r="S981" s="103"/>
      <c r="T981" s="103"/>
      <c r="U981" s="103"/>
    </row>
    <row r="982" customFormat="false" ht="22.5" hidden="false" customHeight="true" outlineLevel="0" collapsed="false">
      <c r="A982" s="110"/>
      <c r="B982" s="110"/>
      <c r="C982" s="110"/>
      <c r="D982" s="122"/>
      <c r="E982" s="110"/>
      <c r="F982" s="128" t="str">
        <f aca="false">IF(E982="CONTADO", 4%, IF(E982="TARJETA / CHEQUE", 3%, IF(OR(E982="FINANCIADO", E982="MCP"), 2.5%, "")))</f>
        <v/>
      </c>
      <c r="G982" s="122" t="str">
        <f aca="false">IF(F982="", "", F982*D982)</f>
        <v/>
      </c>
      <c r="H982" s="131" t="b">
        <f aca="false">FALSE()</f>
        <v>0</v>
      </c>
      <c r="I982" s="131" t="b">
        <f aca="false">FALSE()</f>
        <v>0</v>
      </c>
      <c r="J982" s="130"/>
      <c r="K982" s="110"/>
      <c r="L982" s="83"/>
      <c r="M982" s="103"/>
      <c r="N982" s="103"/>
      <c r="O982" s="103"/>
      <c r="P982" s="103"/>
      <c r="Q982" s="103"/>
      <c r="R982" s="83"/>
      <c r="S982" s="103"/>
      <c r="T982" s="103"/>
      <c r="U982" s="103"/>
    </row>
    <row r="983" customFormat="false" ht="22.5" hidden="false" customHeight="true" outlineLevel="0" collapsed="false">
      <c r="A983" s="99"/>
      <c r="B983" s="99"/>
      <c r="C983" s="99"/>
      <c r="D983" s="121"/>
      <c r="E983" s="99"/>
      <c r="F983" s="124" t="str">
        <f aca="false">IF(E983="CONTADO", 4%, IF(E983="TARJETA / CHEQUE", 3%, IF(OR(E983="FINANCIADO", E983="MCP"), 2.5%, "")))</f>
        <v/>
      </c>
      <c r="G983" s="121" t="str">
        <f aca="false">IF(F983="", "", F983*D983)</f>
        <v/>
      </c>
      <c r="H983" s="132" t="b">
        <f aca="false">FALSE()</f>
        <v>0</v>
      </c>
      <c r="I983" s="132" t="b">
        <f aca="false">FALSE()</f>
        <v>0</v>
      </c>
      <c r="J983" s="126"/>
      <c r="K983" s="99"/>
      <c r="L983" s="83"/>
      <c r="M983" s="103"/>
      <c r="N983" s="103"/>
      <c r="O983" s="103"/>
      <c r="P983" s="103"/>
      <c r="Q983" s="103"/>
      <c r="R983" s="83"/>
      <c r="S983" s="103"/>
      <c r="T983" s="103"/>
      <c r="U983" s="103"/>
    </row>
    <row r="984" customFormat="false" ht="22.5" hidden="false" customHeight="true" outlineLevel="0" collapsed="false">
      <c r="A984" s="110"/>
      <c r="B984" s="110"/>
      <c r="C984" s="110"/>
      <c r="D984" s="122"/>
      <c r="E984" s="110"/>
      <c r="F984" s="128" t="str">
        <f aca="false">IF(E984="CONTADO", 4%, IF(E984="TARJETA / CHEQUE", 3%, IF(OR(E984="FINANCIADO", E984="MCP"), 2.5%, "")))</f>
        <v/>
      </c>
      <c r="G984" s="122" t="str">
        <f aca="false">IF(F984="", "", F984*D984)</f>
        <v/>
      </c>
      <c r="H984" s="131" t="b">
        <f aca="false">FALSE()</f>
        <v>0</v>
      </c>
      <c r="I984" s="131" t="b">
        <f aca="false">FALSE()</f>
        <v>0</v>
      </c>
      <c r="J984" s="130"/>
      <c r="K984" s="110"/>
      <c r="L984" s="83"/>
      <c r="M984" s="103"/>
      <c r="N984" s="103"/>
      <c r="O984" s="103"/>
      <c r="P984" s="103"/>
      <c r="Q984" s="103"/>
      <c r="R984" s="83"/>
      <c r="S984" s="103"/>
      <c r="T984" s="103"/>
      <c r="U984" s="103"/>
    </row>
    <row r="985" customFormat="false" ht="22.5" hidden="false" customHeight="true" outlineLevel="0" collapsed="false">
      <c r="A985" s="99"/>
      <c r="B985" s="99"/>
      <c r="C985" s="99"/>
      <c r="D985" s="121"/>
      <c r="E985" s="99"/>
      <c r="F985" s="124" t="str">
        <f aca="false">IF(E985="CONTADO", 4%, IF(E985="TARJETA / CHEQUE", 3%, IF(OR(E985="FINANCIADO", E985="MCP"), 2.5%, "")))</f>
        <v/>
      </c>
      <c r="G985" s="121" t="str">
        <f aca="false">IF(F985="", "", F985*D985)</f>
        <v/>
      </c>
      <c r="H985" s="132" t="b">
        <f aca="false">FALSE()</f>
        <v>0</v>
      </c>
      <c r="I985" s="132" t="b">
        <f aca="false">FALSE()</f>
        <v>0</v>
      </c>
      <c r="J985" s="126"/>
      <c r="K985" s="99"/>
      <c r="L985" s="83"/>
      <c r="M985" s="103"/>
      <c r="N985" s="103"/>
      <c r="O985" s="103"/>
      <c r="P985" s="103"/>
      <c r="Q985" s="103"/>
      <c r="R985" s="83"/>
      <c r="S985" s="103"/>
      <c r="T985" s="103"/>
      <c r="U985" s="103"/>
    </row>
    <row r="986" customFormat="false" ht="22.5" hidden="false" customHeight="true" outlineLevel="0" collapsed="false">
      <c r="A986" s="110"/>
      <c r="B986" s="110"/>
      <c r="C986" s="110"/>
      <c r="D986" s="122"/>
      <c r="E986" s="110"/>
      <c r="F986" s="128" t="str">
        <f aca="false">IF(E986="CONTADO", 4%, IF(E986="TARJETA / CHEQUE", 3%, IF(OR(E986="FINANCIADO", E986="MCP"), 2.5%, "")))</f>
        <v/>
      </c>
      <c r="G986" s="122" t="str">
        <f aca="false">IF(F986="", "", F986*D986)</f>
        <v/>
      </c>
      <c r="H986" s="131" t="b">
        <f aca="false">FALSE()</f>
        <v>0</v>
      </c>
      <c r="I986" s="131" t="b">
        <f aca="false">FALSE()</f>
        <v>0</v>
      </c>
      <c r="J986" s="130"/>
      <c r="K986" s="110"/>
      <c r="L986" s="83"/>
      <c r="M986" s="103"/>
      <c r="N986" s="103"/>
      <c r="O986" s="103"/>
      <c r="P986" s="103"/>
      <c r="Q986" s="103"/>
      <c r="R986" s="83"/>
      <c r="S986" s="103"/>
      <c r="T986" s="103"/>
      <c r="U986" s="103"/>
    </row>
    <row r="987" customFormat="false" ht="22.5" hidden="false" customHeight="true" outlineLevel="0" collapsed="false">
      <c r="A987" s="99"/>
      <c r="B987" s="99"/>
      <c r="C987" s="99"/>
      <c r="D987" s="121"/>
      <c r="E987" s="99"/>
      <c r="F987" s="124" t="str">
        <f aca="false">IF(E987="CONTADO", 4%, IF(E987="TARJETA / CHEQUE", 3%, IF(OR(E987="FINANCIADO", E987="MCP"), 2.5%, "")))</f>
        <v/>
      </c>
      <c r="G987" s="121" t="str">
        <f aca="false">IF(F987="", "", F987*D987)</f>
        <v/>
      </c>
      <c r="H987" s="132" t="b">
        <f aca="false">FALSE()</f>
        <v>0</v>
      </c>
      <c r="I987" s="132" t="b">
        <f aca="false">FALSE()</f>
        <v>0</v>
      </c>
      <c r="J987" s="126"/>
      <c r="K987" s="99"/>
      <c r="L987" s="83"/>
      <c r="M987" s="103"/>
      <c r="N987" s="103"/>
      <c r="O987" s="103"/>
      <c r="P987" s="103"/>
      <c r="Q987" s="103"/>
      <c r="R987" s="83"/>
      <c r="S987" s="103"/>
      <c r="T987" s="103"/>
      <c r="U987" s="103"/>
    </row>
    <row r="988" customFormat="false" ht="22.5" hidden="false" customHeight="true" outlineLevel="0" collapsed="false">
      <c r="A988" s="110"/>
      <c r="B988" s="110"/>
      <c r="C988" s="110"/>
      <c r="D988" s="122"/>
      <c r="E988" s="110"/>
      <c r="F988" s="128" t="str">
        <f aca="false">IF(E988="CONTADO", 4%, IF(E988="TARJETA / CHEQUE", 3%, IF(OR(E988="FINANCIADO", E988="MCP"), 2.5%, "")))</f>
        <v/>
      </c>
      <c r="G988" s="122" t="str">
        <f aca="false">IF(F988="", "", F988*D988)</f>
        <v/>
      </c>
      <c r="H988" s="131" t="b">
        <f aca="false">FALSE()</f>
        <v>0</v>
      </c>
      <c r="I988" s="131" t="b">
        <f aca="false">FALSE()</f>
        <v>0</v>
      </c>
      <c r="J988" s="130"/>
      <c r="K988" s="110"/>
      <c r="L988" s="83"/>
      <c r="M988" s="103"/>
      <c r="N988" s="103"/>
      <c r="O988" s="103"/>
      <c r="P988" s="103"/>
      <c r="Q988" s="103"/>
      <c r="R988" s="83"/>
      <c r="S988" s="103"/>
      <c r="T988" s="103"/>
      <c r="U988" s="103"/>
    </row>
    <row r="989" customFormat="false" ht="22.5" hidden="false" customHeight="true" outlineLevel="0" collapsed="false">
      <c r="A989" s="99"/>
      <c r="B989" s="99"/>
      <c r="C989" s="99"/>
      <c r="D989" s="121"/>
      <c r="E989" s="99"/>
      <c r="F989" s="124" t="str">
        <f aca="false">IF(E989="CONTADO", 4%, IF(E989="TARJETA / CHEQUE", 3%, IF(OR(E989="FINANCIADO", E989="MCP"), 2.5%, "")))</f>
        <v/>
      </c>
      <c r="G989" s="121" t="str">
        <f aca="false">IF(F989="", "", F989*D989)</f>
        <v/>
      </c>
      <c r="H989" s="132" t="b">
        <f aca="false">FALSE()</f>
        <v>0</v>
      </c>
      <c r="I989" s="132" t="b">
        <f aca="false">FALSE()</f>
        <v>0</v>
      </c>
      <c r="J989" s="126"/>
      <c r="K989" s="99"/>
      <c r="L989" s="83"/>
      <c r="M989" s="103"/>
      <c r="N989" s="103"/>
      <c r="O989" s="103"/>
      <c r="P989" s="103"/>
      <c r="Q989" s="103"/>
      <c r="R989" s="83"/>
      <c r="S989" s="103"/>
      <c r="T989" s="103"/>
      <c r="U989" s="103"/>
    </row>
    <row r="990" customFormat="false" ht="22.5" hidden="false" customHeight="true" outlineLevel="0" collapsed="false">
      <c r="A990" s="110"/>
      <c r="B990" s="110"/>
      <c r="C990" s="110"/>
      <c r="D990" s="122"/>
      <c r="E990" s="110"/>
      <c r="F990" s="128" t="str">
        <f aca="false">IF(E990="CONTADO", 4%, IF(E990="TARJETA / CHEQUE", 3%, IF(OR(E990="FINANCIADO", E990="MCP"), 2.5%, "")))</f>
        <v/>
      </c>
      <c r="G990" s="122" t="str">
        <f aca="false">IF(F990="", "", F990*D990)</f>
        <v/>
      </c>
      <c r="H990" s="131" t="b">
        <f aca="false">FALSE()</f>
        <v>0</v>
      </c>
      <c r="I990" s="131" t="b">
        <f aca="false">FALSE()</f>
        <v>0</v>
      </c>
      <c r="J990" s="130"/>
      <c r="K990" s="110"/>
      <c r="L990" s="83"/>
      <c r="M990" s="103"/>
      <c r="N990" s="103"/>
      <c r="O990" s="103"/>
      <c r="P990" s="103"/>
      <c r="Q990" s="103"/>
      <c r="R990" s="83"/>
      <c r="S990" s="103"/>
      <c r="T990" s="103"/>
      <c r="U990" s="103"/>
    </row>
    <row r="991" customFormat="false" ht="22.5" hidden="false" customHeight="true" outlineLevel="0" collapsed="false">
      <c r="A991" s="99"/>
      <c r="B991" s="99"/>
      <c r="C991" s="99"/>
      <c r="D991" s="121"/>
      <c r="E991" s="99"/>
      <c r="F991" s="124" t="str">
        <f aca="false">IF(E991="CONTADO", 4%, IF(E991="TARJETA / CHEQUE", 3%, IF(OR(E991="FINANCIADO", E991="MCP"), 2.5%, "")))</f>
        <v/>
      </c>
      <c r="G991" s="121" t="str">
        <f aca="false">IF(F991="", "", F991*D991)</f>
        <v/>
      </c>
      <c r="H991" s="132" t="b">
        <f aca="false">FALSE()</f>
        <v>0</v>
      </c>
      <c r="I991" s="132" t="b">
        <f aca="false">FALSE()</f>
        <v>0</v>
      </c>
      <c r="J991" s="126"/>
      <c r="K991" s="99"/>
      <c r="L991" s="83"/>
      <c r="M991" s="103"/>
      <c r="N991" s="103"/>
      <c r="O991" s="103"/>
      <c r="P991" s="103"/>
      <c r="Q991" s="103"/>
      <c r="R991" s="83"/>
      <c r="S991" s="103"/>
      <c r="T991" s="103"/>
      <c r="U991" s="103"/>
    </row>
    <row r="992" customFormat="false" ht="22.5" hidden="false" customHeight="true" outlineLevel="0" collapsed="false">
      <c r="A992" s="110"/>
      <c r="B992" s="110"/>
      <c r="C992" s="110"/>
      <c r="D992" s="122"/>
      <c r="E992" s="110"/>
      <c r="F992" s="128" t="str">
        <f aca="false">IF(E992="CONTADO", 4%, IF(E992="TARJETA / CHEQUE", 3%, IF(OR(E992="FINANCIADO", E992="MCP"), 2.5%, "")))</f>
        <v/>
      </c>
      <c r="G992" s="122" t="str">
        <f aca="false">IF(F992="", "", F992*D992)</f>
        <v/>
      </c>
      <c r="H992" s="131" t="b">
        <f aca="false">FALSE()</f>
        <v>0</v>
      </c>
      <c r="I992" s="131" t="b">
        <f aca="false">FALSE()</f>
        <v>0</v>
      </c>
      <c r="J992" s="130"/>
      <c r="K992" s="110"/>
      <c r="L992" s="83"/>
      <c r="M992" s="103"/>
      <c r="N992" s="103"/>
      <c r="O992" s="103"/>
      <c r="P992" s="103"/>
      <c r="Q992" s="103"/>
      <c r="R992" s="83"/>
      <c r="S992" s="103"/>
      <c r="T992" s="103"/>
      <c r="U992" s="103"/>
    </row>
    <row r="993" customFormat="false" ht="22.5" hidden="false" customHeight="true" outlineLevel="0" collapsed="false">
      <c r="A993" s="99"/>
      <c r="B993" s="99"/>
      <c r="C993" s="99"/>
      <c r="D993" s="121"/>
      <c r="E993" s="99"/>
      <c r="F993" s="124" t="str">
        <f aca="false">IF(E993="CONTADO", 4%, IF(E993="TARJETA / CHEQUE", 3%, IF(OR(E993="FINANCIADO", E993="MCP"), 2.5%, "")))</f>
        <v/>
      </c>
      <c r="G993" s="121" t="str">
        <f aca="false">IF(F993="", "", F993*D993)</f>
        <v/>
      </c>
      <c r="H993" s="132" t="b">
        <f aca="false">FALSE()</f>
        <v>0</v>
      </c>
      <c r="I993" s="132" t="b">
        <f aca="false">FALSE()</f>
        <v>0</v>
      </c>
      <c r="J993" s="126"/>
      <c r="K993" s="99"/>
      <c r="L993" s="83"/>
      <c r="M993" s="103"/>
      <c r="N993" s="103"/>
      <c r="O993" s="103"/>
      <c r="P993" s="103"/>
      <c r="Q993" s="103"/>
      <c r="R993" s="83"/>
      <c r="S993" s="103"/>
      <c r="T993" s="103"/>
      <c r="U993" s="103"/>
    </row>
    <row r="994" customFormat="false" ht="22.5" hidden="false" customHeight="true" outlineLevel="0" collapsed="false">
      <c r="A994" s="110"/>
      <c r="B994" s="110"/>
      <c r="C994" s="110"/>
      <c r="D994" s="122"/>
      <c r="E994" s="110"/>
      <c r="F994" s="128" t="str">
        <f aca="false">IF(E994="CONTADO", 4%, IF(E994="TARJETA / CHEQUE", 3%, IF(OR(E994="FINANCIADO", E994="MCP"), 2.5%, "")))</f>
        <v/>
      </c>
      <c r="G994" s="122" t="str">
        <f aca="false">IF(F994="", "", F994*D994)</f>
        <v/>
      </c>
      <c r="H994" s="131" t="b">
        <f aca="false">FALSE()</f>
        <v>0</v>
      </c>
      <c r="I994" s="131" t="b">
        <f aca="false">FALSE()</f>
        <v>0</v>
      </c>
      <c r="J994" s="130"/>
      <c r="K994" s="110"/>
      <c r="L994" s="83"/>
      <c r="M994" s="103"/>
      <c r="N994" s="103"/>
      <c r="O994" s="103"/>
      <c r="P994" s="103"/>
      <c r="Q994" s="103"/>
      <c r="R994" s="83"/>
      <c r="S994" s="103"/>
      <c r="T994" s="103"/>
      <c r="U994" s="103"/>
    </row>
    <row r="995" customFormat="false" ht="22.5" hidden="false" customHeight="true" outlineLevel="0" collapsed="false">
      <c r="A995" s="99"/>
      <c r="B995" s="99"/>
      <c r="C995" s="99"/>
      <c r="D995" s="121"/>
      <c r="E995" s="99"/>
      <c r="F995" s="124" t="str">
        <f aca="false">IF(E995="CONTADO", 4%, IF(E995="TARJETA / CHEQUE", 3%, IF(OR(E995="FINANCIADO", E995="MCP"), 2.5%, "")))</f>
        <v/>
      </c>
      <c r="G995" s="121" t="str">
        <f aca="false">IF(F995="", "", F995*D995)</f>
        <v/>
      </c>
      <c r="H995" s="132" t="b">
        <f aca="false">FALSE()</f>
        <v>0</v>
      </c>
      <c r="I995" s="132" t="b">
        <f aca="false">FALSE()</f>
        <v>0</v>
      </c>
      <c r="J995" s="126"/>
      <c r="K995" s="99"/>
      <c r="L995" s="83"/>
      <c r="M995" s="103"/>
      <c r="N995" s="103"/>
      <c r="O995" s="103"/>
      <c r="P995" s="103"/>
      <c r="Q995" s="103"/>
      <c r="R995" s="83"/>
      <c r="S995" s="103"/>
      <c r="T995" s="103"/>
      <c r="U995" s="103"/>
    </row>
    <row r="996" customFormat="false" ht="22.5" hidden="false" customHeight="true" outlineLevel="0" collapsed="false">
      <c r="A996" s="110"/>
      <c r="B996" s="110"/>
      <c r="C996" s="110"/>
      <c r="D996" s="122"/>
      <c r="E996" s="110"/>
      <c r="F996" s="128" t="str">
        <f aca="false">IF(E996="CONTADO", 4%, IF(E996="TARJETA / CHEQUE", 3%, IF(OR(E996="FINANCIADO", E996="MCP"), 2.5%, "")))</f>
        <v/>
      </c>
      <c r="G996" s="122" t="str">
        <f aca="false">IF(F996="", "", F996*D996)</f>
        <v/>
      </c>
      <c r="H996" s="131" t="b">
        <f aca="false">FALSE()</f>
        <v>0</v>
      </c>
      <c r="I996" s="131" t="b">
        <f aca="false">FALSE()</f>
        <v>0</v>
      </c>
      <c r="J996" s="130"/>
      <c r="K996" s="110"/>
      <c r="L996" s="83"/>
      <c r="M996" s="103"/>
      <c r="N996" s="103"/>
      <c r="O996" s="103"/>
      <c r="P996" s="103"/>
      <c r="Q996" s="103"/>
      <c r="R996" s="83"/>
      <c r="S996" s="103"/>
      <c r="T996" s="103"/>
      <c r="U996" s="103"/>
    </row>
    <row r="997" customFormat="false" ht="22.5" hidden="false" customHeight="true" outlineLevel="0" collapsed="false">
      <c r="A997" s="99"/>
      <c r="B997" s="99"/>
      <c r="C997" s="99"/>
      <c r="D997" s="121"/>
      <c r="E997" s="99"/>
      <c r="F997" s="124" t="str">
        <f aca="false">IF(E997="CONTADO", 4%, IF(E997="TARJETA / CHEQUE", 3%, IF(OR(E997="FINANCIADO", E997="MCP"), 2.5%, "")))</f>
        <v/>
      </c>
      <c r="G997" s="121" t="str">
        <f aca="false">IF(F997="", "", F997*D997)</f>
        <v/>
      </c>
      <c r="H997" s="132" t="b">
        <f aca="false">FALSE()</f>
        <v>0</v>
      </c>
      <c r="I997" s="132" t="b">
        <f aca="false">FALSE()</f>
        <v>0</v>
      </c>
      <c r="J997" s="126"/>
      <c r="K997" s="99"/>
      <c r="L997" s="83"/>
      <c r="M997" s="103"/>
      <c r="N997" s="103"/>
      <c r="O997" s="103"/>
      <c r="P997" s="103"/>
      <c r="Q997" s="103"/>
      <c r="R997" s="83"/>
      <c r="S997" s="103"/>
      <c r="T997" s="103"/>
      <c r="U997" s="103"/>
    </row>
    <row r="998" customFormat="false" ht="22.5" hidden="false" customHeight="true" outlineLevel="0" collapsed="false">
      <c r="A998" s="110"/>
      <c r="B998" s="110"/>
      <c r="C998" s="110"/>
      <c r="D998" s="122"/>
      <c r="E998" s="110"/>
      <c r="F998" s="128" t="str">
        <f aca="false">IF(E998="CONTADO", 4%, IF(E998="TARJETA / CHEQUE", 3%, IF(OR(E998="FINANCIADO", E998="MCP"), 2.5%, "")))</f>
        <v/>
      </c>
      <c r="G998" s="122" t="str">
        <f aca="false">IF(F998="", "", F998*D998)</f>
        <v/>
      </c>
      <c r="H998" s="131" t="b">
        <f aca="false">FALSE()</f>
        <v>0</v>
      </c>
      <c r="I998" s="131" t="b">
        <f aca="false">FALSE()</f>
        <v>0</v>
      </c>
      <c r="J998" s="130"/>
      <c r="K998" s="110"/>
      <c r="L998" s="83"/>
      <c r="M998" s="103"/>
      <c r="N998" s="103"/>
      <c r="O998" s="103"/>
      <c r="P998" s="103"/>
      <c r="Q998" s="103"/>
      <c r="R998" s="83"/>
      <c r="S998" s="103"/>
      <c r="T998" s="103"/>
      <c r="U998" s="103"/>
    </row>
    <row r="999" customFormat="false" ht="22.5" hidden="false" customHeight="true" outlineLevel="0" collapsed="false">
      <c r="A999" s="99"/>
      <c r="B999" s="99"/>
      <c r="C999" s="99"/>
      <c r="D999" s="121"/>
      <c r="E999" s="99"/>
      <c r="F999" s="124" t="str">
        <f aca="false">IF(E999="CONTADO", 4%, IF(E999="TARJETA / CHEQUE", 3%, IF(OR(E999="FINANCIADO", E999="MCP"), 2.5%, "")))</f>
        <v/>
      </c>
      <c r="G999" s="121" t="str">
        <f aca="false">IF(F999="", "", F999*D999)</f>
        <v/>
      </c>
      <c r="H999" s="132" t="b">
        <f aca="false">FALSE()</f>
        <v>0</v>
      </c>
      <c r="I999" s="132" t="b">
        <f aca="false">FALSE()</f>
        <v>0</v>
      </c>
      <c r="J999" s="126"/>
      <c r="K999" s="99"/>
      <c r="L999" s="83"/>
      <c r="M999" s="103"/>
      <c r="N999" s="103"/>
      <c r="O999" s="103"/>
      <c r="P999" s="103"/>
      <c r="Q999" s="103"/>
      <c r="R999" s="83"/>
      <c r="S999" s="103"/>
      <c r="T999" s="103"/>
      <c r="U999" s="103"/>
    </row>
    <row r="1000" customFormat="false" ht="22.5" hidden="false" customHeight="true" outlineLevel="0" collapsed="false">
      <c r="A1000" s="110"/>
      <c r="B1000" s="110"/>
      <c r="C1000" s="110"/>
      <c r="D1000" s="122"/>
      <c r="E1000" s="110"/>
      <c r="F1000" s="128" t="str">
        <f aca="false">IF(E1000="CONTADO", 4%, IF(E1000="TARJETA / CHEQUE", 3%, IF(OR(E1000="FINANCIADO", E1000="MCP"), 2.5%, "")))</f>
        <v/>
      </c>
      <c r="G1000" s="122" t="str">
        <f aca="false">IF(F1000="", "", F1000*D1000)</f>
        <v/>
      </c>
      <c r="H1000" s="131" t="b">
        <f aca="false">FALSE()</f>
        <v>0</v>
      </c>
      <c r="I1000" s="131" t="b">
        <f aca="false">FALSE()</f>
        <v>0</v>
      </c>
      <c r="J1000" s="130"/>
      <c r="K1000" s="110"/>
      <c r="L1000" s="83"/>
      <c r="M1000" s="103"/>
      <c r="N1000" s="103"/>
      <c r="O1000" s="103"/>
      <c r="P1000" s="103"/>
      <c r="Q1000" s="103"/>
      <c r="R1000" s="83"/>
      <c r="S1000" s="103"/>
      <c r="T1000" s="103"/>
      <c r="U1000" s="103"/>
    </row>
  </sheetData>
  <mergeCells count="7">
    <mergeCell ref="A1:K1"/>
    <mergeCell ref="R1:S1"/>
    <mergeCell ref="T1:U1"/>
    <mergeCell ref="R5:S5"/>
    <mergeCell ref="T5:U5"/>
    <mergeCell ref="R6:S6"/>
    <mergeCell ref="T6:U6"/>
  </mergeCells>
  <dataValidations count="4">
    <dataValidation allowBlank="true" errorStyle="stop" operator="between" showDropDown="false" showErrorMessage="true" showInputMessage="false" sqref="K3:K1000" type="list">
      <formula1>"NUEVO,EXISTENTE"</formula1>
      <formula2>0</formula2>
    </dataValidation>
    <dataValidation allowBlank="true" errorStyle="stop" operator="between" showDropDown="true" showErrorMessage="true" showInputMessage="false" sqref="B3:B1000 J3:J1000" type="custom">
      <formula1>OR(NOT(ISERROR(DATEVALUE(B3))), AND(ISNUMBER(B3), LEFT(CELL("format", B3))="D"))</formula1>
      <formula2>0</formula2>
    </dataValidation>
    <dataValidation allowBlank="true" errorStyle="stop" operator="between" showDropDown="false" showErrorMessage="true" showInputMessage="false" sqref="M6" type="list">
      <formula1>BD!$H$2:$H1000</formula1>
      <formula2>0</formula2>
    </dataValidation>
    <dataValidation allowBlank="true" errorStyle="stop" operator="between" showDropDown="false" showErrorMessage="true" showInputMessage="false" sqref="E3:E1000" type="list">
      <formula1>"CONTADO,TARJETA / CHEQUE,FINANCIADO,MCP"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1130"/>
    <outlinePr summaryBelow="0"/>
    <pageSetUpPr fitToPage="false"/>
  </sheetPr>
  <dimension ref="A1:U10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C5" activeCellId="0" sqref="C5"/>
    </sheetView>
  </sheetViews>
  <sheetFormatPr defaultColWidth="12.6328125" defaultRowHeight="15.75" customHeight="true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4.9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true" outlineLevel="1" max="6" min="6" style="0" width="14"/>
    <col collapsed="false" customWidth="true" hidden="true" outlineLevel="1" max="7" min="7" style="0" width="13.63"/>
    <col collapsed="false" customWidth="false" hidden="true" outlineLevel="1" max="8" min="8" style="0" width="12.63"/>
    <col collapsed="false" customWidth="true" hidden="true" outlineLevel="1" max="9" min="9" style="0" width="9.88"/>
    <col collapsed="false" customWidth="true" hidden="true" outlineLevel="1" max="10" min="10" style="0" width="15.38"/>
    <col collapsed="false" customWidth="true" hidden="true" outlineLevel="1" max="11" min="11" style="0" width="10.88"/>
    <col collapsed="false" customWidth="true" hidden="false" outlineLevel="0" max="12" min="12" style="0" width="5.75"/>
    <col collapsed="false" customWidth="true" hidden="false" outlineLevel="0" max="13" min="13" style="0" width="17.88"/>
    <col collapsed="false" customWidth="true" hidden="true" outlineLevel="1" max="14" min="14" style="0" width="14.51"/>
    <col collapsed="false" customWidth="true" hidden="true" outlineLevel="1" max="15" min="15" style="0" width="16.75"/>
    <col collapsed="false" customWidth="true" hidden="true" outlineLevel="1" max="17" min="16" style="0" width="14.51"/>
    <col collapsed="false" customWidth="true" hidden="false" outlineLevel="0" max="19" min="19" style="0" width="15.13"/>
    <col collapsed="false" customWidth="true" hidden="false" outlineLevel="0" max="20" min="20" style="0" width="15.88"/>
    <col collapsed="false" customWidth="true" hidden="false" outlineLevel="0" max="21" min="21" style="0" width="12.5"/>
  </cols>
  <sheetData>
    <row r="1" customFormat="false" ht="30" hidden="false" customHeight="true" outlineLevel="0" collapsed="false">
      <c r="A1" s="133" t="s">
        <v>481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83"/>
      <c r="M1" s="84" t="s">
        <v>446</v>
      </c>
      <c r="N1" s="85" t="s">
        <v>431</v>
      </c>
      <c r="O1" s="86" t="s">
        <v>447</v>
      </c>
      <c r="P1" s="87" t="s">
        <v>433</v>
      </c>
      <c r="Q1" s="88" t="s">
        <v>400</v>
      </c>
      <c r="R1" s="89" t="s">
        <v>448</v>
      </c>
      <c r="S1" s="89"/>
      <c r="T1" s="90" t="s">
        <v>449</v>
      </c>
      <c r="U1" s="90"/>
    </row>
    <row r="2" customFormat="false" ht="30" hidden="false" customHeight="true" outlineLevel="0" collapsed="false">
      <c r="A2" s="91" t="s">
        <v>450</v>
      </c>
      <c r="B2" s="91" t="s">
        <v>451</v>
      </c>
      <c r="C2" s="91" t="s">
        <v>452</v>
      </c>
      <c r="D2" s="91" t="s">
        <v>453</v>
      </c>
      <c r="E2" s="91" t="s">
        <v>454</v>
      </c>
      <c r="F2" s="91" t="s">
        <v>455</v>
      </c>
      <c r="G2" s="91" t="s">
        <v>456</v>
      </c>
      <c r="H2" s="91" t="s">
        <v>457</v>
      </c>
      <c r="I2" s="91" t="s">
        <v>458</v>
      </c>
      <c r="J2" s="92" t="s">
        <v>459</v>
      </c>
      <c r="K2" s="91" t="s">
        <v>382</v>
      </c>
      <c r="L2" s="83"/>
      <c r="M2" s="93" t="n">
        <f aca="false">SUM(D:D)</f>
        <v>23654654.17</v>
      </c>
      <c r="N2" s="94" t="n">
        <f aca="false">SUMIF($E:$E,N1,$D:$D)</f>
        <v>10120300</v>
      </c>
      <c r="O2" s="94" t="n">
        <f aca="false">SUMIF($E:$E,O1,$D:$D)</f>
        <v>4695089.17</v>
      </c>
      <c r="P2" s="94" t="n">
        <f aca="false">SUMIF($E:$E,P1,$D:$D)</f>
        <v>8839265</v>
      </c>
      <c r="Q2" s="94" t="n">
        <f aca="false">SUMIF($E:$E,Q1,$D:$D)</f>
        <v>0</v>
      </c>
      <c r="R2" s="95" t="n">
        <f aca="false">M2/S2</f>
        <v>0.8448090775</v>
      </c>
      <c r="S2" s="93" t="n">
        <v>28000000</v>
      </c>
      <c r="T2" s="95" t="n">
        <f aca="false">(N2+O2+P2+(Q2/2))/U2</f>
        <v>1.741874387</v>
      </c>
      <c r="U2" s="93" t="n">
        <v>13580000</v>
      </c>
    </row>
    <row r="3" customFormat="false" ht="22.5" hidden="false" customHeight="true" outlineLevel="0" collapsed="false">
      <c r="A3" s="134" t="n">
        <v>1</v>
      </c>
      <c r="B3" s="135" t="n">
        <v>46108</v>
      </c>
      <c r="C3" s="96"/>
      <c r="D3" s="98"/>
      <c r="E3" s="99" t="s">
        <v>431</v>
      </c>
      <c r="F3" s="100" t="n">
        <f aca="false">IF(E3="CONTADO", 4%, IF(E3="TARJETA / CHEQUE", 3%, IF(E3="FINANCIADO", 2.5%, "")))</f>
        <v>0.04</v>
      </c>
      <c r="G3" s="98" t="n">
        <f aca="false">IF(F3="", "", F3*D3)</f>
        <v>0</v>
      </c>
      <c r="H3" s="101" t="b">
        <f aca="false">FALSE()</f>
        <v>0</v>
      </c>
      <c r="I3" s="101" t="b">
        <f aca="false">FALSE()</f>
        <v>0</v>
      </c>
      <c r="J3" s="102"/>
      <c r="K3" s="96"/>
      <c r="L3" s="83"/>
      <c r="N3" s="103"/>
      <c r="O3" s="103"/>
      <c r="P3" s="103"/>
      <c r="Q3" s="103"/>
      <c r="R3" s="104" t="s">
        <v>462</v>
      </c>
      <c r="S3" s="105" t="n">
        <f aca="false">S2-M2</f>
        <v>4345345.83</v>
      </c>
      <c r="T3" s="106" t="s">
        <v>462</v>
      </c>
      <c r="U3" s="105" t="str">
        <f aca="false">IF((U2-M2)&gt;=0,U2-M2,"")</f>
        <v/>
      </c>
    </row>
    <row r="4" customFormat="false" ht="22.5" hidden="false" customHeight="true" outlineLevel="0" collapsed="false">
      <c r="A4" s="136"/>
      <c r="B4" s="137"/>
      <c r="C4" s="107"/>
      <c r="D4" s="109"/>
      <c r="E4" s="110" t="s">
        <v>433</v>
      </c>
      <c r="F4" s="111" t="n">
        <f aca="false">IF(E4="CONTADO", 4%, IF(E4="TARJETA / CHEQUE", 3%, IF(E4="FINANCIADO", 2.5%, "")))</f>
        <v>0.025</v>
      </c>
      <c r="G4" s="109" t="n">
        <f aca="false">IF(F4="", "", F4*D4)</f>
        <v>0</v>
      </c>
      <c r="H4" s="112" t="b">
        <f aca="false">FALSE()</f>
        <v>0</v>
      </c>
      <c r="I4" s="112" t="b">
        <f aca="false">FALSE()</f>
        <v>0</v>
      </c>
      <c r="J4" s="113"/>
      <c r="K4" s="107"/>
      <c r="L4" s="83"/>
    </row>
    <row r="5" customFormat="false" ht="22.5" hidden="false" customHeight="true" outlineLevel="0" collapsed="false">
      <c r="A5" s="134" t="s">
        <v>482</v>
      </c>
      <c r="B5" s="135" t="n">
        <v>46109</v>
      </c>
      <c r="C5" s="96" t="s">
        <v>483</v>
      </c>
      <c r="D5" s="98" t="n">
        <v>145530</v>
      </c>
      <c r="E5" s="99" t="s">
        <v>431</v>
      </c>
      <c r="F5" s="100" t="n">
        <f aca="false">IF(E5="CONTADO", 4%, IF(E5="TARJETA / CHEQUE", 3%, IF(E5="FINANCIADO", 2.5%, "")))</f>
        <v>0.04</v>
      </c>
      <c r="G5" s="98" t="n">
        <f aca="false">IF(F5="", "", F5*D5)</f>
        <v>5821.2</v>
      </c>
      <c r="H5" s="101" t="b">
        <f aca="false">TRUE()</f>
        <v>1</v>
      </c>
      <c r="I5" s="101" t="b">
        <f aca="false">TRUE()</f>
        <v>1</v>
      </c>
      <c r="J5" s="102" t="n">
        <v>46118</v>
      </c>
      <c r="K5" s="96" t="s">
        <v>461</v>
      </c>
      <c r="L5" s="83"/>
      <c r="M5" s="114" t="s">
        <v>5</v>
      </c>
      <c r="N5" s="115"/>
      <c r="O5" s="115"/>
      <c r="P5" s="115"/>
      <c r="Q5" s="115"/>
      <c r="R5" s="116" t="s">
        <v>466</v>
      </c>
      <c r="S5" s="116"/>
      <c r="T5" s="117" t="s">
        <v>467</v>
      </c>
      <c r="U5" s="117"/>
    </row>
    <row r="6" customFormat="false" ht="22.5" hidden="false" customHeight="true" outlineLevel="0" collapsed="false">
      <c r="A6" s="136" t="n">
        <v>2</v>
      </c>
      <c r="B6" s="137" t="n">
        <v>46111</v>
      </c>
      <c r="C6" s="107" t="s">
        <v>484</v>
      </c>
      <c r="D6" s="109" t="n">
        <v>71644</v>
      </c>
      <c r="E6" s="110" t="s">
        <v>431</v>
      </c>
      <c r="F6" s="111" t="n">
        <f aca="false">IF(E6="CONTADO", 4%, IF(E6="TARJETA / CHEQUE", 3%, IF(E6="FINANCIADO", 2.5%, "")))</f>
        <v>0.04</v>
      </c>
      <c r="G6" s="109" t="n">
        <f aca="false">IF(F6="", "", F6*D6)</f>
        <v>2865.76</v>
      </c>
      <c r="H6" s="112" t="b">
        <f aca="false">TRUE()</f>
        <v>1</v>
      </c>
      <c r="I6" s="112" t="b">
        <f aca="false">TRUE()</f>
        <v>1</v>
      </c>
      <c r="J6" s="113" t="n">
        <v>46112</v>
      </c>
      <c r="K6" s="107" t="s">
        <v>461</v>
      </c>
      <c r="L6" s="83"/>
      <c r="M6" s="118" t="s">
        <v>272</v>
      </c>
      <c r="N6" s="119"/>
      <c r="O6" s="119"/>
      <c r="P6" s="119"/>
      <c r="Q6" s="119"/>
      <c r="R6" s="120" t="str">
        <f aca="false">IFERROR(VLOOKUP(M6,BD!H:J,2,FALSE()),"")</f>
        <v>Hernán González - ZONA 2</v>
      </c>
      <c r="S6" s="120"/>
      <c r="T6" s="120" t="str">
        <f aca="false">IFERROR(VLOOKUP(M6,BD!H:J,3,FALSE()),"")</f>
        <v>1ER CUOTA</v>
      </c>
      <c r="U6" s="120"/>
    </row>
    <row r="7" customFormat="false" ht="22.5" hidden="false" customHeight="true" outlineLevel="0" collapsed="false">
      <c r="A7" s="134" t="n">
        <v>3</v>
      </c>
      <c r="B7" s="135" t="n">
        <v>46112</v>
      </c>
      <c r="C7" s="96" t="s">
        <v>485</v>
      </c>
      <c r="D7" s="98" t="n">
        <v>830450.96</v>
      </c>
      <c r="E7" s="99" t="s">
        <v>447</v>
      </c>
      <c r="F7" s="100" t="n">
        <f aca="false">IF(E7="CONTADO", 4%, IF(E7="TARJETA / CHEQUE", 3%, IF(E7="FINANCIADO", 2.5%, "")))</f>
        <v>0.03</v>
      </c>
      <c r="G7" s="98" t="n">
        <f aca="false">IF(F7="", "", F7*D7)</f>
        <v>24913.5288</v>
      </c>
      <c r="H7" s="101" t="b">
        <f aca="false">TRUE()</f>
        <v>1</v>
      </c>
      <c r="I7" s="101" t="b">
        <f aca="false">TRUE()</f>
        <v>1</v>
      </c>
      <c r="J7" s="102" t="n">
        <v>46112</v>
      </c>
      <c r="K7" s="96" t="s">
        <v>461</v>
      </c>
      <c r="L7" s="83"/>
      <c r="M7" s="103"/>
      <c r="N7" s="103"/>
      <c r="O7" s="103"/>
      <c r="P7" s="103"/>
      <c r="Q7" s="103"/>
      <c r="R7" s="83"/>
      <c r="S7" s="103"/>
      <c r="T7" s="103"/>
      <c r="U7" s="103"/>
    </row>
    <row r="8" customFormat="false" ht="22.5" hidden="false" customHeight="true" outlineLevel="0" collapsed="false">
      <c r="A8" s="136" t="n">
        <v>4</v>
      </c>
      <c r="B8" s="137" t="n">
        <v>46113</v>
      </c>
      <c r="C8" s="107"/>
      <c r="D8" s="109"/>
      <c r="E8" s="110"/>
      <c r="F8" s="111" t="str">
        <f aca="false">IF(E8="CONTADO", 4%, IF(E8="TARJETA / CHEQUE", 3%, IF(E8="FINANCIADO", 2.5%, "")))</f>
        <v/>
      </c>
      <c r="G8" s="109" t="str">
        <f aca="false">IF(F8="", "", F8*D8)</f>
        <v/>
      </c>
      <c r="H8" s="112" t="b">
        <f aca="false">FALSE()</f>
        <v>0</v>
      </c>
      <c r="I8" s="112" t="b">
        <f aca="false">FALSE()</f>
        <v>0</v>
      </c>
      <c r="J8" s="113"/>
      <c r="K8" s="107"/>
      <c r="L8" s="83"/>
      <c r="M8" s="103"/>
      <c r="N8" s="103"/>
      <c r="O8" s="103"/>
      <c r="P8" s="103"/>
      <c r="Q8" s="103"/>
      <c r="R8" s="83"/>
      <c r="S8" s="103"/>
      <c r="T8" s="103"/>
      <c r="U8" s="103"/>
    </row>
    <row r="9" customFormat="false" ht="22.5" hidden="false" customHeight="true" outlineLevel="0" collapsed="false">
      <c r="A9" s="134" t="s">
        <v>486</v>
      </c>
      <c r="B9" s="135" t="n">
        <v>46114</v>
      </c>
      <c r="C9" s="99"/>
      <c r="D9" s="121"/>
      <c r="E9" s="99"/>
      <c r="F9" s="100" t="str">
        <f aca="false">IF(E9="CONTADO", 4%, IF(E9="TARJETA / CHEQUE", 3%, IF(E9="FINANCIADO", 2.5%, "")))</f>
        <v/>
      </c>
      <c r="G9" s="98" t="str">
        <f aca="false">IF(F9="", "", F9*D9)</f>
        <v/>
      </c>
      <c r="H9" s="101" t="b">
        <f aca="false">FALSE()</f>
        <v>0</v>
      </c>
      <c r="I9" s="101" t="b">
        <f aca="false">FALSE()</f>
        <v>0</v>
      </c>
      <c r="J9" s="102"/>
      <c r="K9" s="96"/>
      <c r="L9" s="83"/>
    </row>
    <row r="10" customFormat="false" ht="22.5" hidden="false" customHeight="true" outlineLevel="0" collapsed="false">
      <c r="A10" s="136" t="s">
        <v>487</v>
      </c>
      <c r="B10" s="137" t="n">
        <v>46115</v>
      </c>
      <c r="C10" s="110"/>
      <c r="D10" s="122"/>
      <c r="E10" s="110"/>
      <c r="F10" s="111" t="str">
        <f aca="false">IF(E10="CONTADO", 4%, IF(E10="TARJETA / CHEQUE", 3%, IF(E10="FINANCIADO", 2.5%, "")))</f>
        <v/>
      </c>
      <c r="G10" s="109" t="str">
        <f aca="false">IF(F10="", "", F10*D10)</f>
        <v/>
      </c>
      <c r="H10" s="112" t="b">
        <f aca="false">FALSE()</f>
        <v>0</v>
      </c>
      <c r="I10" s="112" t="b">
        <f aca="false">FALSE()</f>
        <v>0</v>
      </c>
      <c r="J10" s="113"/>
      <c r="K10" s="107"/>
      <c r="L10" s="83"/>
    </row>
    <row r="11" customFormat="false" ht="22.5" hidden="false" customHeight="true" outlineLevel="0" collapsed="false">
      <c r="A11" s="134" t="s">
        <v>482</v>
      </c>
      <c r="B11" s="135" t="n">
        <v>46116</v>
      </c>
      <c r="C11" s="99"/>
      <c r="D11" s="121"/>
      <c r="E11" s="99"/>
      <c r="F11" s="124" t="str">
        <f aca="false">IF(E11="CONTADO", 4%, IF(E11="TARJETA / CHEQUE", 3%, IF(OR(E11="FINANCIADO", E11="MCP"), 2.5%, "")))</f>
        <v/>
      </c>
      <c r="G11" s="121" t="str">
        <f aca="false">IF(F11="", "", F11*D11)</f>
        <v/>
      </c>
      <c r="H11" s="125" t="b">
        <f aca="false">FALSE()</f>
        <v>0</v>
      </c>
      <c r="I11" s="125" t="b">
        <f aca="false">FALSE()</f>
        <v>0</v>
      </c>
      <c r="J11" s="126"/>
      <c r="K11" s="99"/>
      <c r="L11" s="83"/>
      <c r="M11" s="103"/>
      <c r="N11" s="103"/>
      <c r="O11" s="103"/>
      <c r="P11" s="103"/>
      <c r="Q11" s="103"/>
      <c r="R11" s="83"/>
      <c r="S11" s="103"/>
      <c r="T11" s="103"/>
      <c r="U11" s="103"/>
    </row>
    <row r="12" customFormat="false" ht="22.5" hidden="false" customHeight="true" outlineLevel="0" collapsed="false">
      <c r="A12" s="136" t="n">
        <v>5</v>
      </c>
      <c r="B12" s="137" t="n">
        <v>46118</v>
      </c>
      <c r="C12" s="110" t="s">
        <v>488</v>
      </c>
      <c r="D12" s="122" t="n">
        <v>58160</v>
      </c>
      <c r="E12" s="110" t="s">
        <v>433</v>
      </c>
      <c r="F12" s="128" t="n">
        <f aca="false">IF(E12="CONTADO", 4%, IF(E12="TARJETA / CHEQUE", 3%, IF(OR(E12="FINANCIADO", E12="MCP"), 2.5%, "")))</f>
        <v>0.025</v>
      </c>
      <c r="G12" s="122" t="n">
        <f aca="false">IF(F12="", "", F12*D12)</f>
        <v>1454</v>
      </c>
      <c r="H12" s="129" t="b">
        <f aca="false">TRUE()</f>
        <v>1</v>
      </c>
      <c r="I12" s="129" t="b">
        <f aca="false">TRUE()</f>
        <v>1</v>
      </c>
      <c r="J12" s="130" t="n">
        <v>46120</v>
      </c>
      <c r="K12" s="110" t="s">
        <v>465</v>
      </c>
      <c r="L12" s="83"/>
      <c r="M12" s="103"/>
      <c r="N12" s="103"/>
      <c r="O12" s="103"/>
      <c r="P12" s="103"/>
      <c r="Q12" s="103"/>
      <c r="R12" s="83"/>
      <c r="S12" s="103"/>
      <c r="T12" s="103"/>
      <c r="U12" s="103"/>
    </row>
    <row r="13" customFormat="false" ht="22.5" hidden="false" customHeight="true" outlineLevel="0" collapsed="false">
      <c r="A13" s="134"/>
      <c r="B13" s="135" t="n">
        <v>46118</v>
      </c>
      <c r="C13" s="99" t="s">
        <v>489</v>
      </c>
      <c r="D13" s="121" t="n">
        <v>3099750</v>
      </c>
      <c r="E13" s="99" t="s">
        <v>433</v>
      </c>
      <c r="F13" s="124" t="n">
        <f aca="false">IF(E13="CONTADO", 4%, IF(E13="TARJETA / CHEQUE", 3%, IF(OR(E13="FINANCIADO", E13="MCP"), 2.5%, "")))</f>
        <v>0.025</v>
      </c>
      <c r="G13" s="121" t="n">
        <f aca="false">IF(F13="", "", F13*D13)</f>
        <v>77493.75</v>
      </c>
      <c r="H13" s="125" t="b">
        <f aca="false">TRUE()</f>
        <v>1</v>
      </c>
      <c r="I13" s="125" t="b">
        <f aca="false">TRUE()</f>
        <v>1</v>
      </c>
      <c r="J13" s="126" t="n">
        <v>46128</v>
      </c>
      <c r="K13" s="99" t="s">
        <v>465</v>
      </c>
      <c r="L13" s="83"/>
      <c r="M13" s="103"/>
      <c r="N13" s="103"/>
      <c r="O13" s="103"/>
      <c r="P13" s="103"/>
      <c r="Q13" s="103"/>
      <c r="R13" s="83"/>
      <c r="S13" s="103"/>
      <c r="T13" s="103"/>
      <c r="U13" s="103"/>
    </row>
    <row r="14" customFormat="false" ht="22.5" hidden="false" customHeight="true" outlineLevel="0" collapsed="false">
      <c r="A14" s="136"/>
      <c r="B14" s="137" t="n">
        <v>46118</v>
      </c>
      <c r="C14" s="110" t="s">
        <v>490</v>
      </c>
      <c r="D14" s="122" t="n">
        <v>1435511</v>
      </c>
      <c r="E14" s="110" t="s">
        <v>431</v>
      </c>
      <c r="F14" s="128" t="n">
        <f aca="false">IF(E14="CONTADO", 4%, IF(E14="TARJETA / CHEQUE", 3%, IF(OR(E14="FINANCIADO", E14="MCP"), 2.5%, "")))</f>
        <v>0.04</v>
      </c>
      <c r="G14" s="122" t="n">
        <f aca="false">IF(F14="", "", F14*D14)</f>
        <v>57420.44</v>
      </c>
      <c r="H14" s="129" t="b">
        <f aca="false">TRUE()</f>
        <v>1</v>
      </c>
      <c r="I14" s="129" t="b">
        <f aca="false">TRUE()</f>
        <v>1</v>
      </c>
      <c r="J14" s="130" t="n">
        <v>46121</v>
      </c>
      <c r="K14" s="110" t="s">
        <v>461</v>
      </c>
      <c r="L14" s="83"/>
      <c r="M14" s="103"/>
      <c r="N14" s="103"/>
      <c r="O14" s="103"/>
      <c r="P14" s="103"/>
      <c r="Q14" s="103"/>
      <c r="R14" s="83"/>
      <c r="S14" s="103"/>
      <c r="T14" s="103"/>
      <c r="U14" s="103"/>
    </row>
    <row r="15" customFormat="false" ht="22.5" hidden="false" customHeight="true" outlineLevel="0" collapsed="false">
      <c r="A15" s="134" t="n">
        <v>6</v>
      </c>
      <c r="B15" s="135" t="n">
        <v>46119</v>
      </c>
      <c r="C15" s="99" t="s">
        <v>491</v>
      </c>
      <c r="D15" s="121" t="n">
        <v>963979</v>
      </c>
      <c r="E15" s="99" t="s">
        <v>431</v>
      </c>
      <c r="F15" s="124" t="n">
        <f aca="false">IF(E15="CONTADO", 4%, IF(E15="TARJETA / CHEQUE", 3%, IF(OR(E15="FINANCIADO", E15="MCP"), 2.5%, "")))</f>
        <v>0.04</v>
      </c>
      <c r="G15" s="121" t="n">
        <f aca="false">IF(F15="", "", F15*D15)</f>
        <v>38559.16</v>
      </c>
      <c r="H15" s="125" t="b">
        <f aca="false">TRUE()</f>
        <v>1</v>
      </c>
      <c r="I15" s="125" t="b">
        <f aca="false">TRUE()</f>
        <v>1</v>
      </c>
      <c r="J15" s="126" t="n">
        <v>46120</v>
      </c>
      <c r="K15" s="99" t="s">
        <v>461</v>
      </c>
      <c r="L15" s="83"/>
      <c r="M15" s="103"/>
      <c r="N15" s="103"/>
      <c r="O15" s="103"/>
      <c r="P15" s="103"/>
      <c r="Q15" s="103"/>
      <c r="R15" s="83"/>
      <c r="S15" s="103"/>
      <c r="T15" s="103"/>
      <c r="U15" s="103"/>
    </row>
    <row r="16" customFormat="false" ht="22.5" hidden="false" customHeight="true" outlineLevel="0" collapsed="false">
      <c r="A16" s="136" t="n">
        <v>7</v>
      </c>
      <c r="B16" s="137" t="n">
        <v>46120</v>
      </c>
      <c r="C16" s="110" t="s">
        <v>492</v>
      </c>
      <c r="D16" s="122" t="n">
        <v>1116220</v>
      </c>
      <c r="E16" s="110" t="s">
        <v>433</v>
      </c>
      <c r="F16" s="128" t="n">
        <f aca="false">IF(E16="CONTADO", 4%, IF(E16="TARJETA / CHEQUE", 3%, IF(OR(E16="FINANCIADO", E16="MCP"), 2.5%, "")))</f>
        <v>0.025</v>
      </c>
      <c r="G16" s="122" t="n">
        <f aca="false">IF(F16="", "", F16*D16)</f>
        <v>27905.5</v>
      </c>
      <c r="H16" s="129" t="b">
        <f aca="false">TRUE()</f>
        <v>1</v>
      </c>
      <c r="I16" s="129" t="b">
        <f aca="false">TRUE()</f>
        <v>1</v>
      </c>
      <c r="J16" s="130" t="n">
        <v>46139</v>
      </c>
      <c r="K16" s="110" t="s">
        <v>461</v>
      </c>
      <c r="L16" s="83"/>
      <c r="M16" s="103"/>
      <c r="N16" s="103"/>
      <c r="O16" s="103"/>
      <c r="P16" s="103"/>
      <c r="Q16" s="103"/>
      <c r="R16" s="83"/>
      <c r="S16" s="103"/>
      <c r="T16" s="103"/>
      <c r="U16" s="103"/>
    </row>
    <row r="17" customFormat="false" ht="22.5" hidden="false" customHeight="true" outlineLevel="0" collapsed="false">
      <c r="A17" s="134" t="n">
        <v>8</v>
      </c>
      <c r="B17" s="135" t="n">
        <v>46121</v>
      </c>
      <c r="C17" s="99"/>
      <c r="D17" s="121"/>
      <c r="E17" s="99"/>
      <c r="F17" s="124" t="str">
        <f aca="false">IF(E17="CONTADO", 4%, IF(E17="TARJETA / CHEQUE", 3%, IF(OR(E17="FINANCIADO", E17="MCP"), 2.5%, "")))</f>
        <v/>
      </c>
      <c r="G17" s="121" t="str">
        <f aca="false">IF(F17="", "", F17*D17)</f>
        <v/>
      </c>
      <c r="H17" s="125" t="b">
        <f aca="false">FALSE()</f>
        <v>0</v>
      </c>
      <c r="I17" s="125" t="b">
        <f aca="false">FALSE()</f>
        <v>0</v>
      </c>
      <c r="J17" s="126"/>
      <c r="K17" s="99"/>
      <c r="L17" s="83"/>
      <c r="M17" s="103"/>
      <c r="N17" s="103"/>
      <c r="O17" s="103"/>
      <c r="P17" s="103"/>
      <c r="Q17" s="103"/>
      <c r="R17" s="83"/>
      <c r="S17" s="103"/>
      <c r="T17" s="103"/>
      <c r="U17" s="103"/>
    </row>
    <row r="18" customFormat="false" ht="22.5" hidden="false" customHeight="true" outlineLevel="0" collapsed="false">
      <c r="A18" s="136" t="n">
        <v>9</v>
      </c>
      <c r="B18" s="137" t="n">
        <v>46122</v>
      </c>
      <c r="C18" s="110"/>
      <c r="D18" s="122"/>
      <c r="E18" s="110"/>
      <c r="F18" s="128" t="str">
        <f aca="false">IF(E18="CONTADO", 4%, IF(E18="TARJETA / CHEQUE", 3%, IF(OR(E18="FINANCIADO", E18="MCP"), 2.5%, "")))</f>
        <v/>
      </c>
      <c r="G18" s="122" t="str">
        <f aca="false">IF(F18="", "", F18*D18)</f>
        <v/>
      </c>
      <c r="H18" s="129" t="b">
        <f aca="false">FALSE()</f>
        <v>0</v>
      </c>
      <c r="I18" s="129" t="b">
        <f aca="false">FALSE()</f>
        <v>0</v>
      </c>
      <c r="J18" s="130"/>
      <c r="K18" s="110"/>
      <c r="L18" s="83"/>
      <c r="M18" s="103"/>
      <c r="N18" s="103"/>
      <c r="O18" s="103"/>
      <c r="P18" s="103"/>
      <c r="Q18" s="103"/>
      <c r="R18" s="83"/>
      <c r="S18" s="103"/>
      <c r="T18" s="103"/>
      <c r="U18" s="103"/>
    </row>
    <row r="19" customFormat="false" ht="22.5" hidden="false" customHeight="true" outlineLevel="0" collapsed="false">
      <c r="A19" s="134" t="s">
        <v>482</v>
      </c>
      <c r="B19" s="135" t="n">
        <v>46123</v>
      </c>
      <c r="C19" s="99" t="s">
        <v>493</v>
      </c>
      <c r="D19" s="121" t="n">
        <v>1192110</v>
      </c>
      <c r="E19" s="99" t="s">
        <v>431</v>
      </c>
      <c r="F19" s="124" t="n">
        <f aca="false">IF(E19="CONTADO", 4%, IF(E19="TARJETA / CHEQUE", 3%, IF(OR(E19="FINANCIADO", E19="MCP"), 2.5%, "")))</f>
        <v>0.04</v>
      </c>
      <c r="G19" s="121" t="n">
        <f aca="false">IF(F19="", "", F19*D19)</f>
        <v>47684.4</v>
      </c>
      <c r="H19" s="132" t="b">
        <f aca="false">TRUE()</f>
        <v>1</v>
      </c>
      <c r="I19" s="132" t="b">
        <f aca="false">TRUE()</f>
        <v>1</v>
      </c>
      <c r="J19" s="126" t="n">
        <v>46129</v>
      </c>
      <c r="K19" s="99" t="s">
        <v>465</v>
      </c>
      <c r="L19" s="83"/>
      <c r="M19" s="103"/>
      <c r="N19" s="103"/>
      <c r="O19" s="103"/>
      <c r="P19" s="103"/>
      <c r="Q19" s="103"/>
      <c r="R19" s="83"/>
      <c r="S19" s="103"/>
      <c r="T19" s="103"/>
      <c r="U19" s="103"/>
    </row>
    <row r="20" customFormat="false" ht="22.5" hidden="false" customHeight="true" outlineLevel="0" collapsed="false">
      <c r="A20" s="136" t="n">
        <v>10</v>
      </c>
      <c r="B20" s="137" t="n">
        <v>46125</v>
      </c>
      <c r="C20" s="110"/>
      <c r="D20" s="122"/>
      <c r="E20" s="110"/>
      <c r="F20" s="128" t="str">
        <f aca="false">IF(E20="CONTADO", 4%, IF(E20="TARJETA / CHEQUE", 3%, IF(OR(E20="FINANCIADO", E20="MCP"), 2.5%, "")))</f>
        <v/>
      </c>
      <c r="G20" s="122" t="str">
        <f aca="false">IF(F20="", "", F20*D20)</f>
        <v/>
      </c>
      <c r="H20" s="131" t="b">
        <f aca="false">FALSE()</f>
        <v>0</v>
      </c>
      <c r="I20" s="131" t="b">
        <f aca="false">FALSE()</f>
        <v>0</v>
      </c>
      <c r="J20" s="130"/>
      <c r="K20" s="110"/>
      <c r="L20" s="83"/>
      <c r="M20" s="103"/>
      <c r="N20" s="103"/>
      <c r="O20" s="103"/>
      <c r="P20" s="103"/>
      <c r="Q20" s="103"/>
      <c r="R20" s="83"/>
      <c r="S20" s="103"/>
      <c r="T20" s="103"/>
      <c r="U20" s="103"/>
    </row>
    <row r="21" customFormat="false" ht="22.5" hidden="false" customHeight="true" outlineLevel="0" collapsed="false">
      <c r="A21" s="134" t="n">
        <v>11</v>
      </c>
      <c r="B21" s="135" t="n">
        <v>46126</v>
      </c>
      <c r="C21" s="99" t="s">
        <v>494</v>
      </c>
      <c r="D21" s="121" t="n">
        <v>46733</v>
      </c>
      <c r="E21" s="99" t="s">
        <v>431</v>
      </c>
      <c r="F21" s="124" t="n">
        <f aca="false">IF(E21="CONTADO", 4%, IF(E21="TARJETA / CHEQUE", 3%, IF(OR(E21="FINANCIADO", E21="MCP"), 2.5%, "")))</f>
        <v>0.04</v>
      </c>
      <c r="G21" s="121" t="n">
        <f aca="false">IF(F21="", "", F21*D21)</f>
        <v>1869.32</v>
      </c>
      <c r="H21" s="132" t="b">
        <f aca="false">TRUE()</f>
        <v>1</v>
      </c>
      <c r="I21" s="132" t="b">
        <f aca="false">TRUE()</f>
        <v>1</v>
      </c>
      <c r="J21" s="126" t="n">
        <v>46126</v>
      </c>
      <c r="K21" s="99" t="s">
        <v>461</v>
      </c>
      <c r="L21" s="83"/>
      <c r="M21" s="103"/>
      <c r="N21" s="103"/>
      <c r="O21" s="103"/>
      <c r="P21" s="103"/>
      <c r="Q21" s="103"/>
      <c r="R21" s="83"/>
      <c r="S21" s="103"/>
      <c r="T21" s="103"/>
      <c r="U21" s="103"/>
    </row>
    <row r="22" customFormat="false" ht="22.5" hidden="false" customHeight="true" outlineLevel="0" collapsed="false">
      <c r="A22" s="136" t="n">
        <v>12</v>
      </c>
      <c r="B22" s="137" t="n">
        <v>46127</v>
      </c>
      <c r="C22" s="110" t="s">
        <v>495</v>
      </c>
      <c r="D22" s="122" t="n">
        <v>650000</v>
      </c>
      <c r="E22" s="110" t="s">
        <v>431</v>
      </c>
      <c r="F22" s="128" t="n">
        <f aca="false">IF(E22="CONTADO", 4%, IF(E22="TARJETA / CHEQUE", 3%, IF(OR(E22="FINANCIADO", E22="MCP"), 2.5%, "")))</f>
        <v>0.04</v>
      </c>
      <c r="G22" s="122" t="n">
        <f aca="false">IF(F22="", "", F22*D22)</f>
        <v>26000</v>
      </c>
      <c r="H22" s="131" t="b">
        <f aca="false">TRUE()</f>
        <v>1</v>
      </c>
      <c r="I22" s="131" t="b">
        <f aca="false">TRUE()</f>
        <v>1</v>
      </c>
      <c r="J22" s="130" t="n">
        <v>46127</v>
      </c>
      <c r="K22" s="110" t="s">
        <v>461</v>
      </c>
      <c r="L22" s="83"/>
      <c r="M22" s="103"/>
      <c r="N22" s="103"/>
      <c r="O22" s="103"/>
      <c r="P22" s="103"/>
      <c r="Q22" s="103"/>
      <c r="R22" s="83"/>
      <c r="S22" s="103"/>
      <c r="T22" s="103"/>
      <c r="U22" s="103"/>
    </row>
    <row r="23" customFormat="false" ht="22.5" hidden="false" customHeight="true" outlineLevel="0" collapsed="false">
      <c r="A23" s="134" t="n">
        <v>13</v>
      </c>
      <c r="B23" s="135" t="n">
        <v>46128</v>
      </c>
      <c r="C23" s="99" t="s">
        <v>496</v>
      </c>
      <c r="D23" s="121" t="n">
        <v>2012000</v>
      </c>
      <c r="E23" s="99" t="s">
        <v>431</v>
      </c>
      <c r="F23" s="124" t="n">
        <f aca="false">IF(E23="CONTADO", 4%, IF(E23="TARJETA / CHEQUE", 3%, IF(OR(E23="FINANCIADO", E23="MCP"), 2.5%, "")))</f>
        <v>0.04</v>
      </c>
      <c r="G23" s="121" t="n">
        <f aca="false">IF(F23="", "", F23*D23)</f>
        <v>80480</v>
      </c>
      <c r="H23" s="132" t="b">
        <f aca="false">TRUE()</f>
        <v>1</v>
      </c>
      <c r="I23" s="132" t="b">
        <f aca="false">TRUE()</f>
        <v>1</v>
      </c>
      <c r="J23" s="126" t="n">
        <v>46129</v>
      </c>
      <c r="K23" s="99" t="s">
        <v>461</v>
      </c>
      <c r="L23" s="83"/>
      <c r="M23" s="103"/>
      <c r="N23" s="103"/>
      <c r="O23" s="103"/>
      <c r="P23" s="103"/>
      <c r="Q23" s="103"/>
      <c r="R23" s="83"/>
      <c r="S23" s="103"/>
      <c r="T23" s="103"/>
      <c r="U23" s="103"/>
    </row>
    <row r="24" customFormat="false" ht="22.5" hidden="false" customHeight="true" outlineLevel="0" collapsed="false">
      <c r="A24" s="136" t="n">
        <v>14</v>
      </c>
      <c r="B24" s="137" t="n">
        <v>46129</v>
      </c>
      <c r="C24" s="110"/>
      <c r="D24" s="122"/>
      <c r="E24" s="110"/>
      <c r="F24" s="128" t="str">
        <f aca="false">IF(E24="CONTADO", 4%, IF(E24="TARJETA / CHEQUE", 3%, IF(OR(E24="FINANCIADO", E24="MCP"), 2.5%, "")))</f>
        <v/>
      </c>
      <c r="G24" s="122" t="str">
        <f aca="false">IF(F24="", "", F24*D24)</f>
        <v/>
      </c>
      <c r="H24" s="131" t="b">
        <f aca="false">FALSE()</f>
        <v>0</v>
      </c>
      <c r="I24" s="131" t="b">
        <f aca="false">FALSE()</f>
        <v>0</v>
      </c>
      <c r="J24" s="130"/>
      <c r="K24" s="110"/>
      <c r="L24" s="83"/>
      <c r="M24" s="103"/>
      <c r="N24" s="103"/>
      <c r="O24" s="103"/>
      <c r="P24" s="103"/>
      <c r="Q24" s="103"/>
      <c r="R24" s="83"/>
      <c r="S24" s="103"/>
      <c r="T24" s="103"/>
      <c r="U24" s="103"/>
    </row>
    <row r="25" customFormat="false" ht="22.5" hidden="false" customHeight="true" outlineLevel="0" collapsed="false">
      <c r="A25" s="134" t="s">
        <v>482</v>
      </c>
      <c r="B25" s="135" t="n">
        <v>46130</v>
      </c>
      <c r="C25" s="99" t="s">
        <v>497</v>
      </c>
      <c r="D25" s="121" t="n">
        <v>606133</v>
      </c>
      <c r="E25" s="99" t="s">
        <v>431</v>
      </c>
      <c r="F25" s="124" t="n">
        <f aca="false">IF(E25="CONTADO", 4%, IF(E25="TARJETA / CHEQUE", 3%, IF(OR(E25="FINANCIADO", E25="MCP"), 2.5%, "")))</f>
        <v>0.04</v>
      </c>
      <c r="G25" s="121" t="n">
        <f aca="false">IF(F25="", "", F25*D25)</f>
        <v>24245.32</v>
      </c>
      <c r="H25" s="132" t="b">
        <f aca="false">TRUE()</f>
        <v>1</v>
      </c>
      <c r="I25" s="132" t="b">
        <f aca="false">TRUE()</f>
        <v>1</v>
      </c>
      <c r="J25" s="126" t="n">
        <v>46132</v>
      </c>
      <c r="K25" s="99" t="s">
        <v>461</v>
      </c>
      <c r="L25" s="83"/>
      <c r="M25" s="103"/>
      <c r="N25" s="103"/>
      <c r="O25" s="103"/>
      <c r="P25" s="103"/>
      <c r="Q25" s="103"/>
      <c r="R25" s="83"/>
      <c r="S25" s="103"/>
      <c r="T25" s="103"/>
      <c r="U25" s="103"/>
    </row>
    <row r="26" customFormat="false" ht="22.5" hidden="false" customHeight="true" outlineLevel="0" collapsed="false">
      <c r="A26" s="136" t="n">
        <v>15</v>
      </c>
      <c r="B26" s="137" t="n">
        <v>46132</v>
      </c>
      <c r="C26" s="110" t="s">
        <v>498</v>
      </c>
      <c r="D26" s="122" t="n">
        <v>1044310</v>
      </c>
      <c r="E26" s="110" t="s">
        <v>431</v>
      </c>
      <c r="F26" s="128" t="n">
        <f aca="false">IF(E26="CONTADO", 4%, IF(E26="TARJETA / CHEQUE", 3%, IF(OR(E26="FINANCIADO", E26="MCP"), 2.5%, "")))</f>
        <v>0.04</v>
      </c>
      <c r="G26" s="122" t="n">
        <f aca="false">IF(F26="", "", F26*D26)</f>
        <v>41772.4</v>
      </c>
      <c r="H26" s="131" t="b">
        <f aca="false">TRUE()</f>
        <v>1</v>
      </c>
      <c r="I26" s="131" t="b">
        <f aca="false">TRUE()</f>
        <v>1</v>
      </c>
      <c r="J26" s="130" t="n">
        <v>46134</v>
      </c>
      <c r="K26" s="110" t="s">
        <v>461</v>
      </c>
      <c r="L26" s="83"/>
      <c r="M26" s="103"/>
      <c r="N26" s="103"/>
      <c r="O26" s="103"/>
      <c r="P26" s="103"/>
      <c r="Q26" s="103"/>
      <c r="R26" s="83"/>
      <c r="S26" s="103"/>
      <c r="T26" s="103"/>
      <c r="U26" s="103"/>
    </row>
    <row r="27" customFormat="false" ht="22.5" hidden="false" customHeight="true" outlineLevel="0" collapsed="false">
      <c r="A27" s="134" t="n">
        <v>16</v>
      </c>
      <c r="B27" s="135" t="n">
        <v>46133</v>
      </c>
      <c r="C27" s="99"/>
      <c r="D27" s="121"/>
      <c r="E27" s="99"/>
      <c r="F27" s="124" t="str">
        <f aca="false">IF(E27="CONTADO", 4%, IF(E27="TARJETA / CHEQUE", 3%, IF(OR(E27="FINANCIADO", E27="MCP"), 2.5%, "")))</f>
        <v/>
      </c>
      <c r="G27" s="121" t="str">
        <f aca="false">IF(F27="", "", F27*D27)</f>
        <v/>
      </c>
      <c r="H27" s="132" t="b">
        <f aca="false">FALSE()</f>
        <v>0</v>
      </c>
      <c r="I27" s="132" t="b">
        <f aca="false">FALSE()</f>
        <v>0</v>
      </c>
      <c r="J27" s="126"/>
      <c r="K27" s="99"/>
      <c r="L27" s="83"/>
      <c r="M27" s="103"/>
      <c r="N27" s="103"/>
      <c r="O27" s="103"/>
      <c r="P27" s="103"/>
      <c r="Q27" s="103"/>
      <c r="R27" s="83"/>
      <c r="S27" s="103"/>
      <c r="T27" s="103"/>
      <c r="U27" s="103"/>
    </row>
    <row r="28" customFormat="false" ht="22.5" hidden="false" customHeight="true" outlineLevel="0" collapsed="false">
      <c r="A28" s="136" t="n">
        <v>17</v>
      </c>
      <c r="B28" s="137" t="n">
        <v>46134</v>
      </c>
      <c r="C28" s="110" t="s">
        <v>499</v>
      </c>
      <c r="D28" s="122" t="n">
        <v>165000</v>
      </c>
      <c r="E28" s="110" t="s">
        <v>431</v>
      </c>
      <c r="F28" s="128" t="n">
        <f aca="false">IF(E28="CONTADO", 4%, IF(E28="TARJETA / CHEQUE", 3%, IF(OR(E28="FINANCIADO", E28="MCP"), 2.5%, "")))</f>
        <v>0.04</v>
      </c>
      <c r="G28" s="122" t="n">
        <f aca="false">IF(F28="", "", F28*D28)</f>
        <v>6600</v>
      </c>
      <c r="H28" s="131" t="b">
        <f aca="false">TRUE()</f>
        <v>1</v>
      </c>
      <c r="I28" s="131" t="b">
        <f aca="false">TRUE()</f>
        <v>1</v>
      </c>
      <c r="J28" s="130" t="n">
        <v>46134</v>
      </c>
      <c r="K28" s="110" t="s">
        <v>461</v>
      </c>
      <c r="L28" s="83"/>
      <c r="M28" s="103"/>
      <c r="N28" s="103"/>
      <c r="O28" s="103"/>
      <c r="P28" s="103"/>
      <c r="Q28" s="103"/>
      <c r="R28" s="83"/>
      <c r="S28" s="103"/>
      <c r="T28" s="103"/>
      <c r="U28" s="103"/>
    </row>
    <row r="29" customFormat="false" ht="22.5" hidden="false" customHeight="true" outlineLevel="0" collapsed="false">
      <c r="A29" s="134"/>
      <c r="B29" s="135" t="n">
        <v>46134</v>
      </c>
      <c r="C29" s="99" t="s">
        <v>500</v>
      </c>
      <c r="D29" s="121" t="n">
        <v>1129860</v>
      </c>
      <c r="E29" s="99" t="s">
        <v>431</v>
      </c>
      <c r="F29" s="124" t="n">
        <f aca="false">IF(E29="CONTADO", 4%, IF(E29="TARJETA / CHEQUE", 3%, IF(OR(E29="FINANCIADO", E29="MCP"), 2.5%, "")))</f>
        <v>0.04</v>
      </c>
      <c r="G29" s="121" t="n">
        <f aca="false">IF(F29="", "", F29*D29)</f>
        <v>45194.4</v>
      </c>
      <c r="H29" s="132" t="b">
        <f aca="false">TRUE()</f>
        <v>1</v>
      </c>
      <c r="I29" s="132" t="b">
        <f aca="false">TRUE()</f>
        <v>1</v>
      </c>
      <c r="J29" s="126" t="n">
        <v>46139</v>
      </c>
      <c r="K29" s="99" t="s">
        <v>461</v>
      </c>
      <c r="L29" s="83"/>
      <c r="M29" s="103"/>
      <c r="N29" s="103"/>
      <c r="O29" s="103"/>
      <c r="P29" s="103"/>
      <c r="Q29" s="103"/>
      <c r="R29" s="83"/>
      <c r="S29" s="103"/>
      <c r="T29" s="103"/>
      <c r="U29" s="103"/>
    </row>
    <row r="30" customFormat="false" ht="22.5" hidden="false" customHeight="true" outlineLevel="0" collapsed="false">
      <c r="A30" s="136" t="n">
        <v>18</v>
      </c>
      <c r="B30" s="137" t="n">
        <v>46135</v>
      </c>
      <c r="C30" s="110" t="s">
        <v>501</v>
      </c>
      <c r="D30" s="122" t="n">
        <v>548528.79</v>
      </c>
      <c r="E30" s="110" t="s">
        <v>447</v>
      </c>
      <c r="F30" s="128" t="n">
        <f aca="false">IF(E30="CONTADO", 4%, IF(E30="TARJETA / CHEQUE", 3%, IF(OR(E30="FINANCIADO", E30="MCP"), 2.5%, "")))</f>
        <v>0.03</v>
      </c>
      <c r="G30" s="122" t="n">
        <f aca="false">IF(F30="", "", F30*D30)</f>
        <v>16455.8637</v>
      </c>
      <c r="H30" s="131" t="b">
        <f aca="false">TRUE()</f>
        <v>1</v>
      </c>
      <c r="I30" s="131" t="b">
        <f aca="false">TRUE()</f>
        <v>1</v>
      </c>
      <c r="J30" s="130" t="n">
        <v>46135</v>
      </c>
      <c r="K30" s="110" t="s">
        <v>461</v>
      </c>
      <c r="L30" s="83"/>
      <c r="M30" s="103"/>
      <c r="N30" s="103"/>
      <c r="O30" s="103"/>
      <c r="P30" s="103"/>
      <c r="Q30" s="103"/>
      <c r="R30" s="83"/>
      <c r="S30" s="103"/>
      <c r="T30" s="103"/>
      <c r="U30" s="103"/>
    </row>
    <row r="31" customFormat="false" ht="22.5" hidden="false" customHeight="true" outlineLevel="0" collapsed="false">
      <c r="A31" s="134"/>
      <c r="B31" s="135" t="n">
        <v>46135</v>
      </c>
      <c r="C31" s="99" t="s">
        <v>502</v>
      </c>
      <c r="D31" s="121" t="n">
        <v>1718330</v>
      </c>
      <c r="E31" s="99" t="s">
        <v>433</v>
      </c>
      <c r="F31" s="124" t="n">
        <f aca="false">IF(E31="CONTADO", 4%, IF(E31="TARJETA / CHEQUE", 3%, IF(OR(E31="FINANCIADO", E31="MCP"), 2.5%, "")))</f>
        <v>0.025</v>
      </c>
      <c r="G31" s="121" t="n">
        <f aca="false">IF(F31="", "", F31*D31)</f>
        <v>42958.25</v>
      </c>
      <c r="H31" s="132" t="b">
        <f aca="false">TRUE()</f>
        <v>1</v>
      </c>
      <c r="I31" s="132" t="b">
        <f aca="false">TRUE()</f>
        <v>1</v>
      </c>
      <c r="J31" s="126" t="n">
        <v>46139</v>
      </c>
      <c r="K31" s="99" t="s">
        <v>461</v>
      </c>
      <c r="L31" s="83"/>
      <c r="M31" s="103"/>
      <c r="N31" s="103"/>
      <c r="O31" s="103"/>
      <c r="P31" s="103"/>
      <c r="Q31" s="103"/>
      <c r="R31" s="83"/>
      <c r="S31" s="103"/>
      <c r="T31" s="103"/>
      <c r="U31" s="103"/>
    </row>
    <row r="32" customFormat="false" ht="22.5" hidden="false" customHeight="true" outlineLevel="0" collapsed="false">
      <c r="A32" s="136" t="n">
        <v>19</v>
      </c>
      <c r="B32" s="137" t="n">
        <v>46136</v>
      </c>
      <c r="C32" s="110"/>
      <c r="D32" s="122"/>
      <c r="E32" s="110"/>
      <c r="F32" s="128" t="str">
        <f aca="false">IF(E32="CONTADO", 4%, IF(E32="TARJETA / CHEQUE", 3%, IF(OR(E32="FINANCIADO", E32="MCP"), 2.5%, "")))</f>
        <v/>
      </c>
      <c r="G32" s="122" t="str">
        <f aca="false">IF(F32="", "", F32*D32)</f>
        <v/>
      </c>
      <c r="H32" s="131" t="b">
        <f aca="false">FALSE()</f>
        <v>0</v>
      </c>
      <c r="I32" s="131" t="b">
        <f aca="false">FALSE()</f>
        <v>0</v>
      </c>
      <c r="J32" s="130"/>
      <c r="K32" s="110"/>
      <c r="L32" s="83"/>
      <c r="M32" s="103"/>
      <c r="N32" s="103"/>
      <c r="O32" s="103"/>
      <c r="P32" s="103"/>
      <c r="Q32" s="103"/>
      <c r="R32" s="83"/>
      <c r="S32" s="103"/>
      <c r="T32" s="103"/>
      <c r="U32" s="103"/>
    </row>
    <row r="33" customFormat="false" ht="22.5" hidden="false" customHeight="true" outlineLevel="0" collapsed="false">
      <c r="A33" s="134" t="s">
        <v>482</v>
      </c>
      <c r="B33" s="135" t="n">
        <v>46137</v>
      </c>
      <c r="C33" s="99"/>
      <c r="D33" s="121"/>
      <c r="E33" s="99"/>
      <c r="F33" s="124" t="str">
        <f aca="false">IF(E33="CONTADO", 4%, IF(E33="TARJETA / CHEQUE", 3%, IF(OR(E33="FINANCIADO", E33="MCP"), 2.5%, "")))</f>
        <v/>
      </c>
      <c r="G33" s="121" t="str">
        <f aca="false">IF(F33="", "", F33*D33)</f>
        <v/>
      </c>
      <c r="H33" s="132" t="b">
        <f aca="false">FALSE()</f>
        <v>0</v>
      </c>
      <c r="I33" s="132" t="b">
        <f aca="false">FALSE()</f>
        <v>0</v>
      </c>
      <c r="J33" s="126"/>
      <c r="K33" s="99"/>
      <c r="L33" s="83"/>
      <c r="M33" s="103"/>
      <c r="N33" s="103"/>
      <c r="O33" s="103"/>
      <c r="P33" s="103"/>
      <c r="Q33" s="103"/>
      <c r="R33" s="83"/>
      <c r="S33" s="103"/>
      <c r="T33" s="103"/>
      <c r="U33" s="103"/>
    </row>
    <row r="34" customFormat="false" ht="22.5" hidden="false" customHeight="true" outlineLevel="0" collapsed="false">
      <c r="A34" s="136" t="n">
        <v>20</v>
      </c>
      <c r="B34" s="137" t="n">
        <v>46139</v>
      </c>
      <c r="C34" s="110" t="s">
        <v>503</v>
      </c>
      <c r="D34" s="122" t="n">
        <v>812176</v>
      </c>
      <c r="E34" s="110" t="s">
        <v>447</v>
      </c>
      <c r="F34" s="128" t="n">
        <f aca="false">IF(E34="CONTADO", 4%, IF(E34="TARJETA / CHEQUE", 3%, IF(OR(E34="FINANCIADO", E34="MCP"), 2.5%, "")))</f>
        <v>0.03</v>
      </c>
      <c r="G34" s="122" t="n">
        <f aca="false">IF(F34="", "", F34*D34)</f>
        <v>24365.28</v>
      </c>
      <c r="H34" s="131" t="b">
        <f aca="false">TRUE()</f>
        <v>1</v>
      </c>
      <c r="I34" s="131" t="b">
        <f aca="false">TRUE()</f>
        <v>1</v>
      </c>
      <c r="J34" s="130" t="n">
        <v>46139</v>
      </c>
      <c r="K34" s="110" t="s">
        <v>461</v>
      </c>
      <c r="L34" s="83"/>
      <c r="M34" s="103"/>
      <c r="N34" s="103"/>
      <c r="O34" s="103"/>
      <c r="P34" s="103"/>
      <c r="Q34" s="103"/>
      <c r="R34" s="83"/>
      <c r="S34" s="103"/>
      <c r="T34" s="103"/>
      <c r="U34" s="103"/>
    </row>
    <row r="35" customFormat="false" ht="22.5" hidden="false" customHeight="true" outlineLevel="0" collapsed="false">
      <c r="A35" s="134" t="n">
        <v>20</v>
      </c>
      <c r="B35" s="135" t="n">
        <v>46139</v>
      </c>
      <c r="C35" s="99" t="s">
        <v>503</v>
      </c>
      <c r="D35" s="121" t="n">
        <v>657490</v>
      </c>
      <c r="E35" s="99" t="s">
        <v>431</v>
      </c>
      <c r="F35" s="124" t="n">
        <f aca="false">IF(E35="CONTADO", 4%, IF(E35="TARJETA / CHEQUE", 3%, IF(OR(E35="FINANCIADO", E35="MCP"), 2.5%, "")))</f>
        <v>0.04</v>
      </c>
      <c r="G35" s="121" t="n">
        <f aca="false">IF(F35="", "", F35*D35)</f>
        <v>26299.6</v>
      </c>
      <c r="H35" s="132" t="b">
        <f aca="false">FALSE()</f>
        <v>0</v>
      </c>
      <c r="I35" s="132" t="b">
        <f aca="false">FALSE()</f>
        <v>0</v>
      </c>
      <c r="J35" s="126"/>
      <c r="K35" s="99"/>
      <c r="L35" s="83"/>
      <c r="M35" s="103"/>
      <c r="N35" s="103"/>
      <c r="O35" s="103"/>
      <c r="P35" s="103"/>
      <c r="Q35" s="103"/>
      <c r="R35" s="83"/>
      <c r="S35" s="103"/>
      <c r="T35" s="103"/>
      <c r="U35" s="103"/>
    </row>
    <row r="36" customFormat="false" ht="22.5" hidden="false" customHeight="true" outlineLevel="0" collapsed="false">
      <c r="A36" s="136" t="n">
        <v>21</v>
      </c>
      <c r="B36" s="137" t="n">
        <v>46140</v>
      </c>
      <c r="C36" s="110" t="s">
        <v>504</v>
      </c>
      <c r="D36" s="122" t="n">
        <v>564445.65</v>
      </c>
      <c r="E36" s="110" t="s">
        <v>447</v>
      </c>
      <c r="F36" s="128" t="n">
        <f aca="false">IF(E36="CONTADO", 4%, IF(E36="TARJETA / CHEQUE", 3%, IF(OR(E36="FINANCIADO", E36="MCP"), 2.5%, "")))</f>
        <v>0.03</v>
      </c>
      <c r="G36" s="122" t="n">
        <f aca="false">IF(F36="", "", F36*D36)</f>
        <v>16933.3695</v>
      </c>
      <c r="H36" s="131" t="b">
        <f aca="false">TRUE()</f>
        <v>1</v>
      </c>
      <c r="I36" s="131" t="b">
        <f aca="false">TRUE()</f>
        <v>1</v>
      </c>
      <c r="J36" s="130" t="n">
        <v>46140</v>
      </c>
      <c r="K36" s="110" t="s">
        <v>461</v>
      </c>
      <c r="L36" s="83"/>
      <c r="M36" s="103"/>
      <c r="N36" s="103"/>
      <c r="O36" s="103"/>
      <c r="P36" s="103"/>
      <c r="Q36" s="103"/>
      <c r="R36" s="83"/>
      <c r="S36" s="103"/>
      <c r="T36" s="103"/>
      <c r="U36" s="103"/>
    </row>
    <row r="37" customFormat="false" ht="22.5" hidden="false" customHeight="true" outlineLevel="0" collapsed="false">
      <c r="A37" s="134"/>
      <c r="B37" s="135" t="n">
        <v>46140</v>
      </c>
      <c r="C37" s="99" t="s">
        <v>505</v>
      </c>
      <c r="D37" s="121" t="n">
        <v>1714035</v>
      </c>
      <c r="E37" s="99" t="s">
        <v>433</v>
      </c>
      <c r="F37" s="124" t="n">
        <f aca="false">IF(E37="CONTADO", 4%, IF(E37="TARJETA / CHEQUE", 3%, IF(OR(E37="FINANCIADO", E37="MCP"), 2.5%, "")))</f>
        <v>0.025</v>
      </c>
      <c r="G37" s="121" t="n">
        <f aca="false">IF(F37="", "", F37*D37)</f>
        <v>42850.875</v>
      </c>
      <c r="H37" s="132" t="b">
        <f aca="false">TRUE()</f>
        <v>1</v>
      </c>
      <c r="I37" s="132" t="b">
        <f aca="false">TRUE()</f>
        <v>1</v>
      </c>
      <c r="J37" s="126" t="n">
        <v>46142</v>
      </c>
      <c r="K37" s="99" t="s">
        <v>465</v>
      </c>
      <c r="L37" s="83"/>
      <c r="M37" s="103"/>
      <c r="N37" s="103"/>
      <c r="O37" s="103"/>
      <c r="P37" s="103"/>
      <c r="Q37" s="103"/>
      <c r="R37" s="83"/>
      <c r="S37" s="103"/>
      <c r="T37" s="103"/>
      <c r="U37" s="103"/>
    </row>
    <row r="38" customFormat="false" ht="22.5" hidden="false" customHeight="true" outlineLevel="0" collapsed="false">
      <c r="A38" s="136" t="n">
        <v>22</v>
      </c>
      <c r="B38" s="137" t="n">
        <v>46141</v>
      </c>
      <c r="C38" s="110" t="s">
        <v>506</v>
      </c>
      <c r="D38" s="122" t="n">
        <v>1132770</v>
      </c>
      <c r="E38" s="110" t="s">
        <v>433</v>
      </c>
      <c r="F38" s="128" t="n">
        <f aca="false">IF(E38="CONTADO", 4%, IF(E38="TARJETA / CHEQUE", 3%, IF(OR(E38="FINANCIADO", E38="MCP"), 2.5%, "")))</f>
        <v>0.025</v>
      </c>
      <c r="G38" s="122" t="n">
        <f aca="false">IF(F38="", "", F38*D38)</f>
        <v>28319.25</v>
      </c>
      <c r="H38" s="131" t="b">
        <f aca="false">TRUE()</f>
        <v>1</v>
      </c>
      <c r="I38" s="131" t="b">
        <f aca="false">TRUE()</f>
        <v>1</v>
      </c>
      <c r="J38" s="130" t="n">
        <v>46142</v>
      </c>
      <c r="K38" s="110" t="s">
        <v>461</v>
      </c>
      <c r="L38" s="83"/>
      <c r="M38" s="103"/>
      <c r="N38" s="103"/>
      <c r="O38" s="103"/>
      <c r="P38" s="103"/>
      <c r="Q38" s="103"/>
      <c r="R38" s="83"/>
      <c r="S38" s="103"/>
      <c r="T38" s="103"/>
      <c r="U38" s="103"/>
    </row>
    <row r="39" customFormat="false" ht="22.5" hidden="false" customHeight="true" outlineLevel="0" collapsed="false">
      <c r="A39" s="134"/>
      <c r="B39" s="135" t="n">
        <v>46141</v>
      </c>
      <c r="C39" s="99" t="s">
        <v>507</v>
      </c>
      <c r="D39" s="121" t="n">
        <v>143573</v>
      </c>
      <c r="E39" s="99" t="s">
        <v>447</v>
      </c>
      <c r="F39" s="124" t="n">
        <f aca="false">IF(E39="CONTADO", 4%, IF(E39="TARJETA / CHEQUE", 3%, IF(OR(E39="FINANCIADO", E39="MCP"), 2.5%, "")))</f>
        <v>0.03</v>
      </c>
      <c r="G39" s="121" t="n">
        <f aca="false">IF(F39="", "", F39*D39)</f>
        <v>4307.19</v>
      </c>
      <c r="H39" s="132" t="b">
        <f aca="false">TRUE()</f>
        <v>1</v>
      </c>
      <c r="I39" s="132" t="b">
        <f aca="false">TRUE()</f>
        <v>1</v>
      </c>
      <c r="J39" s="126" t="n">
        <v>46142</v>
      </c>
      <c r="K39" s="99" t="s">
        <v>461</v>
      </c>
      <c r="L39" s="83"/>
      <c r="M39" s="103"/>
      <c r="N39" s="103"/>
      <c r="O39" s="103"/>
      <c r="P39" s="103"/>
      <c r="Q39" s="103"/>
      <c r="R39" s="83"/>
      <c r="S39" s="103"/>
      <c r="T39" s="103"/>
      <c r="U39" s="103"/>
    </row>
    <row r="40" customFormat="false" ht="22.5" hidden="false" customHeight="true" outlineLevel="0" collapsed="false">
      <c r="A40" s="136"/>
      <c r="B40" s="137" t="n">
        <v>46141</v>
      </c>
      <c r="C40" s="110" t="s">
        <v>508</v>
      </c>
      <c r="D40" s="122" t="n">
        <v>1046204.16</v>
      </c>
      <c r="E40" s="110" t="s">
        <v>447</v>
      </c>
      <c r="F40" s="128" t="n">
        <f aca="false">IF(E40="CONTADO", 4%, IF(E40="TARJETA / CHEQUE", 3%, IF(OR(E40="FINANCIADO", E40="MCP"), 2.5%, "")))</f>
        <v>0.03</v>
      </c>
      <c r="G40" s="122" t="n">
        <f aca="false">IF(F40="", "", F40*D40)</f>
        <v>31386.1248</v>
      </c>
      <c r="H40" s="131" t="b">
        <f aca="false">TRUE()</f>
        <v>1</v>
      </c>
      <c r="I40" s="131" t="b">
        <f aca="false">TRUE()</f>
        <v>1</v>
      </c>
      <c r="J40" s="130" t="n">
        <v>46142</v>
      </c>
      <c r="K40" s="110" t="s">
        <v>465</v>
      </c>
      <c r="L40" s="83"/>
      <c r="M40" s="103"/>
      <c r="N40" s="103"/>
      <c r="O40" s="103"/>
      <c r="P40" s="103"/>
      <c r="Q40" s="103"/>
      <c r="R40" s="83"/>
      <c r="S40" s="103"/>
      <c r="T40" s="103"/>
      <c r="U40" s="103"/>
    </row>
    <row r="41" customFormat="false" ht="22.5" hidden="false" customHeight="true" outlineLevel="0" collapsed="false">
      <c r="A41" s="134" t="n">
        <v>23</v>
      </c>
      <c r="B41" s="135" t="n">
        <v>46142</v>
      </c>
      <c r="C41" s="99" t="s">
        <v>509</v>
      </c>
      <c r="D41" s="121" t="n">
        <v>749710.61</v>
      </c>
      <c r="E41" s="99" t="s">
        <v>447</v>
      </c>
      <c r="F41" s="124" t="n">
        <f aca="false">IF(E41="CONTADO", 4%, IF(E41="TARJETA / CHEQUE", 3%, IF(OR(E41="FINANCIADO", E41="MCP"), 2.5%, "")))</f>
        <v>0.03</v>
      </c>
      <c r="G41" s="121" t="n">
        <f aca="false">IF(F41="", "", F41*D41)</f>
        <v>22491.3183</v>
      </c>
      <c r="H41" s="132" t="b">
        <f aca="false">TRUE()</f>
        <v>1</v>
      </c>
      <c r="I41" s="132" t="b">
        <f aca="false">TRUE()</f>
        <v>1</v>
      </c>
      <c r="J41" s="126" t="n">
        <v>46142</v>
      </c>
      <c r="K41" s="99" t="s">
        <v>465</v>
      </c>
      <c r="L41" s="83"/>
      <c r="M41" s="103"/>
      <c r="N41" s="103"/>
      <c r="O41" s="103"/>
      <c r="P41" s="103"/>
      <c r="Q41" s="103"/>
      <c r="R41" s="83"/>
      <c r="S41" s="103"/>
      <c r="T41" s="103"/>
      <c r="U41" s="103"/>
    </row>
    <row r="42" customFormat="false" ht="22.5" hidden="false" customHeight="true" outlineLevel="0" collapsed="false">
      <c r="A42" s="136"/>
      <c r="B42" s="137" t="n">
        <v>46142</v>
      </c>
      <c r="C42" s="110" t="s">
        <v>510</v>
      </c>
      <c r="D42" s="122" t="n">
        <v>0</v>
      </c>
      <c r="E42" s="110" t="s">
        <v>433</v>
      </c>
      <c r="F42" s="128"/>
      <c r="G42" s="122"/>
      <c r="H42" s="131" t="b">
        <f aca="false">FALSE()</f>
        <v>0</v>
      </c>
      <c r="I42" s="131" t="b">
        <f aca="false">FALSE()</f>
        <v>0</v>
      </c>
      <c r="J42" s="130"/>
      <c r="K42" s="110" t="s">
        <v>461</v>
      </c>
      <c r="L42" s="83"/>
      <c r="M42" s="103"/>
      <c r="N42" s="103"/>
      <c r="O42" s="103"/>
      <c r="P42" s="103"/>
      <c r="Q42" s="103"/>
      <c r="R42" s="83"/>
      <c r="S42" s="103"/>
      <c r="T42" s="103"/>
      <c r="U42" s="103"/>
    </row>
    <row r="43" customFormat="false" ht="22.5" hidden="false" customHeight="true" outlineLevel="0" collapsed="false">
      <c r="A43" s="99"/>
      <c r="B43" s="99"/>
      <c r="C43" s="99"/>
      <c r="D43" s="121"/>
      <c r="E43" s="99"/>
      <c r="F43" s="124"/>
      <c r="G43" s="121" t="str">
        <f aca="false">IF(F43="", "", F43*D43)</f>
        <v/>
      </c>
      <c r="H43" s="132" t="b">
        <f aca="false">FALSE()</f>
        <v>0</v>
      </c>
      <c r="I43" s="132" t="b">
        <f aca="false">FALSE()</f>
        <v>0</v>
      </c>
      <c r="J43" s="126"/>
      <c r="K43" s="99"/>
      <c r="L43" s="83"/>
      <c r="M43" s="103"/>
      <c r="N43" s="103"/>
      <c r="O43" s="103"/>
      <c r="P43" s="103"/>
      <c r="Q43" s="103"/>
      <c r="R43" s="83"/>
      <c r="S43" s="103"/>
      <c r="T43" s="103"/>
      <c r="U43" s="103"/>
    </row>
    <row r="44" customFormat="false" ht="22.5" hidden="false" customHeight="true" outlineLevel="0" collapsed="false">
      <c r="A44" s="110"/>
      <c r="B44" s="110"/>
      <c r="C44" s="110"/>
      <c r="D44" s="122"/>
      <c r="E44" s="110"/>
      <c r="F44" s="128" t="str">
        <f aca="false">IF(E44="CONTADO", 4%, IF(E44="TARJETA / CHEQUE", 3%, IF(OR(E44="FINANCIADO", E44="MCP"), 2.5%, "")))</f>
        <v/>
      </c>
      <c r="G44" s="122" t="str">
        <f aca="false">IF(F44="", "", F44*D44)</f>
        <v/>
      </c>
      <c r="H44" s="131" t="b">
        <f aca="false">FALSE()</f>
        <v>0</v>
      </c>
      <c r="I44" s="131" t="b">
        <f aca="false">FALSE()</f>
        <v>0</v>
      </c>
      <c r="J44" s="130"/>
      <c r="K44" s="110"/>
      <c r="L44" s="83"/>
      <c r="M44" s="103"/>
      <c r="N44" s="103"/>
      <c r="O44" s="103"/>
      <c r="P44" s="103"/>
      <c r="Q44" s="103"/>
      <c r="R44" s="83"/>
      <c r="S44" s="103"/>
      <c r="T44" s="103"/>
      <c r="U44" s="103"/>
    </row>
    <row r="45" customFormat="false" ht="22.5" hidden="false" customHeight="true" outlineLevel="0" collapsed="false">
      <c r="A45" s="99"/>
      <c r="B45" s="99"/>
      <c r="C45" s="99"/>
      <c r="D45" s="121"/>
      <c r="E45" s="99"/>
      <c r="F45" s="124" t="str">
        <f aca="false">IF(E45="CONTADO", 4%, IF(E45="TARJETA / CHEQUE", 3%, IF(OR(E45="FINANCIADO", E45="MCP"), 2.5%, "")))</f>
        <v/>
      </c>
      <c r="G45" s="121" t="str">
        <f aca="false">IF(F45="", "", F45*D45)</f>
        <v/>
      </c>
      <c r="H45" s="132" t="b">
        <f aca="false">FALSE()</f>
        <v>0</v>
      </c>
      <c r="I45" s="132" t="b">
        <f aca="false">FALSE()</f>
        <v>0</v>
      </c>
      <c r="J45" s="126"/>
      <c r="K45" s="99"/>
      <c r="L45" s="83"/>
      <c r="M45" s="103"/>
      <c r="N45" s="103"/>
      <c r="O45" s="103"/>
      <c r="P45" s="103"/>
      <c r="Q45" s="103"/>
      <c r="R45" s="83"/>
      <c r="S45" s="103"/>
      <c r="T45" s="103"/>
      <c r="U45" s="103"/>
    </row>
    <row r="46" customFormat="false" ht="22.5" hidden="false" customHeight="true" outlineLevel="0" collapsed="false">
      <c r="A46" s="110"/>
      <c r="B46" s="110"/>
      <c r="C46" s="110"/>
      <c r="D46" s="122"/>
      <c r="E46" s="110"/>
      <c r="F46" s="128" t="str">
        <f aca="false">IF(E46="CONTADO", 4%, IF(E46="TARJETA / CHEQUE", 3%, IF(OR(E46="FINANCIADO", E46="MCP"), 2.5%, "")))</f>
        <v/>
      </c>
      <c r="G46" s="122" t="str">
        <f aca="false">IF(F46="", "", F46*D46)</f>
        <v/>
      </c>
      <c r="H46" s="131" t="b">
        <f aca="false">FALSE()</f>
        <v>0</v>
      </c>
      <c r="I46" s="131" t="b">
        <f aca="false">FALSE()</f>
        <v>0</v>
      </c>
      <c r="J46" s="130"/>
      <c r="K46" s="110"/>
      <c r="L46" s="83"/>
      <c r="M46" s="103"/>
      <c r="N46" s="103"/>
      <c r="O46" s="103"/>
      <c r="P46" s="103"/>
      <c r="Q46" s="103"/>
      <c r="R46" s="83"/>
      <c r="S46" s="103"/>
      <c r="T46" s="103"/>
      <c r="U46" s="103"/>
    </row>
    <row r="47" customFormat="false" ht="22.5" hidden="false" customHeight="true" outlineLevel="0" collapsed="false">
      <c r="A47" s="99"/>
      <c r="B47" s="99"/>
      <c r="C47" s="99"/>
      <c r="D47" s="121"/>
      <c r="E47" s="99"/>
      <c r="F47" s="124" t="str">
        <f aca="false">IF(E47="CONTADO", 4%, IF(E47="TARJETA / CHEQUE", 3%, IF(OR(E47="FINANCIADO", E47="MCP"), 2.5%, "")))</f>
        <v/>
      </c>
      <c r="G47" s="121" t="str">
        <f aca="false">IF(F47="", "", F47*D47)</f>
        <v/>
      </c>
      <c r="H47" s="132" t="b">
        <f aca="false">FALSE()</f>
        <v>0</v>
      </c>
      <c r="I47" s="132" t="b">
        <f aca="false">FALSE()</f>
        <v>0</v>
      </c>
      <c r="J47" s="126"/>
      <c r="K47" s="99"/>
      <c r="L47" s="83"/>
      <c r="M47" s="103"/>
      <c r="N47" s="103"/>
      <c r="O47" s="103"/>
      <c r="P47" s="103"/>
      <c r="Q47" s="103"/>
      <c r="R47" s="83"/>
      <c r="S47" s="103"/>
      <c r="T47" s="103"/>
      <c r="U47" s="103"/>
    </row>
    <row r="48" customFormat="false" ht="22.5" hidden="false" customHeight="true" outlineLevel="0" collapsed="false">
      <c r="A48" s="110"/>
      <c r="B48" s="110"/>
      <c r="C48" s="110"/>
      <c r="D48" s="122"/>
      <c r="E48" s="110"/>
      <c r="F48" s="128" t="str">
        <f aca="false">IF(E48="CONTADO", 4%, IF(E48="TARJETA / CHEQUE", 3%, IF(OR(E48="FINANCIADO", E48="MCP"), 2.5%, "")))</f>
        <v/>
      </c>
      <c r="G48" s="122" t="str">
        <f aca="false">IF(F48="", "", F48*D48)</f>
        <v/>
      </c>
      <c r="H48" s="131" t="b">
        <f aca="false">FALSE()</f>
        <v>0</v>
      </c>
      <c r="I48" s="131" t="b">
        <f aca="false">FALSE()</f>
        <v>0</v>
      </c>
      <c r="J48" s="130"/>
      <c r="K48" s="110"/>
      <c r="L48" s="83"/>
      <c r="M48" s="103"/>
      <c r="N48" s="103"/>
      <c r="O48" s="103"/>
      <c r="P48" s="103"/>
      <c r="Q48" s="103"/>
      <c r="R48" s="83"/>
      <c r="S48" s="103"/>
      <c r="T48" s="103"/>
      <c r="U48" s="103"/>
    </row>
    <row r="49" customFormat="false" ht="22.5" hidden="false" customHeight="true" outlineLevel="0" collapsed="false">
      <c r="A49" s="99"/>
      <c r="B49" s="99"/>
      <c r="C49" s="99"/>
      <c r="D49" s="121"/>
      <c r="E49" s="99"/>
      <c r="F49" s="124" t="str">
        <f aca="false">IF(E49="CONTADO", 4%, IF(E49="TARJETA / CHEQUE", 3%, IF(OR(E49="FINANCIADO", E49="MCP"), 2.5%, "")))</f>
        <v/>
      </c>
      <c r="G49" s="121" t="str">
        <f aca="false">IF(F49="", "", F49*D49)</f>
        <v/>
      </c>
      <c r="H49" s="132" t="b">
        <f aca="false">FALSE()</f>
        <v>0</v>
      </c>
      <c r="I49" s="132" t="b">
        <f aca="false">FALSE()</f>
        <v>0</v>
      </c>
      <c r="J49" s="126"/>
      <c r="K49" s="99"/>
      <c r="L49" s="83"/>
      <c r="M49" s="103"/>
      <c r="N49" s="103"/>
      <c r="O49" s="103"/>
      <c r="P49" s="103"/>
      <c r="Q49" s="103"/>
      <c r="R49" s="83"/>
      <c r="S49" s="103"/>
      <c r="T49" s="103"/>
      <c r="U49" s="103"/>
    </row>
    <row r="50" customFormat="false" ht="22.5" hidden="false" customHeight="true" outlineLevel="0" collapsed="false">
      <c r="A50" s="110"/>
      <c r="B50" s="110"/>
      <c r="C50" s="110"/>
      <c r="D50" s="122"/>
      <c r="E50" s="110"/>
      <c r="F50" s="128" t="str">
        <f aca="false">IF(E50="CONTADO", 4%, IF(E50="TARJETA / CHEQUE", 3%, IF(OR(E50="FINANCIADO", E50="MCP"), 2.5%, "")))</f>
        <v/>
      </c>
      <c r="G50" s="122" t="str">
        <f aca="false">IF(F50="", "", F50*D50)</f>
        <v/>
      </c>
      <c r="H50" s="131" t="b">
        <f aca="false">FALSE()</f>
        <v>0</v>
      </c>
      <c r="I50" s="131" t="b">
        <f aca="false">FALSE()</f>
        <v>0</v>
      </c>
      <c r="J50" s="130"/>
      <c r="K50" s="110"/>
      <c r="L50" s="83"/>
      <c r="M50" s="103"/>
      <c r="N50" s="103"/>
      <c r="O50" s="103"/>
      <c r="P50" s="103"/>
      <c r="Q50" s="103"/>
      <c r="R50" s="83"/>
      <c r="S50" s="103"/>
      <c r="T50" s="103"/>
      <c r="U50" s="103"/>
    </row>
    <row r="51" customFormat="false" ht="22.5" hidden="false" customHeight="true" outlineLevel="0" collapsed="false">
      <c r="A51" s="99"/>
      <c r="B51" s="99"/>
      <c r="C51" s="99"/>
      <c r="D51" s="121"/>
      <c r="E51" s="99"/>
      <c r="F51" s="124" t="str">
        <f aca="false">IF(E51="CONTADO", 4%, IF(E51="TARJETA / CHEQUE", 3%, IF(OR(E51="FINANCIADO", E51="MCP"), 2.5%, "")))</f>
        <v/>
      </c>
      <c r="G51" s="121" t="str">
        <f aca="false">IF(F51="", "", F51*D51)</f>
        <v/>
      </c>
      <c r="H51" s="132" t="b">
        <f aca="false">FALSE()</f>
        <v>0</v>
      </c>
      <c r="I51" s="132" t="b">
        <f aca="false">FALSE()</f>
        <v>0</v>
      </c>
      <c r="J51" s="126"/>
      <c r="K51" s="99"/>
      <c r="L51" s="83"/>
      <c r="M51" s="103"/>
      <c r="N51" s="103"/>
      <c r="O51" s="103"/>
      <c r="P51" s="103"/>
      <c r="Q51" s="103"/>
      <c r="R51" s="83"/>
      <c r="S51" s="103"/>
      <c r="T51" s="103"/>
      <c r="U51" s="103"/>
    </row>
    <row r="52" customFormat="false" ht="22.5" hidden="false" customHeight="true" outlineLevel="0" collapsed="false">
      <c r="A52" s="110"/>
      <c r="B52" s="110"/>
      <c r="C52" s="110"/>
      <c r="D52" s="122"/>
      <c r="E52" s="110"/>
      <c r="F52" s="128" t="str">
        <f aca="false">IF(E52="CONTADO", 4%, IF(E52="TARJETA / CHEQUE", 3%, IF(OR(E52="FINANCIADO", E52="MCP"), 2.5%, "")))</f>
        <v/>
      </c>
      <c r="G52" s="122" t="str">
        <f aca="false">IF(F52="", "", F52*D52)</f>
        <v/>
      </c>
      <c r="H52" s="131" t="b">
        <f aca="false">FALSE()</f>
        <v>0</v>
      </c>
      <c r="I52" s="131" t="b">
        <f aca="false">FALSE()</f>
        <v>0</v>
      </c>
      <c r="J52" s="130"/>
      <c r="K52" s="110"/>
      <c r="L52" s="83"/>
      <c r="M52" s="103"/>
      <c r="N52" s="103"/>
      <c r="O52" s="103"/>
      <c r="P52" s="103"/>
      <c r="Q52" s="103"/>
      <c r="R52" s="83"/>
      <c r="S52" s="103"/>
      <c r="T52" s="103"/>
      <c r="U52" s="103"/>
    </row>
    <row r="53" customFormat="false" ht="22.5" hidden="false" customHeight="true" outlineLevel="0" collapsed="false">
      <c r="A53" s="99"/>
      <c r="B53" s="99"/>
      <c r="C53" s="99"/>
      <c r="D53" s="121"/>
      <c r="E53" s="99"/>
      <c r="F53" s="124" t="str">
        <f aca="false">IF(E53="CONTADO", 4%, IF(E53="TARJETA / CHEQUE", 3%, IF(OR(E53="FINANCIADO", E53="MCP"), 2.5%, "")))</f>
        <v/>
      </c>
      <c r="G53" s="121" t="str">
        <f aca="false">IF(F53="", "", F53*D53)</f>
        <v/>
      </c>
      <c r="H53" s="132" t="b">
        <f aca="false">FALSE()</f>
        <v>0</v>
      </c>
      <c r="I53" s="132" t="b">
        <f aca="false">FALSE()</f>
        <v>0</v>
      </c>
      <c r="J53" s="126"/>
      <c r="K53" s="99"/>
      <c r="L53" s="83"/>
      <c r="M53" s="103"/>
      <c r="N53" s="103"/>
      <c r="O53" s="103"/>
      <c r="P53" s="103"/>
      <c r="Q53" s="103"/>
      <c r="R53" s="83"/>
      <c r="S53" s="103"/>
      <c r="T53" s="103"/>
      <c r="U53" s="103"/>
    </row>
    <row r="54" customFormat="false" ht="22.5" hidden="false" customHeight="true" outlineLevel="0" collapsed="false">
      <c r="A54" s="110"/>
      <c r="B54" s="110"/>
      <c r="C54" s="110"/>
      <c r="D54" s="122"/>
      <c r="E54" s="110"/>
      <c r="F54" s="128" t="str">
        <f aca="false">IF(E54="CONTADO", 4%, IF(E54="TARJETA / CHEQUE", 3%, IF(OR(E54="FINANCIADO", E54="MCP"), 2.5%, "")))</f>
        <v/>
      </c>
      <c r="G54" s="122" t="str">
        <f aca="false">IF(F54="", "", F54*D54)</f>
        <v/>
      </c>
      <c r="H54" s="131" t="b">
        <f aca="false">FALSE()</f>
        <v>0</v>
      </c>
      <c r="I54" s="131" t="b">
        <f aca="false">FALSE()</f>
        <v>0</v>
      </c>
      <c r="J54" s="130"/>
      <c r="K54" s="110"/>
      <c r="L54" s="83"/>
      <c r="M54" s="103"/>
      <c r="N54" s="103"/>
      <c r="O54" s="103"/>
      <c r="P54" s="103"/>
      <c r="Q54" s="103"/>
      <c r="R54" s="83"/>
      <c r="S54" s="103"/>
      <c r="T54" s="103"/>
      <c r="U54" s="103"/>
    </row>
    <row r="55" customFormat="false" ht="22.5" hidden="false" customHeight="true" outlineLevel="0" collapsed="false">
      <c r="A55" s="99"/>
      <c r="B55" s="99"/>
      <c r="C55" s="99"/>
      <c r="D55" s="121"/>
      <c r="E55" s="99"/>
      <c r="F55" s="124" t="str">
        <f aca="false">IF(E55="CONTADO", 4%, IF(E55="TARJETA / CHEQUE", 3%, IF(OR(E55="FINANCIADO", E55="MCP"), 2.5%, "")))</f>
        <v/>
      </c>
      <c r="G55" s="121" t="str">
        <f aca="false">IF(F55="", "", F55*D55)</f>
        <v/>
      </c>
      <c r="H55" s="132" t="b">
        <f aca="false">FALSE()</f>
        <v>0</v>
      </c>
      <c r="I55" s="132" t="b">
        <f aca="false">FALSE()</f>
        <v>0</v>
      </c>
      <c r="J55" s="126"/>
      <c r="K55" s="99"/>
      <c r="L55" s="83"/>
      <c r="M55" s="103"/>
      <c r="N55" s="103"/>
      <c r="O55" s="103"/>
      <c r="P55" s="103"/>
      <c r="Q55" s="103"/>
      <c r="R55" s="83"/>
      <c r="S55" s="103"/>
      <c r="T55" s="103"/>
      <c r="U55" s="103"/>
    </row>
    <row r="56" customFormat="false" ht="22.5" hidden="false" customHeight="true" outlineLevel="0" collapsed="false">
      <c r="A56" s="110"/>
      <c r="B56" s="110"/>
      <c r="C56" s="110"/>
      <c r="D56" s="122"/>
      <c r="E56" s="110"/>
      <c r="F56" s="128" t="str">
        <f aca="false">IF(E56="CONTADO", 4%, IF(E56="TARJETA / CHEQUE", 3%, IF(OR(E56="FINANCIADO", E56="MCP"), 2.5%, "")))</f>
        <v/>
      </c>
      <c r="G56" s="122" t="str">
        <f aca="false">IF(F56="", "", F56*D56)</f>
        <v/>
      </c>
      <c r="H56" s="131" t="b">
        <f aca="false">FALSE()</f>
        <v>0</v>
      </c>
      <c r="I56" s="131" t="b">
        <f aca="false">FALSE()</f>
        <v>0</v>
      </c>
      <c r="J56" s="130"/>
      <c r="K56" s="110"/>
      <c r="L56" s="83"/>
      <c r="M56" s="103"/>
      <c r="N56" s="103"/>
      <c r="O56" s="103"/>
      <c r="P56" s="103"/>
      <c r="Q56" s="103"/>
      <c r="R56" s="83"/>
      <c r="S56" s="103"/>
      <c r="T56" s="103"/>
      <c r="U56" s="103"/>
    </row>
    <row r="57" customFormat="false" ht="22.5" hidden="false" customHeight="true" outlineLevel="0" collapsed="false">
      <c r="A57" s="99"/>
      <c r="B57" s="99"/>
      <c r="C57" s="99"/>
      <c r="D57" s="121"/>
      <c r="E57" s="99"/>
      <c r="F57" s="124" t="str">
        <f aca="false">IF(E57="CONTADO", 4%, IF(E57="TARJETA / CHEQUE", 3%, IF(OR(E57="FINANCIADO", E57="MCP"), 2.5%, "")))</f>
        <v/>
      </c>
      <c r="G57" s="121" t="str">
        <f aca="false">IF(F57="", "", F57*D57)</f>
        <v/>
      </c>
      <c r="H57" s="132" t="b">
        <f aca="false">FALSE()</f>
        <v>0</v>
      </c>
      <c r="I57" s="132" t="b">
        <f aca="false">FALSE()</f>
        <v>0</v>
      </c>
      <c r="J57" s="126"/>
      <c r="K57" s="99"/>
      <c r="L57" s="83"/>
      <c r="M57" s="103"/>
      <c r="N57" s="103"/>
      <c r="O57" s="103"/>
      <c r="P57" s="103"/>
      <c r="Q57" s="103"/>
      <c r="R57" s="83"/>
      <c r="S57" s="103"/>
      <c r="T57" s="103"/>
      <c r="U57" s="103"/>
    </row>
    <row r="58" customFormat="false" ht="22.5" hidden="false" customHeight="true" outlineLevel="0" collapsed="false">
      <c r="A58" s="110"/>
      <c r="B58" s="110"/>
      <c r="C58" s="110"/>
      <c r="D58" s="122"/>
      <c r="E58" s="110"/>
      <c r="F58" s="128" t="str">
        <f aca="false">IF(E58="CONTADO", 4%, IF(E58="TARJETA / CHEQUE", 3%, IF(OR(E58="FINANCIADO", E58="MCP"), 2.5%, "")))</f>
        <v/>
      </c>
      <c r="G58" s="122" t="str">
        <f aca="false">IF(F58="", "", F58*D58)</f>
        <v/>
      </c>
      <c r="H58" s="131" t="b">
        <f aca="false">FALSE()</f>
        <v>0</v>
      </c>
      <c r="I58" s="131" t="b">
        <f aca="false">FALSE()</f>
        <v>0</v>
      </c>
      <c r="J58" s="130"/>
      <c r="K58" s="110"/>
      <c r="L58" s="83"/>
      <c r="M58" s="103"/>
      <c r="N58" s="103"/>
      <c r="O58" s="103"/>
      <c r="P58" s="103"/>
      <c r="Q58" s="103"/>
      <c r="R58" s="83"/>
      <c r="S58" s="103"/>
      <c r="T58" s="103"/>
      <c r="U58" s="103"/>
    </row>
    <row r="59" customFormat="false" ht="22.5" hidden="false" customHeight="true" outlineLevel="0" collapsed="false">
      <c r="A59" s="99"/>
      <c r="B59" s="99"/>
      <c r="C59" s="99"/>
      <c r="D59" s="121"/>
      <c r="E59" s="99"/>
      <c r="F59" s="124" t="str">
        <f aca="false">IF(E59="CONTADO", 4%, IF(E59="TARJETA / CHEQUE", 3%, IF(OR(E59="FINANCIADO", E59="MCP"), 2.5%, "")))</f>
        <v/>
      </c>
      <c r="G59" s="121" t="str">
        <f aca="false">IF(F59="", "", F59*D59)</f>
        <v/>
      </c>
      <c r="H59" s="132" t="b">
        <f aca="false">FALSE()</f>
        <v>0</v>
      </c>
      <c r="I59" s="132" t="b">
        <f aca="false">FALSE()</f>
        <v>0</v>
      </c>
      <c r="J59" s="126"/>
      <c r="K59" s="99"/>
      <c r="L59" s="83"/>
      <c r="M59" s="103"/>
      <c r="N59" s="103"/>
      <c r="O59" s="103"/>
      <c r="P59" s="103"/>
      <c r="Q59" s="103"/>
      <c r="R59" s="83"/>
      <c r="S59" s="103"/>
      <c r="T59" s="103"/>
      <c r="U59" s="103"/>
    </row>
    <row r="60" customFormat="false" ht="22.5" hidden="false" customHeight="true" outlineLevel="0" collapsed="false">
      <c r="A60" s="110"/>
      <c r="B60" s="110"/>
      <c r="C60" s="110"/>
      <c r="D60" s="122"/>
      <c r="E60" s="110"/>
      <c r="F60" s="128" t="str">
        <f aca="false">IF(E60="CONTADO", 4%, IF(E60="TARJETA / CHEQUE", 3%, IF(OR(E60="FINANCIADO", E60="MCP"), 2.5%, "")))</f>
        <v/>
      </c>
      <c r="G60" s="122" t="str">
        <f aca="false">IF(F60="", "", F60*D60)</f>
        <v/>
      </c>
      <c r="H60" s="131" t="b">
        <f aca="false">FALSE()</f>
        <v>0</v>
      </c>
      <c r="I60" s="131" t="b">
        <f aca="false">FALSE()</f>
        <v>0</v>
      </c>
      <c r="J60" s="130"/>
      <c r="K60" s="110"/>
      <c r="L60" s="83"/>
      <c r="M60" s="103"/>
      <c r="N60" s="103"/>
      <c r="O60" s="103"/>
      <c r="P60" s="103"/>
      <c r="Q60" s="103"/>
      <c r="R60" s="83"/>
      <c r="S60" s="103"/>
      <c r="T60" s="103"/>
      <c r="U60" s="103"/>
    </row>
    <row r="61" customFormat="false" ht="22.5" hidden="false" customHeight="true" outlineLevel="0" collapsed="false">
      <c r="A61" s="99"/>
      <c r="B61" s="99"/>
      <c r="C61" s="99"/>
      <c r="D61" s="121"/>
      <c r="E61" s="99"/>
      <c r="F61" s="124" t="str">
        <f aca="false">IF(E61="CONTADO", 4%, IF(E61="TARJETA / CHEQUE", 3%, IF(OR(E61="FINANCIADO", E61="MCP"), 2.5%, "")))</f>
        <v/>
      </c>
      <c r="G61" s="121" t="str">
        <f aca="false">IF(F61="", "", F61*D61)</f>
        <v/>
      </c>
      <c r="H61" s="132" t="b">
        <f aca="false">FALSE()</f>
        <v>0</v>
      </c>
      <c r="I61" s="132" t="b">
        <f aca="false">FALSE()</f>
        <v>0</v>
      </c>
      <c r="J61" s="126"/>
      <c r="K61" s="99"/>
      <c r="L61" s="83"/>
      <c r="M61" s="103"/>
      <c r="N61" s="103"/>
      <c r="O61" s="103"/>
      <c r="P61" s="103"/>
      <c r="Q61" s="103"/>
      <c r="R61" s="83"/>
      <c r="S61" s="103"/>
      <c r="T61" s="103"/>
      <c r="U61" s="103"/>
    </row>
    <row r="62" customFormat="false" ht="22.5" hidden="false" customHeight="true" outlineLevel="0" collapsed="false">
      <c r="A62" s="110"/>
      <c r="B62" s="110"/>
      <c r="C62" s="110"/>
      <c r="D62" s="122"/>
      <c r="E62" s="110"/>
      <c r="F62" s="128" t="str">
        <f aca="false">IF(E62="CONTADO", 4%, IF(E62="TARJETA / CHEQUE", 3%, IF(OR(E62="FINANCIADO", E62="MCP"), 2.5%, "")))</f>
        <v/>
      </c>
      <c r="G62" s="122" t="str">
        <f aca="false">IF(F62="", "", F62*D62)</f>
        <v/>
      </c>
      <c r="H62" s="131" t="b">
        <f aca="false">FALSE()</f>
        <v>0</v>
      </c>
      <c r="I62" s="131" t="b">
        <f aca="false">FALSE()</f>
        <v>0</v>
      </c>
      <c r="J62" s="130"/>
      <c r="K62" s="110"/>
      <c r="L62" s="83"/>
      <c r="M62" s="103"/>
      <c r="N62" s="103"/>
      <c r="O62" s="103"/>
      <c r="P62" s="103"/>
      <c r="Q62" s="103"/>
      <c r="R62" s="83"/>
      <c r="S62" s="103"/>
      <c r="T62" s="103"/>
      <c r="U62" s="103"/>
    </row>
    <row r="63" customFormat="false" ht="22.5" hidden="false" customHeight="true" outlineLevel="0" collapsed="false">
      <c r="A63" s="99"/>
      <c r="B63" s="99"/>
      <c r="C63" s="99"/>
      <c r="D63" s="121"/>
      <c r="E63" s="99"/>
      <c r="F63" s="124" t="str">
        <f aca="false">IF(E63="CONTADO", 4%, IF(E63="TARJETA / CHEQUE", 3%, IF(OR(E63="FINANCIADO", E63="MCP"), 2.5%, "")))</f>
        <v/>
      </c>
      <c r="G63" s="121" t="str">
        <f aca="false">IF(F63="", "", F63*D63)</f>
        <v/>
      </c>
      <c r="H63" s="132" t="b">
        <f aca="false">FALSE()</f>
        <v>0</v>
      </c>
      <c r="I63" s="132" t="b">
        <f aca="false">FALSE()</f>
        <v>0</v>
      </c>
      <c r="J63" s="126"/>
      <c r="K63" s="99"/>
      <c r="L63" s="83"/>
      <c r="M63" s="103"/>
      <c r="N63" s="103"/>
      <c r="O63" s="103"/>
      <c r="P63" s="103"/>
      <c r="Q63" s="103"/>
      <c r="R63" s="83"/>
      <c r="S63" s="103"/>
      <c r="T63" s="103"/>
      <c r="U63" s="103"/>
    </row>
    <row r="64" customFormat="false" ht="22.5" hidden="false" customHeight="true" outlineLevel="0" collapsed="false">
      <c r="A64" s="110"/>
      <c r="B64" s="110"/>
      <c r="C64" s="110"/>
      <c r="D64" s="122"/>
      <c r="E64" s="110"/>
      <c r="F64" s="128" t="str">
        <f aca="false">IF(E64="CONTADO", 4%, IF(E64="TARJETA / CHEQUE", 3%, IF(OR(E64="FINANCIADO", E64="MCP"), 2.5%, "")))</f>
        <v/>
      </c>
      <c r="G64" s="122" t="str">
        <f aca="false">IF(F64="", "", F64*D64)</f>
        <v/>
      </c>
      <c r="H64" s="131" t="b">
        <f aca="false">FALSE()</f>
        <v>0</v>
      </c>
      <c r="I64" s="131" t="b">
        <f aca="false">FALSE()</f>
        <v>0</v>
      </c>
      <c r="J64" s="130"/>
      <c r="K64" s="110"/>
      <c r="L64" s="83"/>
      <c r="M64" s="103"/>
      <c r="N64" s="103"/>
      <c r="O64" s="103"/>
      <c r="P64" s="103"/>
      <c r="Q64" s="103"/>
      <c r="R64" s="83"/>
      <c r="S64" s="103"/>
      <c r="T64" s="103"/>
      <c r="U64" s="103"/>
    </row>
    <row r="65" customFormat="false" ht="22.5" hidden="false" customHeight="true" outlineLevel="0" collapsed="false">
      <c r="A65" s="99"/>
      <c r="B65" s="99"/>
      <c r="C65" s="99"/>
      <c r="D65" s="121"/>
      <c r="E65" s="99"/>
      <c r="F65" s="124" t="str">
        <f aca="false">IF(E65="CONTADO", 4%, IF(E65="TARJETA / CHEQUE", 3%, IF(OR(E65="FINANCIADO", E65="MCP"), 2.5%, "")))</f>
        <v/>
      </c>
      <c r="G65" s="121" t="str">
        <f aca="false">IF(F65="", "", F65*D65)</f>
        <v/>
      </c>
      <c r="H65" s="132" t="b">
        <f aca="false">FALSE()</f>
        <v>0</v>
      </c>
      <c r="I65" s="132" t="b">
        <f aca="false">FALSE()</f>
        <v>0</v>
      </c>
      <c r="J65" s="126"/>
      <c r="K65" s="99"/>
      <c r="L65" s="83"/>
      <c r="M65" s="103"/>
      <c r="N65" s="103"/>
      <c r="O65" s="103"/>
      <c r="P65" s="103"/>
      <c r="Q65" s="103"/>
      <c r="R65" s="83"/>
      <c r="S65" s="103"/>
      <c r="T65" s="103"/>
      <c r="U65" s="103"/>
    </row>
    <row r="66" customFormat="false" ht="22.5" hidden="false" customHeight="true" outlineLevel="0" collapsed="false">
      <c r="A66" s="110"/>
      <c r="B66" s="110"/>
      <c r="C66" s="110"/>
      <c r="D66" s="122"/>
      <c r="E66" s="110"/>
      <c r="F66" s="128" t="str">
        <f aca="false">IF(E66="CONTADO", 4%, IF(E66="TARJETA / CHEQUE", 3%, IF(OR(E66="FINANCIADO", E66="MCP"), 2.5%, "")))</f>
        <v/>
      </c>
      <c r="G66" s="122" t="str">
        <f aca="false">IF(F66="", "", F66*D66)</f>
        <v/>
      </c>
      <c r="H66" s="131" t="b">
        <f aca="false">FALSE()</f>
        <v>0</v>
      </c>
      <c r="I66" s="131" t="b">
        <f aca="false">FALSE()</f>
        <v>0</v>
      </c>
      <c r="J66" s="130"/>
      <c r="K66" s="110"/>
      <c r="L66" s="83"/>
      <c r="M66" s="103"/>
      <c r="N66" s="103"/>
      <c r="O66" s="103"/>
      <c r="P66" s="103"/>
      <c r="Q66" s="103"/>
      <c r="R66" s="83"/>
      <c r="S66" s="103"/>
      <c r="T66" s="103"/>
      <c r="U66" s="103"/>
    </row>
    <row r="67" customFormat="false" ht="22.5" hidden="false" customHeight="true" outlineLevel="0" collapsed="false">
      <c r="A67" s="99"/>
      <c r="B67" s="99"/>
      <c r="C67" s="99"/>
      <c r="D67" s="121"/>
      <c r="E67" s="99"/>
      <c r="F67" s="124" t="str">
        <f aca="false">IF(E67="CONTADO", 4%, IF(E67="TARJETA / CHEQUE", 3%, IF(OR(E67="FINANCIADO", E67="MCP"), 2.5%, "")))</f>
        <v/>
      </c>
      <c r="G67" s="121" t="str">
        <f aca="false">IF(F67="", "", F67*D67)</f>
        <v/>
      </c>
      <c r="H67" s="132" t="b">
        <f aca="false">FALSE()</f>
        <v>0</v>
      </c>
      <c r="I67" s="132" t="b">
        <f aca="false">FALSE()</f>
        <v>0</v>
      </c>
      <c r="J67" s="126"/>
      <c r="K67" s="99"/>
      <c r="L67" s="83"/>
      <c r="M67" s="103"/>
      <c r="N67" s="103"/>
      <c r="O67" s="103"/>
      <c r="P67" s="103"/>
      <c r="Q67" s="103"/>
      <c r="R67" s="83"/>
      <c r="S67" s="103"/>
      <c r="T67" s="103"/>
      <c r="U67" s="103"/>
    </row>
    <row r="68" customFormat="false" ht="22.5" hidden="false" customHeight="true" outlineLevel="0" collapsed="false">
      <c r="A68" s="110"/>
      <c r="B68" s="110"/>
      <c r="C68" s="110"/>
      <c r="D68" s="122"/>
      <c r="E68" s="110"/>
      <c r="F68" s="128" t="str">
        <f aca="false">IF(E68="CONTADO", 4%, IF(E68="TARJETA / CHEQUE", 3%, IF(OR(E68="FINANCIADO", E68="MCP"), 2.5%, "")))</f>
        <v/>
      </c>
      <c r="G68" s="122" t="str">
        <f aca="false">IF(F68="", "", F68*D68)</f>
        <v/>
      </c>
      <c r="H68" s="131" t="b">
        <f aca="false">FALSE()</f>
        <v>0</v>
      </c>
      <c r="I68" s="131" t="b">
        <f aca="false">FALSE()</f>
        <v>0</v>
      </c>
      <c r="J68" s="130"/>
      <c r="K68" s="110"/>
      <c r="L68" s="83"/>
      <c r="M68" s="103"/>
      <c r="N68" s="103"/>
      <c r="O68" s="103"/>
      <c r="P68" s="103"/>
      <c r="Q68" s="103"/>
      <c r="R68" s="83"/>
      <c r="S68" s="103"/>
      <c r="T68" s="103"/>
      <c r="U68" s="103"/>
    </row>
    <row r="69" customFormat="false" ht="22.5" hidden="false" customHeight="true" outlineLevel="0" collapsed="false">
      <c r="A69" s="99"/>
      <c r="B69" s="99"/>
      <c r="C69" s="99"/>
      <c r="D69" s="121"/>
      <c r="E69" s="99"/>
      <c r="F69" s="124" t="str">
        <f aca="false">IF(E69="CONTADO", 4%, IF(E69="TARJETA / CHEQUE", 3%, IF(OR(E69="FINANCIADO", E69="MCP"), 2.5%, "")))</f>
        <v/>
      </c>
      <c r="G69" s="121" t="str">
        <f aca="false">IF(F69="", "", F69*D69)</f>
        <v/>
      </c>
      <c r="H69" s="132" t="b">
        <f aca="false">FALSE()</f>
        <v>0</v>
      </c>
      <c r="I69" s="132" t="b">
        <f aca="false">FALSE()</f>
        <v>0</v>
      </c>
      <c r="J69" s="126"/>
      <c r="K69" s="99"/>
      <c r="L69" s="83"/>
      <c r="M69" s="103"/>
      <c r="N69" s="103"/>
      <c r="O69" s="103"/>
      <c r="P69" s="103"/>
      <c r="Q69" s="103"/>
      <c r="R69" s="83"/>
      <c r="S69" s="103"/>
      <c r="T69" s="103"/>
      <c r="U69" s="103"/>
    </row>
    <row r="70" customFormat="false" ht="22.5" hidden="false" customHeight="true" outlineLevel="0" collapsed="false">
      <c r="A70" s="110"/>
      <c r="B70" s="110"/>
      <c r="C70" s="110"/>
      <c r="D70" s="122"/>
      <c r="E70" s="110"/>
      <c r="F70" s="128" t="str">
        <f aca="false">IF(E70="CONTADO", 4%, IF(E70="TARJETA / CHEQUE", 3%, IF(OR(E70="FINANCIADO", E70="MCP"), 2.5%, "")))</f>
        <v/>
      </c>
      <c r="G70" s="122" t="str">
        <f aca="false">IF(F70="", "", F70*D70)</f>
        <v/>
      </c>
      <c r="H70" s="131" t="b">
        <f aca="false">FALSE()</f>
        <v>0</v>
      </c>
      <c r="I70" s="131" t="b">
        <f aca="false">FALSE()</f>
        <v>0</v>
      </c>
      <c r="J70" s="130"/>
      <c r="K70" s="110"/>
      <c r="L70" s="83"/>
      <c r="M70" s="103"/>
      <c r="N70" s="103"/>
      <c r="O70" s="103"/>
      <c r="P70" s="103"/>
      <c r="Q70" s="103"/>
      <c r="R70" s="83"/>
      <c r="S70" s="103"/>
      <c r="T70" s="103"/>
      <c r="U70" s="103"/>
    </row>
    <row r="71" customFormat="false" ht="22.5" hidden="false" customHeight="true" outlineLevel="0" collapsed="false">
      <c r="A71" s="99"/>
      <c r="B71" s="99"/>
      <c r="C71" s="99"/>
      <c r="D71" s="121"/>
      <c r="E71" s="99"/>
      <c r="F71" s="124" t="str">
        <f aca="false">IF(E71="CONTADO", 4%, IF(E71="TARJETA / CHEQUE", 3%, IF(OR(E71="FINANCIADO", E71="MCP"), 2.5%, "")))</f>
        <v/>
      </c>
      <c r="G71" s="121" t="str">
        <f aca="false">IF(F71="", "", F71*D71)</f>
        <v/>
      </c>
      <c r="H71" s="132" t="b">
        <f aca="false">FALSE()</f>
        <v>0</v>
      </c>
      <c r="I71" s="132" t="b">
        <f aca="false">FALSE()</f>
        <v>0</v>
      </c>
      <c r="J71" s="126"/>
      <c r="K71" s="99"/>
      <c r="L71" s="83"/>
      <c r="M71" s="103"/>
      <c r="N71" s="103"/>
      <c r="O71" s="103"/>
      <c r="P71" s="103"/>
      <c r="Q71" s="103"/>
      <c r="R71" s="83"/>
      <c r="S71" s="103"/>
      <c r="T71" s="103"/>
      <c r="U71" s="103"/>
    </row>
    <row r="72" customFormat="false" ht="22.5" hidden="false" customHeight="true" outlineLevel="0" collapsed="false">
      <c r="A72" s="110"/>
      <c r="B72" s="110"/>
      <c r="C72" s="110"/>
      <c r="D72" s="122"/>
      <c r="E72" s="110"/>
      <c r="F72" s="128" t="str">
        <f aca="false">IF(E72="CONTADO", 4%, IF(E72="TARJETA / CHEQUE", 3%, IF(OR(E72="FINANCIADO", E72="MCP"), 2.5%, "")))</f>
        <v/>
      </c>
      <c r="G72" s="122" t="str">
        <f aca="false">IF(F72="", "", F72*D72)</f>
        <v/>
      </c>
      <c r="H72" s="131" t="b">
        <f aca="false">FALSE()</f>
        <v>0</v>
      </c>
      <c r="I72" s="131" t="b">
        <f aca="false">FALSE()</f>
        <v>0</v>
      </c>
      <c r="J72" s="130"/>
      <c r="K72" s="110"/>
      <c r="L72" s="83"/>
      <c r="M72" s="103"/>
      <c r="N72" s="103"/>
      <c r="O72" s="103"/>
      <c r="P72" s="103"/>
      <c r="Q72" s="103"/>
      <c r="R72" s="83"/>
      <c r="S72" s="103"/>
      <c r="T72" s="103"/>
      <c r="U72" s="103"/>
    </row>
    <row r="73" customFormat="false" ht="22.5" hidden="false" customHeight="true" outlineLevel="0" collapsed="false">
      <c r="A73" s="99"/>
      <c r="B73" s="99"/>
      <c r="C73" s="99"/>
      <c r="D73" s="121"/>
      <c r="E73" s="99"/>
      <c r="F73" s="124" t="str">
        <f aca="false">IF(E73="CONTADO", 4%, IF(E73="TARJETA / CHEQUE", 3%, IF(OR(E73="FINANCIADO", E73="MCP"), 2.5%, "")))</f>
        <v/>
      </c>
      <c r="G73" s="121" t="str">
        <f aca="false">IF(F73="", "", F73*D73)</f>
        <v/>
      </c>
      <c r="H73" s="132" t="b">
        <f aca="false">FALSE()</f>
        <v>0</v>
      </c>
      <c r="I73" s="132" t="b">
        <f aca="false">FALSE()</f>
        <v>0</v>
      </c>
      <c r="J73" s="126"/>
      <c r="K73" s="99"/>
      <c r="L73" s="83"/>
      <c r="M73" s="103"/>
      <c r="N73" s="103"/>
      <c r="O73" s="103"/>
      <c r="P73" s="103"/>
      <c r="Q73" s="103"/>
      <c r="R73" s="83"/>
      <c r="S73" s="103"/>
      <c r="T73" s="103"/>
      <c r="U73" s="103"/>
    </row>
    <row r="74" customFormat="false" ht="22.5" hidden="false" customHeight="true" outlineLevel="0" collapsed="false">
      <c r="A74" s="110"/>
      <c r="B74" s="110"/>
      <c r="C74" s="110"/>
      <c r="D74" s="122"/>
      <c r="E74" s="110"/>
      <c r="F74" s="128" t="str">
        <f aca="false">IF(E74="CONTADO", 4%, IF(E74="TARJETA / CHEQUE", 3%, IF(OR(E74="FINANCIADO", E74="MCP"), 2.5%, "")))</f>
        <v/>
      </c>
      <c r="G74" s="122" t="str">
        <f aca="false">IF(F74="", "", F74*D74)</f>
        <v/>
      </c>
      <c r="H74" s="131" t="b">
        <f aca="false">FALSE()</f>
        <v>0</v>
      </c>
      <c r="I74" s="131" t="b">
        <f aca="false">FALSE()</f>
        <v>0</v>
      </c>
      <c r="J74" s="130"/>
      <c r="K74" s="110"/>
      <c r="L74" s="83"/>
      <c r="M74" s="103"/>
      <c r="N74" s="103"/>
      <c r="O74" s="103"/>
      <c r="P74" s="103"/>
      <c r="Q74" s="103"/>
      <c r="R74" s="83"/>
      <c r="S74" s="103"/>
      <c r="T74" s="103"/>
      <c r="U74" s="103"/>
    </row>
    <row r="75" customFormat="false" ht="22.5" hidden="false" customHeight="true" outlineLevel="0" collapsed="false">
      <c r="A75" s="99"/>
      <c r="B75" s="99"/>
      <c r="C75" s="99"/>
      <c r="D75" s="121"/>
      <c r="E75" s="99"/>
      <c r="F75" s="124" t="str">
        <f aca="false">IF(E75="CONTADO", 4%, IF(E75="TARJETA / CHEQUE", 3%, IF(OR(E75="FINANCIADO", E75="MCP"), 2.5%, "")))</f>
        <v/>
      </c>
      <c r="G75" s="121" t="str">
        <f aca="false">IF(F75="", "", F75*D75)</f>
        <v/>
      </c>
      <c r="H75" s="132" t="b">
        <f aca="false">FALSE()</f>
        <v>0</v>
      </c>
      <c r="I75" s="132" t="b">
        <f aca="false">FALSE()</f>
        <v>0</v>
      </c>
      <c r="J75" s="126"/>
      <c r="K75" s="99"/>
      <c r="L75" s="83"/>
      <c r="M75" s="103"/>
      <c r="N75" s="103"/>
      <c r="O75" s="103"/>
      <c r="P75" s="103"/>
      <c r="Q75" s="103"/>
      <c r="R75" s="83"/>
      <c r="S75" s="103"/>
      <c r="T75" s="103"/>
      <c r="U75" s="103"/>
    </row>
    <row r="76" customFormat="false" ht="22.5" hidden="false" customHeight="true" outlineLevel="0" collapsed="false">
      <c r="A76" s="110"/>
      <c r="B76" s="110"/>
      <c r="C76" s="110"/>
      <c r="D76" s="122"/>
      <c r="E76" s="110"/>
      <c r="F76" s="128" t="str">
        <f aca="false">IF(E76="CONTADO", 4%, IF(E76="TARJETA / CHEQUE", 3%, IF(OR(E76="FINANCIADO", E76="MCP"), 2.5%, "")))</f>
        <v/>
      </c>
      <c r="G76" s="122" t="str">
        <f aca="false">IF(F76="", "", F76*D76)</f>
        <v/>
      </c>
      <c r="H76" s="131" t="b">
        <f aca="false">FALSE()</f>
        <v>0</v>
      </c>
      <c r="I76" s="131" t="b">
        <f aca="false">FALSE()</f>
        <v>0</v>
      </c>
      <c r="J76" s="130"/>
      <c r="K76" s="110"/>
      <c r="L76" s="83"/>
      <c r="M76" s="103"/>
      <c r="N76" s="103"/>
      <c r="O76" s="103"/>
      <c r="P76" s="103"/>
      <c r="Q76" s="103"/>
      <c r="R76" s="83"/>
      <c r="S76" s="103"/>
      <c r="T76" s="103"/>
      <c r="U76" s="103"/>
    </row>
    <row r="77" customFormat="false" ht="22.5" hidden="false" customHeight="true" outlineLevel="0" collapsed="false">
      <c r="A77" s="99"/>
      <c r="B77" s="99"/>
      <c r="C77" s="99"/>
      <c r="D77" s="121"/>
      <c r="E77" s="99"/>
      <c r="F77" s="124" t="str">
        <f aca="false">IF(E77="CONTADO", 4%, IF(E77="TARJETA / CHEQUE", 3%, IF(OR(E77="FINANCIADO", E77="MCP"), 2.5%, "")))</f>
        <v/>
      </c>
      <c r="G77" s="121" t="str">
        <f aca="false">IF(F77="", "", F77*D77)</f>
        <v/>
      </c>
      <c r="H77" s="132" t="b">
        <f aca="false">FALSE()</f>
        <v>0</v>
      </c>
      <c r="I77" s="132" t="b">
        <f aca="false">FALSE()</f>
        <v>0</v>
      </c>
      <c r="J77" s="126"/>
      <c r="K77" s="99"/>
      <c r="L77" s="83"/>
      <c r="M77" s="103"/>
      <c r="N77" s="103"/>
      <c r="O77" s="103"/>
      <c r="P77" s="103"/>
      <c r="Q77" s="103"/>
      <c r="R77" s="83"/>
      <c r="S77" s="103"/>
      <c r="T77" s="103"/>
      <c r="U77" s="103"/>
    </row>
    <row r="78" customFormat="false" ht="22.5" hidden="false" customHeight="true" outlineLevel="0" collapsed="false">
      <c r="A78" s="110"/>
      <c r="B78" s="110"/>
      <c r="C78" s="110"/>
      <c r="D78" s="122"/>
      <c r="E78" s="110"/>
      <c r="F78" s="128" t="str">
        <f aca="false">IF(E78="CONTADO", 4%, IF(E78="TARJETA / CHEQUE", 3%, IF(OR(E78="FINANCIADO", E78="MCP"), 2.5%, "")))</f>
        <v/>
      </c>
      <c r="G78" s="122" t="str">
        <f aca="false">IF(F78="", "", F78*D78)</f>
        <v/>
      </c>
      <c r="H78" s="131" t="b">
        <f aca="false">FALSE()</f>
        <v>0</v>
      </c>
      <c r="I78" s="131" t="b">
        <f aca="false">FALSE()</f>
        <v>0</v>
      </c>
      <c r="J78" s="130"/>
      <c r="K78" s="110"/>
      <c r="L78" s="83"/>
      <c r="M78" s="103"/>
      <c r="N78" s="103"/>
      <c r="O78" s="103"/>
      <c r="P78" s="103"/>
      <c r="Q78" s="103"/>
      <c r="R78" s="83"/>
      <c r="S78" s="103"/>
      <c r="T78" s="103"/>
      <c r="U78" s="103"/>
    </row>
    <row r="79" customFormat="false" ht="22.5" hidden="false" customHeight="true" outlineLevel="0" collapsed="false">
      <c r="A79" s="99"/>
      <c r="B79" s="99"/>
      <c r="C79" s="99"/>
      <c r="D79" s="121"/>
      <c r="E79" s="99"/>
      <c r="F79" s="124" t="str">
        <f aca="false">IF(E79="CONTADO", 4%, IF(E79="TARJETA / CHEQUE", 3%, IF(OR(E79="FINANCIADO", E79="MCP"), 2.5%, "")))</f>
        <v/>
      </c>
      <c r="G79" s="121" t="str">
        <f aca="false">IF(F79="", "", F79*D79)</f>
        <v/>
      </c>
      <c r="H79" s="132" t="b">
        <f aca="false">FALSE()</f>
        <v>0</v>
      </c>
      <c r="I79" s="132" t="b">
        <f aca="false">FALSE()</f>
        <v>0</v>
      </c>
      <c r="J79" s="126"/>
      <c r="K79" s="99"/>
      <c r="L79" s="83"/>
      <c r="M79" s="103"/>
      <c r="N79" s="103"/>
      <c r="O79" s="103"/>
      <c r="P79" s="103"/>
      <c r="Q79" s="103"/>
      <c r="R79" s="83"/>
      <c r="S79" s="103"/>
      <c r="T79" s="103"/>
      <c r="U79" s="103"/>
    </row>
    <row r="80" customFormat="false" ht="22.5" hidden="false" customHeight="true" outlineLevel="0" collapsed="false">
      <c r="A80" s="110"/>
      <c r="B80" s="110"/>
      <c r="C80" s="110"/>
      <c r="D80" s="122"/>
      <c r="E80" s="110"/>
      <c r="F80" s="128" t="str">
        <f aca="false">IF(E80="CONTADO", 4%, IF(E80="TARJETA / CHEQUE", 3%, IF(OR(E80="FINANCIADO", E80="MCP"), 2.5%, "")))</f>
        <v/>
      </c>
      <c r="G80" s="122" t="str">
        <f aca="false">IF(F80="", "", F80*D80)</f>
        <v/>
      </c>
      <c r="H80" s="131" t="b">
        <f aca="false">FALSE()</f>
        <v>0</v>
      </c>
      <c r="I80" s="131" t="b">
        <f aca="false">FALSE()</f>
        <v>0</v>
      </c>
      <c r="J80" s="130"/>
      <c r="K80" s="110"/>
      <c r="L80" s="83"/>
      <c r="M80" s="103"/>
      <c r="N80" s="103"/>
      <c r="O80" s="103"/>
      <c r="P80" s="103"/>
      <c r="Q80" s="103"/>
      <c r="R80" s="83"/>
      <c r="S80" s="103"/>
      <c r="T80" s="103"/>
      <c r="U80" s="103"/>
    </row>
    <row r="81" customFormat="false" ht="22.5" hidden="false" customHeight="true" outlineLevel="0" collapsed="false">
      <c r="A81" s="99"/>
      <c r="B81" s="99"/>
      <c r="C81" s="99"/>
      <c r="D81" s="121"/>
      <c r="E81" s="99"/>
      <c r="F81" s="124" t="str">
        <f aca="false">IF(E81="CONTADO", 4%, IF(E81="TARJETA / CHEQUE", 3%, IF(OR(E81="FINANCIADO", E81="MCP"), 2.5%, "")))</f>
        <v/>
      </c>
      <c r="G81" s="121" t="str">
        <f aca="false">IF(F81="", "", F81*D81)</f>
        <v/>
      </c>
      <c r="H81" s="132" t="b">
        <f aca="false">FALSE()</f>
        <v>0</v>
      </c>
      <c r="I81" s="132" t="b">
        <f aca="false">FALSE()</f>
        <v>0</v>
      </c>
      <c r="J81" s="126"/>
      <c r="K81" s="99"/>
      <c r="L81" s="83"/>
      <c r="M81" s="103"/>
      <c r="N81" s="103"/>
      <c r="O81" s="103"/>
      <c r="P81" s="103"/>
      <c r="Q81" s="103"/>
      <c r="R81" s="83"/>
      <c r="S81" s="103"/>
      <c r="T81" s="103"/>
      <c r="U81" s="103"/>
    </row>
    <row r="82" customFormat="false" ht="22.5" hidden="false" customHeight="true" outlineLevel="0" collapsed="false">
      <c r="A82" s="110"/>
      <c r="B82" s="110"/>
      <c r="C82" s="110"/>
      <c r="D82" s="122"/>
      <c r="E82" s="110"/>
      <c r="F82" s="128" t="str">
        <f aca="false">IF(E82="CONTADO", 4%, IF(E82="TARJETA / CHEQUE", 3%, IF(OR(E82="FINANCIADO", E82="MCP"), 2.5%, "")))</f>
        <v/>
      </c>
      <c r="G82" s="122" t="str">
        <f aca="false">IF(F82="", "", F82*D82)</f>
        <v/>
      </c>
      <c r="H82" s="131" t="b">
        <f aca="false">FALSE()</f>
        <v>0</v>
      </c>
      <c r="I82" s="131" t="b">
        <f aca="false">FALSE()</f>
        <v>0</v>
      </c>
      <c r="J82" s="130"/>
      <c r="K82" s="110"/>
      <c r="L82" s="83"/>
      <c r="M82" s="103"/>
      <c r="N82" s="103"/>
      <c r="O82" s="103"/>
      <c r="P82" s="103"/>
      <c r="Q82" s="103"/>
      <c r="R82" s="83"/>
      <c r="S82" s="103"/>
      <c r="T82" s="103"/>
      <c r="U82" s="103"/>
    </row>
    <row r="83" customFormat="false" ht="22.5" hidden="false" customHeight="true" outlineLevel="0" collapsed="false">
      <c r="A83" s="99"/>
      <c r="B83" s="99"/>
      <c r="C83" s="99"/>
      <c r="D83" s="121"/>
      <c r="E83" s="99"/>
      <c r="F83" s="124" t="str">
        <f aca="false">IF(E83="CONTADO", 4%, IF(E83="TARJETA / CHEQUE", 3%, IF(OR(E83="FINANCIADO", E83="MCP"), 2.5%, "")))</f>
        <v/>
      </c>
      <c r="G83" s="121" t="str">
        <f aca="false">IF(F83="", "", F83*D83)</f>
        <v/>
      </c>
      <c r="H83" s="132" t="b">
        <f aca="false">FALSE()</f>
        <v>0</v>
      </c>
      <c r="I83" s="132" t="b">
        <f aca="false">FALSE()</f>
        <v>0</v>
      </c>
      <c r="J83" s="126"/>
      <c r="K83" s="99"/>
      <c r="L83" s="83"/>
      <c r="M83" s="103"/>
      <c r="N83" s="103"/>
      <c r="O83" s="103"/>
      <c r="P83" s="103"/>
      <c r="Q83" s="103"/>
      <c r="R83" s="83"/>
      <c r="S83" s="103"/>
      <c r="T83" s="103"/>
      <c r="U83" s="103"/>
    </row>
    <row r="84" customFormat="false" ht="22.5" hidden="false" customHeight="true" outlineLevel="0" collapsed="false">
      <c r="A84" s="110"/>
      <c r="B84" s="110"/>
      <c r="C84" s="110"/>
      <c r="D84" s="122"/>
      <c r="E84" s="110"/>
      <c r="F84" s="128" t="str">
        <f aca="false">IF(E84="CONTADO", 4%, IF(E84="TARJETA / CHEQUE", 3%, IF(OR(E84="FINANCIADO", E84="MCP"), 2.5%, "")))</f>
        <v/>
      </c>
      <c r="G84" s="122" t="str">
        <f aca="false">IF(F84="", "", F84*D84)</f>
        <v/>
      </c>
      <c r="H84" s="131" t="b">
        <f aca="false">FALSE()</f>
        <v>0</v>
      </c>
      <c r="I84" s="131" t="b">
        <f aca="false">FALSE()</f>
        <v>0</v>
      </c>
      <c r="J84" s="130"/>
      <c r="K84" s="110"/>
      <c r="L84" s="83"/>
      <c r="M84" s="103"/>
      <c r="N84" s="103"/>
      <c r="O84" s="103"/>
      <c r="P84" s="103"/>
      <c r="Q84" s="103"/>
      <c r="R84" s="83"/>
      <c r="S84" s="103"/>
      <c r="T84" s="103"/>
      <c r="U84" s="103"/>
    </row>
    <row r="85" customFormat="false" ht="22.5" hidden="false" customHeight="true" outlineLevel="0" collapsed="false">
      <c r="A85" s="99"/>
      <c r="B85" s="99"/>
      <c r="C85" s="99"/>
      <c r="D85" s="121"/>
      <c r="E85" s="99"/>
      <c r="F85" s="124" t="str">
        <f aca="false">IF(E85="CONTADO", 4%, IF(E85="TARJETA / CHEQUE", 3%, IF(OR(E85="FINANCIADO", E85="MCP"), 2.5%, "")))</f>
        <v/>
      </c>
      <c r="G85" s="121" t="str">
        <f aca="false">IF(F85="", "", F85*D85)</f>
        <v/>
      </c>
      <c r="H85" s="132" t="b">
        <f aca="false">FALSE()</f>
        <v>0</v>
      </c>
      <c r="I85" s="132" t="b">
        <f aca="false">FALSE()</f>
        <v>0</v>
      </c>
      <c r="J85" s="126"/>
      <c r="K85" s="99"/>
      <c r="L85" s="83"/>
      <c r="M85" s="103"/>
      <c r="N85" s="103"/>
      <c r="O85" s="103"/>
      <c r="P85" s="103"/>
      <c r="Q85" s="103"/>
      <c r="R85" s="83"/>
      <c r="S85" s="103"/>
      <c r="T85" s="103"/>
      <c r="U85" s="103"/>
    </row>
    <row r="86" customFormat="false" ht="22.5" hidden="false" customHeight="true" outlineLevel="0" collapsed="false">
      <c r="A86" s="110"/>
      <c r="B86" s="110"/>
      <c r="C86" s="110"/>
      <c r="D86" s="122"/>
      <c r="E86" s="110"/>
      <c r="F86" s="128" t="str">
        <f aca="false">IF(E86="CONTADO", 4%, IF(E86="TARJETA / CHEQUE", 3%, IF(OR(E86="FINANCIADO", E86="MCP"), 2.5%, "")))</f>
        <v/>
      </c>
      <c r="G86" s="122" t="str">
        <f aca="false">IF(F86="", "", F86*D86)</f>
        <v/>
      </c>
      <c r="H86" s="131" t="b">
        <f aca="false">FALSE()</f>
        <v>0</v>
      </c>
      <c r="I86" s="131" t="b">
        <f aca="false">FALSE()</f>
        <v>0</v>
      </c>
      <c r="J86" s="130"/>
      <c r="K86" s="110"/>
      <c r="L86" s="83"/>
      <c r="M86" s="103"/>
      <c r="N86" s="103"/>
      <c r="O86" s="103"/>
      <c r="P86" s="103"/>
      <c r="Q86" s="103"/>
      <c r="R86" s="83"/>
      <c r="S86" s="103"/>
      <c r="T86" s="103"/>
      <c r="U86" s="103"/>
    </row>
    <row r="87" customFormat="false" ht="22.5" hidden="false" customHeight="true" outlineLevel="0" collapsed="false">
      <c r="A87" s="99"/>
      <c r="B87" s="99"/>
      <c r="C87" s="99"/>
      <c r="D87" s="121"/>
      <c r="E87" s="99"/>
      <c r="F87" s="124" t="str">
        <f aca="false">IF(E87="CONTADO", 4%, IF(E87="TARJETA / CHEQUE", 3%, IF(OR(E87="FINANCIADO", E87="MCP"), 2.5%, "")))</f>
        <v/>
      </c>
      <c r="G87" s="121" t="str">
        <f aca="false">IF(F87="", "", F87*D87)</f>
        <v/>
      </c>
      <c r="H87" s="132" t="b">
        <f aca="false">FALSE()</f>
        <v>0</v>
      </c>
      <c r="I87" s="132" t="b">
        <f aca="false">FALSE()</f>
        <v>0</v>
      </c>
      <c r="J87" s="126"/>
      <c r="K87" s="99"/>
      <c r="L87" s="83"/>
      <c r="M87" s="103"/>
      <c r="N87" s="103"/>
      <c r="O87" s="103"/>
      <c r="P87" s="103"/>
      <c r="Q87" s="103"/>
      <c r="R87" s="83"/>
      <c r="S87" s="103"/>
      <c r="T87" s="103"/>
      <c r="U87" s="103"/>
    </row>
    <row r="88" customFormat="false" ht="22.5" hidden="false" customHeight="true" outlineLevel="0" collapsed="false">
      <c r="A88" s="110"/>
      <c r="B88" s="110"/>
      <c r="C88" s="110"/>
      <c r="D88" s="122"/>
      <c r="E88" s="110"/>
      <c r="F88" s="128" t="str">
        <f aca="false">IF(E88="CONTADO", 4%, IF(E88="TARJETA / CHEQUE", 3%, IF(OR(E88="FINANCIADO", E88="MCP"), 2.5%, "")))</f>
        <v/>
      </c>
      <c r="G88" s="122" t="str">
        <f aca="false">IF(F88="", "", F88*D88)</f>
        <v/>
      </c>
      <c r="H88" s="131" t="b">
        <f aca="false">FALSE()</f>
        <v>0</v>
      </c>
      <c r="I88" s="131" t="b">
        <f aca="false">FALSE()</f>
        <v>0</v>
      </c>
      <c r="J88" s="130"/>
      <c r="K88" s="110"/>
      <c r="L88" s="83"/>
      <c r="M88" s="103"/>
      <c r="N88" s="103"/>
      <c r="O88" s="103"/>
      <c r="P88" s="103"/>
      <c r="Q88" s="103"/>
      <c r="R88" s="83"/>
      <c r="S88" s="103"/>
      <c r="T88" s="103"/>
      <c r="U88" s="103"/>
    </row>
    <row r="89" customFormat="false" ht="22.5" hidden="false" customHeight="true" outlineLevel="0" collapsed="false">
      <c r="A89" s="99"/>
      <c r="B89" s="99"/>
      <c r="C89" s="99"/>
      <c r="D89" s="121"/>
      <c r="E89" s="99"/>
      <c r="F89" s="124" t="str">
        <f aca="false">IF(E89="CONTADO", 4%, IF(E89="TARJETA / CHEQUE", 3%, IF(OR(E89="FINANCIADO", E89="MCP"), 2.5%, "")))</f>
        <v/>
      </c>
      <c r="G89" s="121" t="str">
        <f aca="false">IF(F89="", "", F89*D89)</f>
        <v/>
      </c>
      <c r="H89" s="132" t="b">
        <f aca="false">FALSE()</f>
        <v>0</v>
      </c>
      <c r="I89" s="132" t="b">
        <f aca="false">FALSE()</f>
        <v>0</v>
      </c>
      <c r="J89" s="126"/>
      <c r="K89" s="99"/>
      <c r="L89" s="83"/>
      <c r="M89" s="103"/>
      <c r="N89" s="103"/>
      <c r="O89" s="103"/>
      <c r="P89" s="103"/>
      <c r="Q89" s="103"/>
      <c r="R89" s="83"/>
      <c r="S89" s="103"/>
      <c r="T89" s="103"/>
      <c r="U89" s="103"/>
    </row>
    <row r="90" customFormat="false" ht="22.5" hidden="false" customHeight="true" outlineLevel="0" collapsed="false">
      <c r="A90" s="110"/>
      <c r="B90" s="110"/>
      <c r="C90" s="110"/>
      <c r="D90" s="122"/>
      <c r="E90" s="110"/>
      <c r="F90" s="128" t="str">
        <f aca="false">IF(E90="CONTADO", 4%, IF(E90="TARJETA / CHEQUE", 3%, IF(OR(E90="FINANCIADO", E90="MCP"), 2.5%, "")))</f>
        <v/>
      </c>
      <c r="G90" s="122" t="str">
        <f aca="false">IF(F90="", "", F90*D90)</f>
        <v/>
      </c>
      <c r="H90" s="131" t="b">
        <f aca="false">FALSE()</f>
        <v>0</v>
      </c>
      <c r="I90" s="131" t="b">
        <f aca="false">FALSE()</f>
        <v>0</v>
      </c>
      <c r="J90" s="130"/>
      <c r="K90" s="110"/>
      <c r="L90" s="83"/>
      <c r="M90" s="103"/>
      <c r="N90" s="103"/>
      <c r="O90" s="103"/>
      <c r="P90" s="103"/>
      <c r="Q90" s="103"/>
      <c r="R90" s="83"/>
      <c r="S90" s="103"/>
      <c r="T90" s="103"/>
      <c r="U90" s="103"/>
    </row>
    <row r="91" customFormat="false" ht="22.5" hidden="false" customHeight="true" outlineLevel="0" collapsed="false">
      <c r="A91" s="99"/>
      <c r="B91" s="99"/>
      <c r="C91" s="99"/>
      <c r="D91" s="121"/>
      <c r="E91" s="99"/>
      <c r="F91" s="124" t="str">
        <f aca="false">IF(E91="CONTADO", 4%, IF(E91="TARJETA / CHEQUE", 3%, IF(OR(E91="FINANCIADO", E91="MCP"), 2.5%, "")))</f>
        <v/>
      </c>
      <c r="G91" s="121" t="str">
        <f aca="false">IF(F91="", "", F91*D91)</f>
        <v/>
      </c>
      <c r="H91" s="132" t="b">
        <f aca="false">FALSE()</f>
        <v>0</v>
      </c>
      <c r="I91" s="132" t="b">
        <f aca="false">FALSE()</f>
        <v>0</v>
      </c>
      <c r="J91" s="126"/>
      <c r="K91" s="99"/>
      <c r="L91" s="83"/>
      <c r="M91" s="103"/>
      <c r="N91" s="103"/>
      <c r="O91" s="103"/>
      <c r="P91" s="103"/>
      <c r="Q91" s="103"/>
      <c r="R91" s="83"/>
      <c r="S91" s="103"/>
      <c r="T91" s="103"/>
      <c r="U91" s="103"/>
    </row>
    <row r="92" customFormat="false" ht="22.5" hidden="false" customHeight="true" outlineLevel="0" collapsed="false">
      <c r="A92" s="110"/>
      <c r="B92" s="110"/>
      <c r="C92" s="110"/>
      <c r="D92" s="122"/>
      <c r="E92" s="110"/>
      <c r="F92" s="128" t="str">
        <f aca="false">IF(E92="CONTADO", 4%, IF(E92="TARJETA / CHEQUE", 3%, IF(OR(E92="FINANCIADO", E92="MCP"), 2.5%, "")))</f>
        <v/>
      </c>
      <c r="G92" s="122" t="str">
        <f aca="false">IF(F92="", "", F92*D92)</f>
        <v/>
      </c>
      <c r="H92" s="131" t="b">
        <f aca="false">FALSE()</f>
        <v>0</v>
      </c>
      <c r="I92" s="131" t="b">
        <f aca="false">FALSE()</f>
        <v>0</v>
      </c>
      <c r="J92" s="130"/>
      <c r="K92" s="110"/>
      <c r="L92" s="83"/>
      <c r="M92" s="103"/>
      <c r="N92" s="103"/>
      <c r="O92" s="103"/>
      <c r="P92" s="103"/>
      <c r="Q92" s="103"/>
      <c r="R92" s="83"/>
      <c r="S92" s="103"/>
      <c r="T92" s="103"/>
      <c r="U92" s="103"/>
    </row>
    <row r="93" customFormat="false" ht="22.5" hidden="false" customHeight="true" outlineLevel="0" collapsed="false">
      <c r="A93" s="99"/>
      <c r="B93" s="99"/>
      <c r="C93" s="99"/>
      <c r="D93" s="121"/>
      <c r="E93" s="99"/>
      <c r="F93" s="124" t="str">
        <f aca="false">IF(E93="CONTADO", 4%, IF(E93="TARJETA / CHEQUE", 3%, IF(OR(E93="FINANCIADO", E93="MCP"), 2.5%, "")))</f>
        <v/>
      </c>
      <c r="G93" s="121" t="str">
        <f aca="false">IF(F93="", "", F93*D93)</f>
        <v/>
      </c>
      <c r="H93" s="132" t="b">
        <f aca="false">FALSE()</f>
        <v>0</v>
      </c>
      <c r="I93" s="132" t="b">
        <f aca="false">FALSE()</f>
        <v>0</v>
      </c>
      <c r="J93" s="126"/>
      <c r="K93" s="99"/>
      <c r="L93" s="83"/>
      <c r="M93" s="103"/>
      <c r="N93" s="103"/>
      <c r="O93" s="103"/>
      <c r="P93" s="103"/>
      <c r="Q93" s="103"/>
      <c r="R93" s="83"/>
      <c r="S93" s="103"/>
      <c r="T93" s="103"/>
      <c r="U93" s="103"/>
    </row>
    <row r="94" customFormat="false" ht="22.5" hidden="false" customHeight="true" outlineLevel="0" collapsed="false">
      <c r="A94" s="110"/>
      <c r="B94" s="110"/>
      <c r="C94" s="110"/>
      <c r="D94" s="122"/>
      <c r="E94" s="110"/>
      <c r="F94" s="128" t="str">
        <f aca="false">IF(E94="CONTADO", 4%, IF(E94="TARJETA / CHEQUE", 3%, IF(OR(E94="FINANCIADO", E94="MCP"), 2.5%, "")))</f>
        <v/>
      </c>
      <c r="G94" s="122" t="str">
        <f aca="false">IF(F94="", "", F94*D94)</f>
        <v/>
      </c>
      <c r="H94" s="131" t="b">
        <f aca="false">FALSE()</f>
        <v>0</v>
      </c>
      <c r="I94" s="131" t="b">
        <f aca="false">FALSE()</f>
        <v>0</v>
      </c>
      <c r="J94" s="130"/>
      <c r="K94" s="110"/>
      <c r="L94" s="83"/>
      <c r="M94" s="103"/>
      <c r="N94" s="103"/>
      <c r="O94" s="103"/>
      <c r="P94" s="103"/>
      <c r="Q94" s="103"/>
      <c r="R94" s="83"/>
      <c r="S94" s="103"/>
      <c r="T94" s="103"/>
      <c r="U94" s="103"/>
    </row>
    <row r="95" customFormat="false" ht="22.5" hidden="false" customHeight="true" outlineLevel="0" collapsed="false">
      <c r="A95" s="99"/>
      <c r="B95" s="99"/>
      <c r="C95" s="99"/>
      <c r="D95" s="121"/>
      <c r="E95" s="99"/>
      <c r="F95" s="124" t="str">
        <f aca="false">IF(E95="CONTADO", 4%, IF(E95="TARJETA / CHEQUE", 3%, IF(OR(E95="FINANCIADO", E95="MCP"), 2.5%, "")))</f>
        <v/>
      </c>
      <c r="G95" s="121" t="str">
        <f aca="false">IF(F95="", "", F95*D95)</f>
        <v/>
      </c>
      <c r="H95" s="132" t="b">
        <f aca="false">FALSE()</f>
        <v>0</v>
      </c>
      <c r="I95" s="132" t="b">
        <f aca="false">FALSE()</f>
        <v>0</v>
      </c>
      <c r="J95" s="126"/>
      <c r="K95" s="99"/>
      <c r="L95" s="83"/>
      <c r="M95" s="103"/>
      <c r="N95" s="103"/>
      <c r="O95" s="103"/>
      <c r="P95" s="103"/>
      <c r="Q95" s="103"/>
      <c r="R95" s="83"/>
      <c r="S95" s="103"/>
      <c r="T95" s="103"/>
      <c r="U95" s="103"/>
    </row>
    <row r="96" customFormat="false" ht="22.5" hidden="false" customHeight="true" outlineLevel="0" collapsed="false">
      <c r="A96" s="110"/>
      <c r="B96" s="110"/>
      <c r="C96" s="110"/>
      <c r="D96" s="122"/>
      <c r="E96" s="110"/>
      <c r="F96" s="128" t="str">
        <f aca="false">IF(E96="CONTADO", 4%, IF(E96="TARJETA / CHEQUE", 3%, IF(OR(E96="FINANCIADO", E96="MCP"), 2.5%, "")))</f>
        <v/>
      </c>
      <c r="G96" s="122" t="str">
        <f aca="false">IF(F96="", "", F96*D96)</f>
        <v/>
      </c>
      <c r="H96" s="131" t="b">
        <f aca="false">FALSE()</f>
        <v>0</v>
      </c>
      <c r="I96" s="131" t="b">
        <f aca="false">FALSE()</f>
        <v>0</v>
      </c>
      <c r="J96" s="130"/>
      <c r="K96" s="110"/>
      <c r="L96" s="83"/>
      <c r="M96" s="103"/>
      <c r="N96" s="103"/>
      <c r="O96" s="103"/>
      <c r="P96" s="103"/>
      <c r="Q96" s="103"/>
      <c r="R96" s="83"/>
      <c r="S96" s="103"/>
      <c r="T96" s="103"/>
      <c r="U96" s="103"/>
    </row>
    <row r="97" customFormat="false" ht="22.5" hidden="false" customHeight="true" outlineLevel="0" collapsed="false">
      <c r="A97" s="99"/>
      <c r="B97" s="99"/>
      <c r="C97" s="99"/>
      <c r="D97" s="121"/>
      <c r="E97" s="99"/>
      <c r="F97" s="124" t="str">
        <f aca="false">IF(E97="CONTADO", 4%, IF(E97="TARJETA / CHEQUE", 3%, IF(OR(E97="FINANCIADO", E97="MCP"), 2.5%, "")))</f>
        <v/>
      </c>
      <c r="G97" s="121" t="str">
        <f aca="false">IF(F97="", "", F97*D97)</f>
        <v/>
      </c>
      <c r="H97" s="132" t="b">
        <f aca="false">FALSE()</f>
        <v>0</v>
      </c>
      <c r="I97" s="132" t="b">
        <f aca="false">FALSE()</f>
        <v>0</v>
      </c>
      <c r="J97" s="126"/>
      <c r="K97" s="99"/>
      <c r="L97" s="83"/>
      <c r="M97" s="103"/>
      <c r="N97" s="103"/>
      <c r="O97" s="103"/>
      <c r="P97" s="103"/>
      <c r="Q97" s="103"/>
      <c r="R97" s="83"/>
      <c r="S97" s="103"/>
      <c r="T97" s="103"/>
      <c r="U97" s="103"/>
    </row>
    <row r="98" customFormat="false" ht="22.5" hidden="false" customHeight="true" outlineLevel="0" collapsed="false">
      <c r="A98" s="110"/>
      <c r="B98" s="110"/>
      <c r="C98" s="110"/>
      <c r="D98" s="122"/>
      <c r="E98" s="110"/>
      <c r="F98" s="128" t="str">
        <f aca="false">IF(E98="CONTADO", 4%, IF(E98="TARJETA / CHEQUE", 3%, IF(OR(E98="FINANCIADO", E98="MCP"), 2.5%, "")))</f>
        <v/>
      </c>
      <c r="G98" s="122" t="str">
        <f aca="false">IF(F98="", "", F98*D98)</f>
        <v/>
      </c>
      <c r="H98" s="131" t="b">
        <f aca="false">FALSE()</f>
        <v>0</v>
      </c>
      <c r="I98" s="131" t="b">
        <f aca="false">FALSE()</f>
        <v>0</v>
      </c>
      <c r="J98" s="130"/>
      <c r="K98" s="110"/>
      <c r="L98" s="83"/>
      <c r="M98" s="103"/>
      <c r="N98" s="103"/>
      <c r="O98" s="103"/>
      <c r="P98" s="103"/>
      <c r="Q98" s="103"/>
      <c r="R98" s="83"/>
      <c r="S98" s="103"/>
      <c r="T98" s="103"/>
      <c r="U98" s="103"/>
    </row>
    <row r="99" customFormat="false" ht="22.5" hidden="false" customHeight="true" outlineLevel="0" collapsed="false">
      <c r="A99" s="99"/>
      <c r="B99" s="99"/>
      <c r="C99" s="99"/>
      <c r="D99" s="121"/>
      <c r="E99" s="99"/>
      <c r="F99" s="124" t="str">
        <f aca="false">IF(E99="CONTADO", 4%, IF(E99="TARJETA / CHEQUE", 3%, IF(OR(E99="FINANCIADO", E99="MCP"), 2.5%, "")))</f>
        <v/>
      </c>
      <c r="G99" s="121" t="str">
        <f aca="false">IF(F99="", "", F99*D99)</f>
        <v/>
      </c>
      <c r="H99" s="132" t="b">
        <f aca="false">FALSE()</f>
        <v>0</v>
      </c>
      <c r="I99" s="132" t="b">
        <f aca="false">FALSE()</f>
        <v>0</v>
      </c>
      <c r="J99" s="126"/>
      <c r="K99" s="99"/>
      <c r="L99" s="83"/>
      <c r="M99" s="103"/>
      <c r="N99" s="103"/>
      <c r="O99" s="103"/>
      <c r="P99" s="103"/>
      <c r="Q99" s="103"/>
      <c r="R99" s="83"/>
      <c r="S99" s="103"/>
      <c r="T99" s="103"/>
      <c r="U99" s="103"/>
    </row>
    <row r="100" customFormat="false" ht="22.5" hidden="false" customHeight="true" outlineLevel="0" collapsed="false">
      <c r="A100" s="110"/>
      <c r="B100" s="110"/>
      <c r="C100" s="110"/>
      <c r="D100" s="122"/>
      <c r="E100" s="110"/>
      <c r="F100" s="128" t="str">
        <f aca="false">IF(E100="CONTADO", 4%, IF(E100="TARJETA / CHEQUE", 3%, IF(OR(E100="FINANCIADO", E100="MCP"), 2.5%, "")))</f>
        <v/>
      </c>
      <c r="G100" s="122" t="str">
        <f aca="false">IF(F100="", "", F100*D100)</f>
        <v/>
      </c>
      <c r="H100" s="131" t="b">
        <f aca="false">FALSE()</f>
        <v>0</v>
      </c>
      <c r="I100" s="131" t="b">
        <f aca="false">FALSE()</f>
        <v>0</v>
      </c>
      <c r="J100" s="130"/>
      <c r="K100" s="110"/>
      <c r="L100" s="83"/>
      <c r="M100" s="103"/>
      <c r="N100" s="103"/>
      <c r="O100" s="103"/>
      <c r="P100" s="103"/>
      <c r="Q100" s="103"/>
      <c r="R100" s="83"/>
      <c r="S100" s="103"/>
      <c r="T100" s="103"/>
      <c r="U100" s="103"/>
    </row>
    <row r="101" customFormat="false" ht="22.5" hidden="false" customHeight="true" outlineLevel="0" collapsed="false">
      <c r="A101" s="99"/>
      <c r="B101" s="99"/>
      <c r="C101" s="99"/>
      <c r="D101" s="121"/>
      <c r="E101" s="99"/>
      <c r="F101" s="124" t="str">
        <f aca="false">IF(E101="CONTADO", 4%, IF(E101="TARJETA / CHEQUE", 3%, IF(OR(E101="FINANCIADO", E101="MCP"), 2.5%, "")))</f>
        <v/>
      </c>
      <c r="G101" s="121" t="str">
        <f aca="false">IF(F101="", "", F101*D101)</f>
        <v/>
      </c>
      <c r="H101" s="132" t="b">
        <f aca="false">FALSE()</f>
        <v>0</v>
      </c>
      <c r="I101" s="132" t="b">
        <f aca="false">FALSE()</f>
        <v>0</v>
      </c>
      <c r="J101" s="126"/>
      <c r="K101" s="99"/>
      <c r="L101" s="83"/>
      <c r="M101" s="103"/>
      <c r="N101" s="103"/>
      <c r="O101" s="103"/>
      <c r="P101" s="103"/>
      <c r="Q101" s="103"/>
      <c r="R101" s="83"/>
      <c r="S101" s="103"/>
      <c r="T101" s="103"/>
      <c r="U101" s="103"/>
    </row>
    <row r="102" customFormat="false" ht="22.5" hidden="false" customHeight="true" outlineLevel="0" collapsed="false">
      <c r="A102" s="110"/>
      <c r="B102" s="110"/>
      <c r="C102" s="110"/>
      <c r="D102" s="122"/>
      <c r="E102" s="110"/>
      <c r="F102" s="128" t="str">
        <f aca="false">IF(E102="CONTADO", 4%, IF(E102="TARJETA / CHEQUE", 3%, IF(OR(E102="FINANCIADO", E102="MCP"), 2.5%, "")))</f>
        <v/>
      </c>
      <c r="G102" s="122" t="str">
        <f aca="false">IF(F102="", "", F102*D102)</f>
        <v/>
      </c>
      <c r="H102" s="131" t="b">
        <f aca="false">FALSE()</f>
        <v>0</v>
      </c>
      <c r="I102" s="131" t="b">
        <f aca="false">FALSE()</f>
        <v>0</v>
      </c>
      <c r="J102" s="130"/>
      <c r="K102" s="110"/>
      <c r="L102" s="83"/>
      <c r="M102" s="103"/>
      <c r="N102" s="103"/>
      <c r="O102" s="103"/>
      <c r="P102" s="103"/>
      <c r="Q102" s="103"/>
      <c r="R102" s="83"/>
      <c r="S102" s="103"/>
      <c r="T102" s="103"/>
      <c r="U102" s="103"/>
    </row>
    <row r="103" customFormat="false" ht="22.5" hidden="false" customHeight="true" outlineLevel="0" collapsed="false">
      <c r="A103" s="99"/>
      <c r="B103" s="99"/>
      <c r="C103" s="99"/>
      <c r="D103" s="121"/>
      <c r="E103" s="99"/>
      <c r="F103" s="124" t="str">
        <f aca="false">IF(E103="CONTADO", 4%, IF(E103="TARJETA / CHEQUE", 3%, IF(OR(E103="FINANCIADO", E103="MCP"), 2.5%, "")))</f>
        <v/>
      </c>
      <c r="G103" s="121" t="str">
        <f aca="false">IF(F103="", "", F103*D103)</f>
        <v/>
      </c>
      <c r="H103" s="132" t="b">
        <f aca="false">FALSE()</f>
        <v>0</v>
      </c>
      <c r="I103" s="132" t="b">
        <f aca="false">FALSE()</f>
        <v>0</v>
      </c>
      <c r="J103" s="126"/>
      <c r="K103" s="99"/>
      <c r="L103" s="83"/>
      <c r="M103" s="103"/>
      <c r="N103" s="103"/>
      <c r="O103" s="103"/>
      <c r="P103" s="103"/>
      <c r="Q103" s="103"/>
      <c r="R103" s="83"/>
      <c r="S103" s="103"/>
      <c r="T103" s="103"/>
      <c r="U103" s="103"/>
    </row>
    <row r="104" customFormat="false" ht="22.5" hidden="false" customHeight="true" outlineLevel="0" collapsed="false">
      <c r="A104" s="110"/>
      <c r="B104" s="110"/>
      <c r="C104" s="110"/>
      <c r="D104" s="122"/>
      <c r="E104" s="110"/>
      <c r="F104" s="128" t="str">
        <f aca="false">IF(E104="CONTADO", 4%, IF(E104="TARJETA / CHEQUE", 3%, IF(OR(E104="FINANCIADO", E104="MCP"), 2.5%, "")))</f>
        <v/>
      </c>
      <c r="G104" s="122" t="str">
        <f aca="false">IF(F104="", "", F104*D104)</f>
        <v/>
      </c>
      <c r="H104" s="131" t="b">
        <f aca="false">FALSE()</f>
        <v>0</v>
      </c>
      <c r="I104" s="131" t="b">
        <f aca="false">FALSE()</f>
        <v>0</v>
      </c>
      <c r="J104" s="130"/>
      <c r="K104" s="110"/>
      <c r="L104" s="83"/>
      <c r="M104" s="103"/>
      <c r="N104" s="103"/>
      <c r="O104" s="103"/>
      <c r="P104" s="103"/>
      <c r="Q104" s="103"/>
      <c r="R104" s="83"/>
      <c r="S104" s="103"/>
      <c r="T104" s="103"/>
      <c r="U104" s="103"/>
    </row>
    <row r="105" customFormat="false" ht="22.5" hidden="false" customHeight="true" outlineLevel="0" collapsed="false">
      <c r="A105" s="99"/>
      <c r="B105" s="99"/>
      <c r="C105" s="99"/>
      <c r="D105" s="121"/>
      <c r="E105" s="99"/>
      <c r="F105" s="124" t="str">
        <f aca="false">IF(E105="CONTADO", 4%, IF(E105="TARJETA / CHEQUE", 3%, IF(OR(E105="FINANCIADO", E105="MCP"), 2.5%, "")))</f>
        <v/>
      </c>
      <c r="G105" s="121" t="str">
        <f aca="false">IF(F105="", "", F105*D105)</f>
        <v/>
      </c>
      <c r="H105" s="132" t="b">
        <f aca="false">FALSE()</f>
        <v>0</v>
      </c>
      <c r="I105" s="132" t="b">
        <f aca="false">FALSE()</f>
        <v>0</v>
      </c>
      <c r="J105" s="126"/>
      <c r="K105" s="99"/>
      <c r="L105" s="83"/>
      <c r="M105" s="103"/>
      <c r="N105" s="103"/>
      <c r="O105" s="103"/>
      <c r="P105" s="103"/>
      <c r="Q105" s="103"/>
      <c r="R105" s="83"/>
      <c r="S105" s="103"/>
      <c r="T105" s="103"/>
      <c r="U105" s="103"/>
    </row>
    <row r="106" customFormat="false" ht="22.5" hidden="false" customHeight="true" outlineLevel="0" collapsed="false">
      <c r="A106" s="110"/>
      <c r="B106" s="110"/>
      <c r="C106" s="110"/>
      <c r="D106" s="122"/>
      <c r="E106" s="110"/>
      <c r="F106" s="128" t="str">
        <f aca="false">IF(E106="CONTADO", 4%, IF(E106="TARJETA / CHEQUE", 3%, IF(OR(E106="FINANCIADO", E106="MCP"), 2.5%, "")))</f>
        <v/>
      </c>
      <c r="G106" s="122" t="str">
        <f aca="false">IF(F106="", "", F106*D106)</f>
        <v/>
      </c>
      <c r="H106" s="131" t="b">
        <f aca="false">FALSE()</f>
        <v>0</v>
      </c>
      <c r="I106" s="131" t="b">
        <f aca="false">FALSE()</f>
        <v>0</v>
      </c>
      <c r="J106" s="130"/>
      <c r="K106" s="110"/>
      <c r="L106" s="83"/>
      <c r="M106" s="103"/>
      <c r="N106" s="103"/>
      <c r="O106" s="103"/>
      <c r="P106" s="103"/>
      <c r="Q106" s="103"/>
      <c r="R106" s="83"/>
      <c r="S106" s="103"/>
      <c r="T106" s="103"/>
      <c r="U106" s="103"/>
    </row>
    <row r="107" customFormat="false" ht="22.5" hidden="false" customHeight="true" outlineLevel="0" collapsed="false">
      <c r="A107" s="99"/>
      <c r="B107" s="99"/>
      <c r="C107" s="99"/>
      <c r="D107" s="121"/>
      <c r="E107" s="99"/>
      <c r="F107" s="124" t="str">
        <f aca="false">IF(E107="CONTADO", 4%, IF(E107="TARJETA / CHEQUE", 3%, IF(OR(E107="FINANCIADO", E107="MCP"), 2.5%, "")))</f>
        <v/>
      </c>
      <c r="G107" s="121" t="str">
        <f aca="false">IF(F107="", "", F107*D107)</f>
        <v/>
      </c>
      <c r="H107" s="132" t="b">
        <f aca="false">FALSE()</f>
        <v>0</v>
      </c>
      <c r="I107" s="132" t="b">
        <f aca="false">FALSE()</f>
        <v>0</v>
      </c>
      <c r="J107" s="126"/>
      <c r="K107" s="99"/>
      <c r="L107" s="83"/>
      <c r="M107" s="103"/>
      <c r="N107" s="103"/>
      <c r="O107" s="103"/>
      <c r="P107" s="103"/>
      <c r="Q107" s="103"/>
      <c r="R107" s="83"/>
      <c r="S107" s="103"/>
      <c r="T107" s="103"/>
      <c r="U107" s="103"/>
    </row>
    <row r="108" customFormat="false" ht="22.5" hidden="false" customHeight="true" outlineLevel="0" collapsed="false">
      <c r="A108" s="110"/>
      <c r="B108" s="110"/>
      <c r="C108" s="110"/>
      <c r="D108" s="122"/>
      <c r="E108" s="110"/>
      <c r="F108" s="128" t="str">
        <f aca="false">IF(E108="CONTADO", 4%, IF(E108="TARJETA / CHEQUE", 3%, IF(OR(E108="FINANCIADO", E108="MCP"), 2.5%, "")))</f>
        <v/>
      </c>
      <c r="G108" s="122" t="str">
        <f aca="false">IF(F108="", "", F108*D108)</f>
        <v/>
      </c>
      <c r="H108" s="131" t="b">
        <f aca="false">FALSE()</f>
        <v>0</v>
      </c>
      <c r="I108" s="131" t="b">
        <f aca="false">FALSE()</f>
        <v>0</v>
      </c>
      <c r="J108" s="130"/>
      <c r="K108" s="110"/>
      <c r="L108" s="83"/>
      <c r="M108" s="103"/>
      <c r="N108" s="103"/>
      <c r="O108" s="103"/>
      <c r="P108" s="103"/>
      <c r="Q108" s="103"/>
      <c r="R108" s="83"/>
      <c r="S108" s="103"/>
      <c r="T108" s="103"/>
      <c r="U108" s="103"/>
    </row>
    <row r="109" customFormat="false" ht="22.5" hidden="false" customHeight="true" outlineLevel="0" collapsed="false">
      <c r="A109" s="99"/>
      <c r="B109" s="99"/>
      <c r="C109" s="99"/>
      <c r="D109" s="121"/>
      <c r="E109" s="99"/>
      <c r="F109" s="124" t="str">
        <f aca="false">IF(E109="CONTADO", 4%, IF(E109="TARJETA / CHEQUE", 3%, IF(OR(E109="FINANCIADO", E109="MCP"), 2.5%, "")))</f>
        <v/>
      </c>
      <c r="G109" s="121" t="str">
        <f aca="false">IF(F109="", "", F109*D109)</f>
        <v/>
      </c>
      <c r="H109" s="132" t="b">
        <f aca="false">FALSE()</f>
        <v>0</v>
      </c>
      <c r="I109" s="132" t="b">
        <f aca="false">FALSE()</f>
        <v>0</v>
      </c>
      <c r="J109" s="126"/>
      <c r="K109" s="99"/>
      <c r="L109" s="83"/>
      <c r="M109" s="103"/>
      <c r="N109" s="103"/>
      <c r="O109" s="103"/>
      <c r="P109" s="103"/>
      <c r="Q109" s="103"/>
      <c r="R109" s="83"/>
      <c r="S109" s="103"/>
      <c r="T109" s="103"/>
      <c r="U109" s="103"/>
    </row>
    <row r="110" customFormat="false" ht="22.5" hidden="false" customHeight="true" outlineLevel="0" collapsed="false">
      <c r="A110" s="110"/>
      <c r="B110" s="110"/>
      <c r="C110" s="110"/>
      <c r="D110" s="122"/>
      <c r="E110" s="110"/>
      <c r="F110" s="128" t="str">
        <f aca="false">IF(E110="CONTADO", 4%, IF(E110="TARJETA / CHEQUE", 3%, IF(OR(E110="FINANCIADO", E110="MCP"), 2.5%, "")))</f>
        <v/>
      </c>
      <c r="G110" s="122" t="str">
        <f aca="false">IF(F110="", "", F110*D110)</f>
        <v/>
      </c>
      <c r="H110" s="131" t="b">
        <f aca="false">FALSE()</f>
        <v>0</v>
      </c>
      <c r="I110" s="131" t="b">
        <f aca="false">FALSE()</f>
        <v>0</v>
      </c>
      <c r="J110" s="130"/>
      <c r="K110" s="110"/>
      <c r="L110" s="83"/>
      <c r="M110" s="103"/>
      <c r="N110" s="103"/>
      <c r="O110" s="103"/>
      <c r="P110" s="103"/>
      <c r="Q110" s="103"/>
      <c r="R110" s="83"/>
      <c r="S110" s="103"/>
      <c r="T110" s="103"/>
      <c r="U110" s="103"/>
    </row>
    <row r="111" customFormat="false" ht="22.5" hidden="false" customHeight="true" outlineLevel="0" collapsed="false">
      <c r="A111" s="99"/>
      <c r="B111" s="99"/>
      <c r="C111" s="99"/>
      <c r="D111" s="121"/>
      <c r="E111" s="99"/>
      <c r="F111" s="124" t="str">
        <f aca="false">IF(E111="CONTADO", 4%, IF(E111="TARJETA / CHEQUE", 3%, IF(OR(E111="FINANCIADO", E111="MCP"), 2.5%, "")))</f>
        <v/>
      </c>
      <c r="G111" s="121" t="str">
        <f aca="false">IF(F111="", "", F111*D111)</f>
        <v/>
      </c>
      <c r="H111" s="132" t="b">
        <f aca="false">FALSE()</f>
        <v>0</v>
      </c>
      <c r="I111" s="132" t="b">
        <f aca="false">FALSE()</f>
        <v>0</v>
      </c>
      <c r="J111" s="126"/>
      <c r="K111" s="99"/>
      <c r="L111" s="83"/>
      <c r="M111" s="103"/>
      <c r="N111" s="103"/>
      <c r="O111" s="103"/>
      <c r="P111" s="103"/>
      <c r="Q111" s="103"/>
      <c r="R111" s="83"/>
      <c r="S111" s="103"/>
      <c r="T111" s="103"/>
      <c r="U111" s="103"/>
    </row>
    <row r="112" customFormat="false" ht="22.5" hidden="false" customHeight="true" outlineLevel="0" collapsed="false">
      <c r="A112" s="110"/>
      <c r="B112" s="110"/>
      <c r="C112" s="110"/>
      <c r="D112" s="122"/>
      <c r="E112" s="110"/>
      <c r="F112" s="128" t="str">
        <f aca="false">IF(E112="CONTADO", 4%, IF(E112="TARJETA / CHEQUE", 3%, IF(OR(E112="FINANCIADO", E112="MCP"), 2.5%, "")))</f>
        <v/>
      </c>
      <c r="G112" s="122" t="str">
        <f aca="false">IF(F112="", "", F112*D112)</f>
        <v/>
      </c>
      <c r="H112" s="131" t="b">
        <f aca="false">FALSE()</f>
        <v>0</v>
      </c>
      <c r="I112" s="131" t="b">
        <f aca="false">FALSE()</f>
        <v>0</v>
      </c>
      <c r="J112" s="130"/>
      <c r="K112" s="110"/>
      <c r="L112" s="83"/>
      <c r="M112" s="103"/>
      <c r="N112" s="103"/>
      <c r="O112" s="103"/>
      <c r="P112" s="103"/>
      <c r="Q112" s="103"/>
      <c r="R112" s="83"/>
      <c r="S112" s="103"/>
      <c r="T112" s="103"/>
      <c r="U112" s="103"/>
    </row>
    <row r="113" customFormat="false" ht="22.5" hidden="false" customHeight="true" outlineLevel="0" collapsed="false">
      <c r="A113" s="99"/>
      <c r="B113" s="99"/>
      <c r="C113" s="99"/>
      <c r="D113" s="121"/>
      <c r="E113" s="99"/>
      <c r="F113" s="124" t="str">
        <f aca="false">IF(E113="CONTADO", 4%, IF(E113="TARJETA / CHEQUE", 3%, IF(OR(E113="FINANCIADO", E113="MCP"), 2.5%, "")))</f>
        <v/>
      </c>
      <c r="G113" s="121" t="str">
        <f aca="false">IF(F113="", "", F113*D113)</f>
        <v/>
      </c>
      <c r="H113" s="132" t="b">
        <f aca="false">FALSE()</f>
        <v>0</v>
      </c>
      <c r="I113" s="132" t="b">
        <f aca="false">FALSE()</f>
        <v>0</v>
      </c>
      <c r="J113" s="126"/>
      <c r="K113" s="99"/>
      <c r="L113" s="83"/>
      <c r="M113" s="103"/>
      <c r="N113" s="103"/>
      <c r="O113" s="103"/>
      <c r="P113" s="103"/>
      <c r="Q113" s="103"/>
      <c r="R113" s="83"/>
      <c r="S113" s="103"/>
      <c r="T113" s="103"/>
      <c r="U113" s="103"/>
    </row>
    <row r="114" customFormat="false" ht="22.5" hidden="false" customHeight="true" outlineLevel="0" collapsed="false">
      <c r="A114" s="110"/>
      <c r="B114" s="110"/>
      <c r="C114" s="110"/>
      <c r="D114" s="122"/>
      <c r="E114" s="110"/>
      <c r="F114" s="128" t="str">
        <f aca="false">IF(E114="CONTADO", 4%, IF(E114="TARJETA / CHEQUE", 3%, IF(OR(E114="FINANCIADO", E114="MCP"), 2.5%, "")))</f>
        <v/>
      </c>
      <c r="G114" s="122" t="str">
        <f aca="false">IF(F114="", "", F114*D114)</f>
        <v/>
      </c>
      <c r="H114" s="131" t="b">
        <f aca="false">FALSE()</f>
        <v>0</v>
      </c>
      <c r="I114" s="131" t="b">
        <f aca="false">FALSE()</f>
        <v>0</v>
      </c>
      <c r="J114" s="130"/>
      <c r="K114" s="110"/>
      <c r="L114" s="83"/>
      <c r="M114" s="103"/>
      <c r="N114" s="103"/>
      <c r="O114" s="103"/>
      <c r="P114" s="103"/>
      <c r="Q114" s="103"/>
      <c r="R114" s="83"/>
      <c r="S114" s="103"/>
      <c r="T114" s="103"/>
      <c r="U114" s="103"/>
    </row>
    <row r="115" customFormat="false" ht="22.5" hidden="false" customHeight="true" outlineLevel="0" collapsed="false">
      <c r="A115" s="99"/>
      <c r="B115" s="99"/>
      <c r="C115" s="99"/>
      <c r="D115" s="121"/>
      <c r="E115" s="99"/>
      <c r="F115" s="124" t="str">
        <f aca="false">IF(E115="CONTADO", 4%, IF(E115="TARJETA / CHEQUE", 3%, IF(OR(E115="FINANCIADO", E115="MCP"), 2.5%, "")))</f>
        <v/>
      </c>
      <c r="G115" s="121" t="str">
        <f aca="false">IF(F115="", "", F115*D115)</f>
        <v/>
      </c>
      <c r="H115" s="132" t="b">
        <f aca="false">FALSE()</f>
        <v>0</v>
      </c>
      <c r="I115" s="132" t="b">
        <f aca="false">FALSE()</f>
        <v>0</v>
      </c>
      <c r="J115" s="126"/>
      <c r="K115" s="99"/>
      <c r="L115" s="83"/>
      <c r="M115" s="103"/>
      <c r="N115" s="103"/>
      <c r="O115" s="103"/>
      <c r="P115" s="103"/>
      <c r="Q115" s="103"/>
      <c r="R115" s="83"/>
      <c r="S115" s="103"/>
      <c r="T115" s="103"/>
      <c r="U115" s="103"/>
    </row>
    <row r="116" customFormat="false" ht="22.5" hidden="false" customHeight="true" outlineLevel="0" collapsed="false">
      <c r="A116" s="110"/>
      <c r="B116" s="110"/>
      <c r="C116" s="110"/>
      <c r="D116" s="122"/>
      <c r="E116" s="110"/>
      <c r="F116" s="128" t="str">
        <f aca="false">IF(E116="CONTADO", 4%, IF(E116="TARJETA / CHEQUE", 3%, IF(OR(E116="FINANCIADO", E116="MCP"), 2.5%, "")))</f>
        <v/>
      </c>
      <c r="G116" s="122" t="str">
        <f aca="false">IF(F116="", "", F116*D116)</f>
        <v/>
      </c>
      <c r="H116" s="131" t="b">
        <f aca="false">FALSE()</f>
        <v>0</v>
      </c>
      <c r="I116" s="131" t="b">
        <f aca="false">FALSE()</f>
        <v>0</v>
      </c>
      <c r="J116" s="130"/>
      <c r="K116" s="110"/>
      <c r="L116" s="83"/>
      <c r="M116" s="103"/>
      <c r="N116" s="103"/>
      <c r="O116" s="103"/>
      <c r="P116" s="103"/>
      <c r="Q116" s="103"/>
      <c r="R116" s="83"/>
      <c r="S116" s="103"/>
      <c r="T116" s="103"/>
      <c r="U116" s="103"/>
    </row>
    <row r="117" customFormat="false" ht="22.5" hidden="false" customHeight="true" outlineLevel="0" collapsed="false">
      <c r="A117" s="99"/>
      <c r="B117" s="99"/>
      <c r="C117" s="99"/>
      <c r="D117" s="121"/>
      <c r="E117" s="99"/>
      <c r="F117" s="124" t="str">
        <f aca="false">IF(E117="CONTADO", 4%, IF(E117="TARJETA / CHEQUE", 3%, IF(OR(E117="FINANCIADO", E117="MCP"), 2.5%, "")))</f>
        <v/>
      </c>
      <c r="G117" s="121" t="str">
        <f aca="false">IF(F117="", "", F117*D117)</f>
        <v/>
      </c>
      <c r="H117" s="132" t="b">
        <f aca="false">FALSE()</f>
        <v>0</v>
      </c>
      <c r="I117" s="132" t="b">
        <f aca="false">FALSE()</f>
        <v>0</v>
      </c>
      <c r="J117" s="126"/>
      <c r="K117" s="99"/>
      <c r="L117" s="83"/>
      <c r="M117" s="103"/>
      <c r="N117" s="103"/>
      <c r="O117" s="103"/>
      <c r="P117" s="103"/>
      <c r="Q117" s="103"/>
      <c r="R117" s="83"/>
      <c r="S117" s="103"/>
      <c r="T117" s="103"/>
      <c r="U117" s="103"/>
    </row>
    <row r="118" customFormat="false" ht="22.5" hidden="false" customHeight="true" outlineLevel="0" collapsed="false">
      <c r="A118" s="110"/>
      <c r="B118" s="110"/>
      <c r="C118" s="110"/>
      <c r="D118" s="122"/>
      <c r="E118" s="110"/>
      <c r="F118" s="128" t="str">
        <f aca="false">IF(E118="CONTADO", 4%, IF(E118="TARJETA / CHEQUE", 3%, IF(OR(E118="FINANCIADO", E118="MCP"), 2.5%, "")))</f>
        <v/>
      </c>
      <c r="G118" s="122" t="str">
        <f aca="false">IF(F118="", "", F118*D118)</f>
        <v/>
      </c>
      <c r="H118" s="131" t="b">
        <f aca="false">FALSE()</f>
        <v>0</v>
      </c>
      <c r="I118" s="131" t="b">
        <f aca="false">FALSE()</f>
        <v>0</v>
      </c>
      <c r="J118" s="130"/>
      <c r="K118" s="110"/>
      <c r="L118" s="83"/>
      <c r="M118" s="103"/>
      <c r="N118" s="103"/>
      <c r="O118" s="103"/>
      <c r="P118" s="103"/>
      <c r="Q118" s="103"/>
      <c r="R118" s="83"/>
      <c r="S118" s="103"/>
      <c r="T118" s="103"/>
      <c r="U118" s="103"/>
    </row>
    <row r="119" customFormat="false" ht="22.5" hidden="false" customHeight="true" outlineLevel="0" collapsed="false">
      <c r="A119" s="99"/>
      <c r="B119" s="99"/>
      <c r="C119" s="99"/>
      <c r="D119" s="121"/>
      <c r="E119" s="99"/>
      <c r="F119" s="124" t="str">
        <f aca="false">IF(E119="CONTADO", 4%, IF(E119="TARJETA / CHEQUE", 3%, IF(OR(E119="FINANCIADO", E119="MCP"), 2.5%, "")))</f>
        <v/>
      </c>
      <c r="G119" s="121" t="str">
        <f aca="false">IF(F119="", "", F119*D119)</f>
        <v/>
      </c>
      <c r="H119" s="132" t="b">
        <f aca="false">FALSE()</f>
        <v>0</v>
      </c>
      <c r="I119" s="132" t="b">
        <f aca="false">FALSE()</f>
        <v>0</v>
      </c>
      <c r="J119" s="126"/>
      <c r="K119" s="99"/>
      <c r="L119" s="83"/>
      <c r="M119" s="103"/>
      <c r="N119" s="103"/>
      <c r="O119" s="103"/>
      <c r="P119" s="103"/>
      <c r="Q119" s="103"/>
      <c r="R119" s="83"/>
      <c r="S119" s="103"/>
      <c r="T119" s="103"/>
      <c r="U119" s="103"/>
    </row>
    <row r="120" customFormat="false" ht="22.5" hidden="false" customHeight="true" outlineLevel="0" collapsed="false">
      <c r="A120" s="110"/>
      <c r="B120" s="110"/>
      <c r="C120" s="110"/>
      <c r="D120" s="122"/>
      <c r="E120" s="110"/>
      <c r="F120" s="128" t="str">
        <f aca="false">IF(E120="CONTADO", 4%, IF(E120="TARJETA / CHEQUE", 3%, IF(OR(E120="FINANCIADO", E120="MCP"), 2.5%, "")))</f>
        <v/>
      </c>
      <c r="G120" s="122" t="str">
        <f aca="false">IF(F120="", "", F120*D120)</f>
        <v/>
      </c>
      <c r="H120" s="131" t="b">
        <f aca="false">FALSE()</f>
        <v>0</v>
      </c>
      <c r="I120" s="131" t="b">
        <f aca="false">FALSE()</f>
        <v>0</v>
      </c>
      <c r="J120" s="130"/>
      <c r="K120" s="110"/>
      <c r="L120" s="83"/>
      <c r="M120" s="103"/>
      <c r="N120" s="103"/>
      <c r="O120" s="103"/>
      <c r="P120" s="103"/>
      <c r="Q120" s="103"/>
      <c r="R120" s="83"/>
      <c r="S120" s="103"/>
      <c r="T120" s="103"/>
      <c r="U120" s="103"/>
    </row>
    <row r="121" customFormat="false" ht="22.5" hidden="false" customHeight="true" outlineLevel="0" collapsed="false">
      <c r="A121" s="99"/>
      <c r="B121" s="99"/>
      <c r="C121" s="99"/>
      <c r="D121" s="121"/>
      <c r="E121" s="99"/>
      <c r="F121" s="124" t="str">
        <f aca="false">IF(E121="CONTADO", 4%, IF(E121="TARJETA / CHEQUE", 3%, IF(OR(E121="FINANCIADO", E121="MCP"), 2.5%, "")))</f>
        <v/>
      </c>
      <c r="G121" s="121" t="str">
        <f aca="false">IF(F121="", "", F121*D121)</f>
        <v/>
      </c>
      <c r="H121" s="132" t="b">
        <f aca="false">FALSE()</f>
        <v>0</v>
      </c>
      <c r="I121" s="132" t="b">
        <f aca="false">FALSE()</f>
        <v>0</v>
      </c>
      <c r="J121" s="126"/>
      <c r="K121" s="99"/>
      <c r="L121" s="83"/>
      <c r="M121" s="103"/>
      <c r="N121" s="103"/>
      <c r="O121" s="103"/>
      <c r="P121" s="103"/>
      <c r="Q121" s="103"/>
      <c r="R121" s="83"/>
      <c r="S121" s="103"/>
      <c r="T121" s="103"/>
      <c r="U121" s="103"/>
    </row>
    <row r="122" customFormat="false" ht="22.5" hidden="false" customHeight="true" outlineLevel="0" collapsed="false">
      <c r="A122" s="110"/>
      <c r="B122" s="110"/>
      <c r="C122" s="110"/>
      <c r="D122" s="122"/>
      <c r="E122" s="110"/>
      <c r="F122" s="128" t="str">
        <f aca="false">IF(E122="CONTADO", 4%, IF(E122="TARJETA / CHEQUE", 3%, IF(OR(E122="FINANCIADO", E122="MCP"), 2.5%, "")))</f>
        <v/>
      </c>
      <c r="G122" s="122" t="str">
        <f aca="false">IF(F122="", "", F122*D122)</f>
        <v/>
      </c>
      <c r="H122" s="131" t="b">
        <f aca="false">FALSE()</f>
        <v>0</v>
      </c>
      <c r="I122" s="131" t="b">
        <f aca="false">FALSE()</f>
        <v>0</v>
      </c>
      <c r="J122" s="130"/>
      <c r="K122" s="110"/>
      <c r="L122" s="83"/>
      <c r="M122" s="103"/>
      <c r="N122" s="103"/>
      <c r="O122" s="103"/>
      <c r="P122" s="103"/>
      <c r="Q122" s="103"/>
      <c r="R122" s="83"/>
      <c r="S122" s="103"/>
      <c r="T122" s="103"/>
      <c r="U122" s="103"/>
    </row>
    <row r="123" customFormat="false" ht="22.5" hidden="false" customHeight="true" outlineLevel="0" collapsed="false">
      <c r="A123" s="99"/>
      <c r="B123" s="99"/>
      <c r="C123" s="99"/>
      <c r="D123" s="121"/>
      <c r="E123" s="99"/>
      <c r="F123" s="124" t="str">
        <f aca="false">IF(E123="CONTADO", 4%, IF(E123="TARJETA / CHEQUE", 3%, IF(OR(E123="FINANCIADO", E123="MCP"), 2.5%, "")))</f>
        <v/>
      </c>
      <c r="G123" s="121" t="str">
        <f aca="false">IF(F123="", "", F123*D123)</f>
        <v/>
      </c>
      <c r="H123" s="132" t="b">
        <f aca="false">FALSE()</f>
        <v>0</v>
      </c>
      <c r="I123" s="132" t="b">
        <f aca="false">FALSE()</f>
        <v>0</v>
      </c>
      <c r="J123" s="126"/>
      <c r="K123" s="99"/>
      <c r="L123" s="83"/>
      <c r="M123" s="103"/>
      <c r="N123" s="103"/>
      <c r="O123" s="103"/>
      <c r="P123" s="103"/>
      <c r="Q123" s="103"/>
      <c r="R123" s="83"/>
      <c r="S123" s="103"/>
      <c r="T123" s="103"/>
      <c r="U123" s="103"/>
    </row>
    <row r="124" customFormat="false" ht="22.5" hidden="false" customHeight="true" outlineLevel="0" collapsed="false">
      <c r="A124" s="110"/>
      <c r="B124" s="110"/>
      <c r="C124" s="110"/>
      <c r="D124" s="122"/>
      <c r="E124" s="110"/>
      <c r="F124" s="128" t="str">
        <f aca="false">IF(E124="CONTADO", 4%, IF(E124="TARJETA / CHEQUE", 3%, IF(OR(E124="FINANCIADO", E124="MCP"), 2.5%, "")))</f>
        <v/>
      </c>
      <c r="G124" s="122" t="str">
        <f aca="false">IF(F124="", "", F124*D124)</f>
        <v/>
      </c>
      <c r="H124" s="131" t="b">
        <f aca="false">FALSE()</f>
        <v>0</v>
      </c>
      <c r="I124" s="131" t="b">
        <f aca="false">FALSE()</f>
        <v>0</v>
      </c>
      <c r="J124" s="130"/>
      <c r="K124" s="110"/>
      <c r="L124" s="83"/>
      <c r="M124" s="103"/>
      <c r="N124" s="103"/>
      <c r="O124" s="103"/>
      <c r="P124" s="103"/>
      <c r="Q124" s="103"/>
      <c r="R124" s="83"/>
      <c r="S124" s="103"/>
      <c r="T124" s="103"/>
      <c r="U124" s="103"/>
    </row>
    <row r="125" customFormat="false" ht="22.5" hidden="false" customHeight="true" outlineLevel="0" collapsed="false">
      <c r="A125" s="99"/>
      <c r="B125" s="99"/>
      <c r="C125" s="99"/>
      <c r="D125" s="121"/>
      <c r="E125" s="99"/>
      <c r="F125" s="124" t="str">
        <f aca="false">IF(E125="CONTADO", 4%, IF(E125="TARJETA / CHEQUE", 3%, IF(OR(E125="FINANCIADO", E125="MCP"), 2.5%, "")))</f>
        <v/>
      </c>
      <c r="G125" s="121" t="str">
        <f aca="false">IF(F125="", "", F125*D125)</f>
        <v/>
      </c>
      <c r="H125" s="132" t="b">
        <f aca="false">FALSE()</f>
        <v>0</v>
      </c>
      <c r="I125" s="132" t="b">
        <f aca="false">FALSE()</f>
        <v>0</v>
      </c>
      <c r="J125" s="126"/>
      <c r="K125" s="99"/>
      <c r="L125" s="83"/>
      <c r="M125" s="103"/>
      <c r="N125" s="103"/>
      <c r="O125" s="103"/>
      <c r="P125" s="103"/>
      <c r="Q125" s="103"/>
      <c r="R125" s="83"/>
      <c r="S125" s="103"/>
      <c r="T125" s="103"/>
      <c r="U125" s="103"/>
    </row>
    <row r="126" customFormat="false" ht="22.5" hidden="false" customHeight="true" outlineLevel="0" collapsed="false">
      <c r="A126" s="110"/>
      <c r="B126" s="110"/>
      <c r="C126" s="110"/>
      <c r="D126" s="122"/>
      <c r="E126" s="110"/>
      <c r="F126" s="128" t="str">
        <f aca="false">IF(E126="CONTADO", 4%, IF(E126="TARJETA / CHEQUE", 3%, IF(OR(E126="FINANCIADO", E126="MCP"), 2.5%, "")))</f>
        <v/>
      </c>
      <c r="G126" s="122" t="str">
        <f aca="false">IF(F126="", "", F126*D126)</f>
        <v/>
      </c>
      <c r="H126" s="131" t="b">
        <f aca="false">FALSE()</f>
        <v>0</v>
      </c>
      <c r="I126" s="131" t="b">
        <f aca="false">FALSE()</f>
        <v>0</v>
      </c>
      <c r="J126" s="130"/>
      <c r="K126" s="110"/>
      <c r="L126" s="83"/>
      <c r="M126" s="103"/>
      <c r="N126" s="103"/>
      <c r="O126" s="103"/>
      <c r="P126" s="103"/>
      <c r="Q126" s="103"/>
      <c r="R126" s="83"/>
      <c r="S126" s="103"/>
      <c r="T126" s="103"/>
      <c r="U126" s="103"/>
    </row>
    <row r="127" customFormat="false" ht="22.5" hidden="false" customHeight="true" outlineLevel="0" collapsed="false">
      <c r="A127" s="99"/>
      <c r="B127" s="99"/>
      <c r="C127" s="99"/>
      <c r="D127" s="121"/>
      <c r="E127" s="99"/>
      <c r="F127" s="124" t="str">
        <f aca="false">IF(E127="CONTADO", 4%, IF(E127="TARJETA / CHEQUE", 3%, IF(OR(E127="FINANCIADO", E127="MCP"), 2.5%, "")))</f>
        <v/>
      </c>
      <c r="G127" s="121" t="str">
        <f aca="false">IF(F127="", "", F127*D127)</f>
        <v/>
      </c>
      <c r="H127" s="132" t="b">
        <f aca="false">FALSE()</f>
        <v>0</v>
      </c>
      <c r="I127" s="132" t="b">
        <f aca="false">FALSE()</f>
        <v>0</v>
      </c>
      <c r="J127" s="126"/>
      <c r="K127" s="99"/>
      <c r="L127" s="83"/>
      <c r="M127" s="103"/>
      <c r="N127" s="103"/>
      <c r="O127" s="103"/>
      <c r="P127" s="103"/>
      <c r="Q127" s="103"/>
      <c r="R127" s="83"/>
      <c r="S127" s="103"/>
      <c r="T127" s="103"/>
      <c r="U127" s="103"/>
    </row>
    <row r="128" customFormat="false" ht="22.5" hidden="false" customHeight="true" outlineLevel="0" collapsed="false">
      <c r="A128" s="110"/>
      <c r="B128" s="110"/>
      <c r="C128" s="110"/>
      <c r="D128" s="122"/>
      <c r="E128" s="110"/>
      <c r="F128" s="128" t="str">
        <f aca="false">IF(E128="CONTADO", 4%, IF(E128="TARJETA / CHEQUE", 3%, IF(OR(E128="FINANCIADO", E128="MCP"), 2.5%, "")))</f>
        <v/>
      </c>
      <c r="G128" s="122" t="str">
        <f aca="false">IF(F128="", "", F128*D128)</f>
        <v/>
      </c>
      <c r="H128" s="131" t="b">
        <f aca="false">FALSE()</f>
        <v>0</v>
      </c>
      <c r="I128" s="131" t="b">
        <f aca="false">FALSE()</f>
        <v>0</v>
      </c>
      <c r="J128" s="130"/>
      <c r="K128" s="110"/>
      <c r="L128" s="83"/>
      <c r="M128" s="103"/>
      <c r="N128" s="103"/>
      <c r="O128" s="103"/>
      <c r="P128" s="103"/>
      <c r="Q128" s="103"/>
      <c r="R128" s="83"/>
      <c r="S128" s="103"/>
      <c r="T128" s="103"/>
      <c r="U128" s="103"/>
    </row>
    <row r="129" customFormat="false" ht="22.5" hidden="false" customHeight="true" outlineLevel="0" collapsed="false">
      <c r="A129" s="99"/>
      <c r="B129" s="99"/>
      <c r="C129" s="99"/>
      <c r="D129" s="121"/>
      <c r="E129" s="99"/>
      <c r="F129" s="124" t="str">
        <f aca="false">IF(E129="CONTADO", 4%, IF(E129="TARJETA / CHEQUE", 3%, IF(OR(E129="FINANCIADO", E129="MCP"), 2.5%, "")))</f>
        <v/>
      </c>
      <c r="G129" s="121" t="str">
        <f aca="false">IF(F129="", "", F129*D129)</f>
        <v/>
      </c>
      <c r="H129" s="132" t="b">
        <f aca="false">FALSE()</f>
        <v>0</v>
      </c>
      <c r="I129" s="132" t="b">
        <f aca="false">FALSE()</f>
        <v>0</v>
      </c>
      <c r="J129" s="126"/>
      <c r="K129" s="99"/>
      <c r="L129" s="83"/>
      <c r="M129" s="103"/>
      <c r="N129" s="103"/>
      <c r="O129" s="103"/>
      <c r="P129" s="103"/>
      <c r="Q129" s="103"/>
      <c r="R129" s="83"/>
      <c r="S129" s="103"/>
      <c r="T129" s="103"/>
      <c r="U129" s="103"/>
    </row>
    <row r="130" customFormat="false" ht="22.5" hidden="false" customHeight="true" outlineLevel="0" collapsed="false">
      <c r="A130" s="110"/>
      <c r="B130" s="110"/>
      <c r="C130" s="110"/>
      <c r="D130" s="122"/>
      <c r="E130" s="110"/>
      <c r="F130" s="128" t="str">
        <f aca="false">IF(E130="CONTADO", 4%, IF(E130="TARJETA / CHEQUE", 3%, IF(OR(E130="FINANCIADO", E130="MCP"), 2.5%, "")))</f>
        <v/>
      </c>
      <c r="G130" s="122" t="str">
        <f aca="false">IF(F130="", "", F130*D130)</f>
        <v/>
      </c>
      <c r="H130" s="131" t="b">
        <f aca="false">FALSE()</f>
        <v>0</v>
      </c>
      <c r="I130" s="131" t="b">
        <f aca="false">FALSE()</f>
        <v>0</v>
      </c>
      <c r="J130" s="130"/>
      <c r="K130" s="110"/>
      <c r="L130" s="83"/>
      <c r="M130" s="103"/>
      <c r="N130" s="103"/>
      <c r="O130" s="103"/>
      <c r="P130" s="103"/>
      <c r="Q130" s="103"/>
      <c r="R130" s="83"/>
      <c r="S130" s="103"/>
      <c r="T130" s="103"/>
      <c r="U130" s="103"/>
    </row>
    <row r="131" customFormat="false" ht="22.5" hidden="false" customHeight="true" outlineLevel="0" collapsed="false">
      <c r="A131" s="99"/>
      <c r="B131" s="99"/>
      <c r="C131" s="99"/>
      <c r="D131" s="121"/>
      <c r="E131" s="99"/>
      <c r="F131" s="124" t="str">
        <f aca="false">IF(E131="CONTADO", 4%, IF(E131="TARJETA / CHEQUE", 3%, IF(OR(E131="FINANCIADO", E131="MCP"), 2.5%, "")))</f>
        <v/>
      </c>
      <c r="G131" s="121" t="str">
        <f aca="false">IF(F131="", "", F131*D131)</f>
        <v/>
      </c>
      <c r="H131" s="132" t="b">
        <f aca="false">FALSE()</f>
        <v>0</v>
      </c>
      <c r="I131" s="132" t="b">
        <f aca="false">FALSE()</f>
        <v>0</v>
      </c>
      <c r="J131" s="126"/>
      <c r="K131" s="99"/>
      <c r="L131" s="83"/>
      <c r="M131" s="103"/>
      <c r="N131" s="103"/>
      <c r="O131" s="103"/>
      <c r="P131" s="103"/>
      <c r="Q131" s="103"/>
      <c r="R131" s="83"/>
      <c r="S131" s="103"/>
      <c r="T131" s="103"/>
      <c r="U131" s="103"/>
    </row>
    <row r="132" customFormat="false" ht="22.5" hidden="false" customHeight="true" outlineLevel="0" collapsed="false">
      <c r="A132" s="110"/>
      <c r="B132" s="110"/>
      <c r="C132" s="110"/>
      <c r="D132" s="122"/>
      <c r="E132" s="110"/>
      <c r="F132" s="128" t="str">
        <f aca="false">IF(E132="CONTADO", 4%, IF(E132="TARJETA / CHEQUE", 3%, IF(OR(E132="FINANCIADO", E132="MCP"), 2.5%, "")))</f>
        <v/>
      </c>
      <c r="G132" s="122" t="str">
        <f aca="false">IF(F132="", "", F132*D132)</f>
        <v/>
      </c>
      <c r="H132" s="131" t="b">
        <f aca="false">FALSE()</f>
        <v>0</v>
      </c>
      <c r="I132" s="131" t="b">
        <f aca="false">FALSE()</f>
        <v>0</v>
      </c>
      <c r="J132" s="130"/>
      <c r="K132" s="110"/>
      <c r="L132" s="83"/>
      <c r="M132" s="103"/>
      <c r="N132" s="103"/>
      <c r="O132" s="103"/>
      <c r="P132" s="103"/>
      <c r="Q132" s="103"/>
      <c r="R132" s="83"/>
      <c r="S132" s="103"/>
      <c r="T132" s="103"/>
      <c r="U132" s="103"/>
    </row>
    <row r="133" customFormat="false" ht="22.5" hidden="false" customHeight="true" outlineLevel="0" collapsed="false">
      <c r="A133" s="99"/>
      <c r="B133" s="99"/>
      <c r="C133" s="99"/>
      <c r="D133" s="121"/>
      <c r="E133" s="99"/>
      <c r="F133" s="124" t="str">
        <f aca="false">IF(E133="CONTADO", 4%, IF(E133="TARJETA / CHEQUE", 3%, IF(OR(E133="FINANCIADO", E133="MCP"), 2.5%, "")))</f>
        <v/>
      </c>
      <c r="G133" s="121" t="str">
        <f aca="false">IF(F133="", "", F133*D133)</f>
        <v/>
      </c>
      <c r="H133" s="132" t="b">
        <f aca="false">FALSE()</f>
        <v>0</v>
      </c>
      <c r="I133" s="132" t="b">
        <f aca="false">FALSE()</f>
        <v>0</v>
      </c>
      <c r="J133" s="126"/>
      <c r="K133" s="99"/>
      <c r="L133" s="83"/>
      <c r="M133" s="103"/>
      <c r="N133" s="103"/>
      <c r="O133" s="103"/>
      <c r="P133" s="103"/>
      <c r="Q133" s="103"/>
      <c r="R133" s="83"/>
      <c r="S133" s="103"/>
      <c r="T133" s="103"/>
      <c r="U133" s="103"/>
    </row>
    <row r="134" customFormat="false" ht="22.5" hidden="false" customHeight="true" outlineLevel="0" collapsed="false">
      <c r="A134" s="110"/>
      <c r="B134" s="110"/>
      <c r="C134" s="110"/>
      <c r="D134" s="122"/>
      <c r="E134" s="110"/>
      <c r="F134" s="128" t="str">
        <f aca="false">IF(E134="CONTADO", 4%, IF(E134="TARJETA / CHEQUE", 3%, IF(OR(E134="FINANCIADO", E134="MCP"), 2.5%, "")))</f>
        <v/>
      </c>
      <c r="G134" s="122" t="str">
        <f aca="false">IF(F134="", "", F134*D134)</f>
        <v/>
      </c>
      <c r="H134" s="131" t="b">
        <f aca="false">FALSE()</f>
        <v>0</v>
      </c>
      <c r="I134" s="131" t="b">
        <f aca="false">FALSE()</f>
        <v>0</v>
      </c>
      <c r="J134" s="130"/>
      <c r="K134" s="110"/>
      <c r="L134" s="83"/>
      <c r="M134" s="103"/>
      <c r="N134" s="103"/>
      <c r="O134" s="103"/>
      <c r="P134" s="103"/>
      <c r="Q134" s="103"/>
      <c r="R134" s="83"/>
      <c r="S134" s="103"/>
      <c r="T134" s="103"/>
      <c r="U134" s="103"/>
    </row>
    <row r="135" customFormat="false" ht="22.5" hidden="false" customHeight="true" outlineLevel="0" collapsed="false">
      <c r="A135" s="99"/>
      <c r="B135" s="99"/>
      <c r="C135" s="99"/>
      <c r="D135" s="121"/>
      <c r="E135" s="99"/>
      <c r="F135" s="124" t="str">
        <f aca="false">IF(E135="CONTADO", 4%, IF(E135="TARJETA / CHEQUE", 3%, IF(OR(E135="FINANCIADO", E135="MCP"), 2.5%, "")))</f>
        <v/>
      </c>
      <c r="G135" s="121" t="str">
        <f aca="false">IF(F135="", "", F135*D135)</f>
        <v/>
      </c>
      <c r="H135" s="132" t="b">
        <f aca="false">FALSE()</f>
        <v>0</v>
      </c>
      <c r="I135" s="132" t="b">
        <f aca="false">FALSE()</f>
        <v>0</v>
      </c>
      <c r="J135" s="126"/>
      <c r="K135" s="99"/>
      <c r="L135" s="83"/>
      <c r="M135" s="103"/>
      <c r="N135" s="103"/>
      <c r="O135" s="103"/>
      <c r="P135" s="103"/>
      <c r="Q135" s="103"/>
      <c r="R135" s="83"/>
      <c r="S135" s="103"/>
      <c r="T135" s="103"/>
      <c r="U135" s="103"/>
    </row>
    <row r="136" customFormat="false" ht="22.5" hidden="false" customHeight="true" outlineLevel="0" collapsed="false">
      <c r="A136" s="110"/>
      <c r="B136" s="110"/>
      <c r="C136" s="110"/>
      <c r="D136" s="122"/>
      <c r="E136" s="110"/>
      <c r="F136" s="128" t="str">
        <f aca="false">IF(E136="CONTADO", 4%, IF(E136="TARJETA / CHEQUE", 3%, IF(OR(E136="FINANCIADO", E136="MCP"), 2.5%, "")))</f>
        <v/>
      </c>
      <c r="G136" s="122" t="str">
        <f aca="false">IF(F136="", "", F136*D136)</f>
        <v/>
      </c>
      <c r="H136" s="131" t="b">
        <f aca="false">FALSE()</f>
        <v>0</v>
      </c>
      <c r="I136" s="131" t="b">
        <f aca="false">FALSE()</f>
        <v>0</v>
      </c>
      <c r="J136" s="130"/>
      <c r="K136" s="110"/>
      <c r="L136" s="83"/>
      <c r="M136" s="103"/>
      <c r="N136" s="103"/>
      <c r="O136" s="103"/>
      <c r="P136" s="103"/>
      <c r="Q136" s="103"/>
      <c r="R136" s="83"/>
      <c r="S136" s="103"/>
      <c r="T136" s="103"/>
      <c r="U136" s="103"/>
    </row>
    <row r="137" customFormat="false" ht="22.5" hidden="false" customHeight="true" outlineLevel="0" collapsed="false">
      <c r="A137" s="99"/>
      <c r="B137" s="99"/>
      <c r="C137" s="99"/>
      <c r="D137" s="121"/>
      <c r="E137" s="99"/>
      <c r="F137" s="124" t="str">
        <f aca="false">IF(E137="CONTADO", 4%, IF(E137="TARJETA / CHEQUE", 3%, IF(OR(E137="FINANCIADO", E137="MCP"), 2.5%, "")))</f>
        <v/>
      </c>
      <c r="G137" s="121" t="str">
        <f aca="false">IF(F137="", "", F137*D137)</f>
        <v/>
      </c>
      <c r="H137" s="132" t="b">
        <f aca="false">FALSE()</f>
        <v>0</v>
      </c>
      <c r="I137" s="132" t="b">
        <f aca="false">FALSE()</f>
        <v>0</v>
      </c>
      <c r="J137" s="126"/>
      <c r="K137" s="99"/>
      <c r="L137" s="83"/>
      <c r="M137" s="103"/>
      <c r="N137" s="103"/>
      <c r="O137" s="103"/>
      <c r="P137" s="103"/>
      <c r="Q137" s="103"/>
      <c r="R137" s="83"/>
      <c r="S137" s="103"/>
      <c r="T137" s="103"/>
      <c r="U137" s="103"/>
    </row>
    <row r="138" customFormat="false" ht="22.5" hidden="false" customHeight="true" outlineLevel="0" collapsed="false">
      <c r="A138" s="110"/>
      <c r="B138" s="110"/>
      <c r="C138" s="110"/>
      <c r="D138" s="122"/>
      <c r="E138" s="110"/>
      <c r="F138" s="128" t="str">
        <f aca="false">IF(E138="CONTADO", 4%, IF(E138="TARJETA / CHEQUE", 3%, IF(OR(E138="FINANCIADO", E138="MCP"), 2.5%, "")))</f>
        <v/>
      </c>
      <c r="G138" s="122" t="str">
        <f aca="false">IF(F138="", "", F138*D138)</f>
        <v/>
      </c>
      <c r="H138" s="131" t="b">
        <f aca="false">FALSE()</f>
        <v>0</v>
      </c>
      <c r="I138" s="131" t="b">
        <f aca="false">FALSE()</f>
        <v>0</v>
      </c>
      <c r="J138" s="130"/>
      <c r="K138" s="110"/>
      <c r="L138" s="83"/>
      <c r="M138" s="103"/>
      <c r="N138" s="103"/>
      <c r="O138" s="103"/>
      <c r="P138" s="103"/>
      <c r="Q138" s="103"/>
      <c r="R138" s="83"/>
      <c r="S138" s="103"/>
      <c r="T138" s="103"/>
      <c r="U138" s="103"/>
    </row>
    <row r="139" customFormat="false" ht="22.5" hidden="false" customHeight="true" outlineLevel="0" collapsed="false">
      <c r="A139" s="99"/>
      <c r="B139" s="99"/>
      <c r="C139" s="99"/>
      <c r="D139" s="121"/>
      <c r="E139" s="99"/>
      <c r="F139" s="124" t="str">
        <f aca="false">IF(E139="CONTADO", 4%, IF(E139="TARJETA / CHEQUE", 3%, IF(OR(E139="FINANCIADO", E139="MCP"), 2.5%, "")))</f>
        <v/>
      </c>
      <c r="G139" s="121" t="str">
        <f aca="false">IF(F139="", "", F139*D139)</f>
        <v/>
      </c>
      <c r="H139" s="132" t="b">
        <f aca="false">FALSE()</f>
        <v>0</v>
      </c>
      <c r="I139" s="132" t="b">
        <f aca="false">FALSE()</f>
        <v>0</v>
      </c>
      <c r="J139" s="126"/>
      <c r="K139" s="99"/>
      <c r="L139" s="83"/>
      <c r="M139" s="103"/>
      <c r="N139" s="103"/>
      <c r="O139" s="103"/>
      <c r="P139" s="103"/>
      <c r="Q139" s="103"/>
      <c r="R139" s="83"/>
      <c r="S139" s="103"/>
      <c r="T139" s="103"/>
      <c r="U139" s="103"/>
    </row>
    <row r="140" customFormat="false" ht="22.5" hidden="false" customHeight="true" outlineLevel="0" collapsed="false">
      <c r="A140" s="110"/>
      <c r="B140" s="110"/>
      <c r="C140" s="110"/>
      <c r="D140" s="122"/>
      <c r="E140" s="110"/>
      <c r="F140" s="128" t="str">
        <f aca="false">IF(E140="CONTADO", 4%, IF(E140="TARJETA / CHEQUE", 3%, IF(OR(E140="FINANCIADO", E140="MCP"), 2.5%, "")))</f>
        <v/>
      </c>
      <c r="G140" s="122" t="str">
        <f aca="false">IF(F140="", "", F140*D140)</f>
        <v/>
      </c>
      <c r="H140" s="131" t="b">
        <f aca="false">FALSE()</f>
        <v>0</v>
      </c>
      <c r="I140" s="131" t="b">
        <f aca="false">FALSE()</f>
        <v>0</v>
      </c>
      <c r="J140" s="130"/>
      <c r="K140" s="110"/>
      <c r="L140" s="83"/>
      <c r="M140" s="103"/>
      <c r="N140" s="103"/>
      <c r="O140" s="103"/>
      <c r="P140" s="103"/>
      <c r="Q140" s="103"/>
      <c r="R140" s="83"/>
      <c r="S140" s="103"/>
      <c r="T140" s="103"/>
      <c r="U140" s="103"/>
    </row>
    <row r="141" customFormat="false" ht="22.5" hidden="false" customHeight="true" outlineLevel="0" collapsed="false">
      <c r="A141" s="99"/>
      <c r="B141" s="99"/>
      <c r="C141" s="99"/>
      <c r="D141" s="121"/>
      <c r="E141" s="99"/>
      <c r="F141" s="124" t="str">
        <f aca="false">IF(E141="CONTADO", 4%, IF(E141="TARJETA / CHEQUE", 3%, IF(OR(E141="FINANCIADO", E141="MCP"), 2.5%, "")))</f>
        <v/>
      </c>
      <c r="G141" s="121" t="str">
        <f aca="false">IF(F141="", "", F141*D141)</f>
        <v/>
      </c>
      <c r="H141" s="132" t="b">
        <f aca="false">FALSE()</f>
        <v>0</v>
      </c>
      <c r="I141" s="132" t="b">
        <f aca="false">FALSE()</f>
        <v>0</v>
      </c>
      <c r="J141" s="126"/>
      <c r="K141" s="99"/>
      <c r="L141" s="83"/>
      <c r="M141" s="103"/>
      <c r="N141" s="103"/>
      <c r="O141" s="103"/>
      <c r="P141" s="103"/>
      <c r="Q141" s="103"/>
      <c r="R141" s="83"/>
      <c r="S141" s="103"/>
      <c r="T141" s="103"/>
      <c r="U141" s="103"/>
    </row>
    <row r="142" customFormat="false" ht="22.5" hidden="false" customHeight="true" outlineLevel="0" collapsed="false">
      <c r="A142" s="110"/>
      <c r="B142" s="110"/>
      <c r="C142" s="110"/>
      <c r="D142" s="122"/>
      <c r="E142" s="110"/>
      <c r="F142" s="128" t="str">
        <f aca="false">IF(E142="CONTADO", 4%, IF(E142="TARJETA / CHEQUE", 3%, IF(OR(E142="FINANCIADO", E142="MCP"), 2.5%, "")))</f>
        <v/>
      </c>
      <c r="G142" s="122" t="str">
        <f aca="false">IF(F142="", "", F142*D142)</f>
        <v/>
      </c>
      <c r="H142" s="131" t="b">
        <f aca="false">FALSE()</f>
        <v>0</v>
      </c>
      <c r="I142" s="131" t="b">
        <f aca="false">FALSE()</f>
        <v>0</v>
      </c>
      <c r="J142" s="130"/>
      <c r="K142" s="110"/>
      <c r="L142" s="83"/>
      <c r="M142" s="103"/>
      <c r="N142" s="103"/>
      <c r="O142" s="103"/>
      <c r="P142" s="103"/>
      <c r="Q142" s="103"/>
      <c r="R142" s="83"/>
      <c r="S142" s="103"/>
      <c r="T142" s="103"/>
      <c r="U142" s="103"/>
    </row>
    <row r="143" customFormat="false" ht="22.5" hidden="false" customHeight="true" outlineLevel="0" collapsed="false">
      <c r="A143" s="99"/>
      <c r="B143" s="99"/>
      <c r="C143" s="99"/>
      <c r="D143" s="121"/>
      <c r="E143" s="99"/>
      <c r="F143" s="124" t="str">
        <f aca="false">IF(E143="CONTADO", 4%, IF(E143="TARJETA / CHEQUE", 3%, IF(OR(E143="FINANCIADO", E143="MCP"), 2.5%, "")))</f>
        <v/>
      </c>
      <c r="G143" s="121" t="str">
        <f aca="false">IF(F143="", "", F143*D143)</f>
        <v/>
      </c>
      <c r="H143" s="132" t="b">
        <f aca="false">FALSE()</f>
        <v>0</v>
      </c>
      <c r="I143" s="132" t="b">
        <f aca="false">FALSE()</f>
        <v>0</v>
      </c>
      <c r="J143" s="126"/>
      <c r="K143" s="99"/>
      <c r="L143" s="83"/>
      <c r="M143" s="103"/>
      <c r="N143" s="103"/>
      <c r="O143" s="103"/>
      <c r="P143" s="103"/>
      <c r="Q143" s="103"/>
      <c r="R143" s="83"/>
      <c r="S143" s="103"/>
      <c r="T143" s="103"/>
      <c r="U143" s="103"/>
    </row>
    <row r="144" customFormat="false" ht="22.5" hidden="false" customHeight="true" outlineLevel="0" collapsed="false">
      <c r="A144" s="110"/>
      <c r="B144" s="110"/>
      <c r="C144" s="110"/>
      <c r="D144" s="122"/>
      <c r="E144" s="110"/>
      <c r="F144" s="128" t="str">
        <f aca="false">IF(E144="CONTADO", 4%, IF(E144="TARJETA / CHEQUE", 3%, IF(OR(E144="FINANCIADO", E144="MCP"), 2.5%, "")))</f>
        <v/>
      </c>
      <c r="G144" s="122" t="str">
        <f aca="false">IF(F144="", "", F144*D144)</f>
        <v/>
      </c>
      <c r="H144" s="131" t="b">
        <f aca="false">FALSE()</f>
        <v>0</v>
      </c>
      <c r="I144" s="131" t="b">
        <f aca="false">FALSE()</f>
        <v>0</v>
      </c>
      <c r="J144" s="130"/>
      <c r="K144" s="110"/>
      <c r="L144" s="83"/>
      <c r="M144" s="103"/>
      <c r="N144" s="103"/>
      <c r="O144" s="103"/>
      <c r="P144" s="103"/>
      <c r="Q144" s="103"/>
      <c r="R144" s="83"/>
      <c r="S144" s="103"/>
      <c r="T144" s="103"/>
      <c r="U144" s="103"/>
    </row>
    <row r="145" customFormat="false" ht="22.5" hidden="false" customHeight="true" outlineLevel="0" collapsed="false">
      <c r="A145" s="99"/>
      <c r="B145" s="99"/>
      <c r="C145" s="99"/>
      <c r="D145" s="121"/>
      <c r="E145" s="99"/>
      <c r="F145" s="124" t="str">
        <f aca="false">IF(E145="CONTADO", 4%, IF(E145="TARJETA / CHEQUE", 3%, IF(OR(E145="FINANCIADO", E145="MCP"), 2.5%, "")))</f>
        <v/>
      </c>
      <c r="G145" s="121" t="str">
        <f aca="false">IF(F145="", "", F145*D145)</f>
        <v/>
      </c>
      <c r="H145" s="132" t="b">
        <f aca="false">FALSE()</f>
        <v>0</v>
      </c>
      <c r="I145" s="132" t="b">
        <f aca="false">FALSE()</f>
        <v>0</v>
      </c>
      <c r="J145" s="126"/>
      <c r="K145" s="99"/>
      <c r="L145" s="83"/>
      <c r="M145" s="103"/>
      <c r="N145" s="103"/>
      <c r="O145" s="103"/>
      <c r="P145" s="103"/>
      <c r="Q145" s="103"/>
      <c r="R145" s="83"/>
      <c r="S145" s="103"/>
      <c r="T145" s="103"/>
      <c r="U145" s="103"/>
    </row>
    <row r="146" customFormat="false" ht="22.5" hidden="false" customHeight="true" outlineLevel="0" collapsed="false">
      <c r="A146" s="110"/>
      <c r="B146" s="110"/>
      <c r="C146" s="110"/>
      <c r="D146" s="122"/>
      <c r="E146" s="110"/>
      <c r="F146" s="128" t="str">
        <f aca="false">IF(E146="CONTADO", 4%, IF(E146="TARJETA / CHEQUE", 3%, IF(OR(E146="FINANCIADO", E146="MCP"), 2.5%, "")))</f>
        <v/>
      </c>
      <c r="G146" s="122" t="str">
        <f aca="false">IF(F146="", "", F146*D146)</f>
        <v/>
      </c>
      <c r="H146" s="131" t="b">
        <f aca="false">FALSE()</f>
        <v>0</v>
      </c>
      <c r="I146" s="131" t="b">
        <f aca="false">FALSE()</f>
        <v>0</v>
      </c>
      <c r="J146" s="130"/>
      <c r="K146" s="110"/>
      <c r="L146" s="83"/>
      <c r="M146" s="103"/>
      <c r="N146" s="103"/>
      <c r="O146" s="103"/>
      <c r="P146" s="103"/>
      <c r="Q146" s="103"/>
      <c r="R146" s="83"/>
      <c r="S146" s="103"/>
      <c r="T146" s="103"/>
      <c r="U146" s="103"/>
    </row>
    <row r="147" customFormat="false" ht="22.5" hidden="false" customHeight="true" outlineLevel="0" collapsed="false">
      <c r="A147" s="99"/>
      <c r="B147" s="99"/>
      <c r="C147" s="99"/>
      <c r="D147" s="121"/>
      <c r="E147" s="99"/>
      <c r="F147" s="124" t="str">
        <f aca="false">IF(E147="CONTADO", 4%, IF(E147="TARJETA / CHEQUE", 3%, IF(OR(E147="FINANCIADO", E147="MCP"), 2.5%, "")))</f>
        <v/>
      </c>
      <c r="G147" s="121" t="str">
        <f aca="false">IF(F147="", "", F147*D147)</f>
        <v/>
      </c>
      <c r="H147" s="132" t="b">
        <f aca="false">FALSE()</f>
        <v>0</v>
      </c>
      <c r="I147" s="132" t="b">
        <f aca="false">FALSE()</f>
        <v>0</v>
      </c>
      <c r="J147" s="126"/>
      <c r="K147" s="99"/>
      <c r="L147" s="83"/>
      <c r="M147" s="103"/>
      <c r="N147" s="103"/>
      <c r="O147" s="103"/>
      <c r="P147" s="103"/>
      <c r="Q147" s="103"/>
      <c r="R147" s="83"/>
      <c r="S147" s="103"/>
      <c r="T147" s="103"/>
      <c r="U147" s="103"/>
    </row>
    <row r="148" customFormat="false" ht="22.5" hidden="false" customHeight="true" outlineLevel="0" collapsed="false">
      <c r="A148" s="110"/>
      <c r="B148" s="110"/>
      <c r="C148" s="110"/>
      <c r="D148" s="122"/>
      <c r="E148" s="110"/>
      <c r="F148" s="128" t="str">
        <f aca="false">IF(E148="CONTADO", 4%, IF(E148="TARJETA / CHEQUE", 3%, IF(OR(E148="FINANCIADO", E148="MCP"), 2.5%, "")))</f>
        <v/>
      </c>
      <c r="G148" s="122" t="str">
        <f aca="false">IF(F148="", "", F148*D148)</f>
        <v/>
      </c>
      <c r="H148" s="131" t="b">
        <f aca="false">FALSE()</f>
        <v>0</v>
      </c>
      <c r="I148" s="131" t="b">
        <f aca="false">FALSE()</f>
        <v>0</v>
      </c>
      <c r="J148" s="130"/>
      <c r="K148" s="110"/>
      <c r="L148" s="83"/>
      <c r="M148" s="103"/>
      <c r="N148" s="103"/>
      <c r="O148" s="103"/>
      <c r="P148" s="103"/>
      <c r="Q148" s="103"/>
      <c r="R148" s="83"/>
      <c r="S148" s="103"/>
      <c r="T148" s="103"/>
      <c r="U148" s="103"/>
    </row>
    <row r="149" customFormat="false" ht="22.5" hidden="false" customHeight="true" outlineLevel="0" collapsed="false">
      <c r="A149" s="99"/>
      <c r="B149" s="99"/>
      <c r="C149" s="99"/>
      <c r="D149" s="121"/>
      <c r="E149" s="99"/>
      <c r="F149" s="124" t="str">
        <f aca="false">IF(E149="CONTADO", 4%, IF(E149="TARJETA / CHEQUE", 3%, IF(OR(E149="FINANCIADO", E149="MCP"), 2.5%, "")))</f>
        <v/>
      </c>
      <c r="G149" s="121" t="str">
        <f aca="false">IF(F149="", "", F149*D149)</f>
        <v/>
      </c>
      <c r="H149" s="132" t="b">
        <f aca="false">FALSE()</f>
        <v>0</v>
      </c>
      <c r="I149" s="132" t="b">
        <f aca="false">FALSE()</f>
        <v>0</v>
      </c>
      <c r="J149" s="126"/>
      <c r="K149" s="99"/>
      <c r="L149" s="83"/>
      <c r="M149" s="103"/>
      <c r="N149" s="103"/>
      <c r="O149" s="103"/>
      <c r="P149" s="103"/>
      <c r="Q149" s="103"/>
      <c r="R149" s="83"/>
      <c r="S149" s="103"/>
      <c r="T149" s="103"/>
      <c r="U149" s="103"/>
    </row>
    <row r="150" customFormat="false" ht="22.5" hidden="false" customHeight="true" outlineLevel="0" collapsed="false">
      <c r="A150" s="110"/>
      <c r="B150" s="110"/>
      <c r="C150" s="110"/>
      <c r="D150" s="122"/>
      <c r="E150" s="110"/>
      <c r="F150" s="128" t="str">
        <f aca="false">IF(E150="CONTADO", 4%, IF(E150="TARJETA / CHEQUE", 3%, IF(OR(E150="FINANCIADO", E150="MCP"), 2.5%, "")))</f>
        <v/>
      </c>
      <c r="G150" s="122" t="str">
        <f aca="false">IF(F150="", "", F150*D150)</f>
        <v/>
      </c>
      <c r="H150" s="131" t="b">
        <f aca="false">FALSE()</f>
        <v>0</v>
      </c>
      <c r="I150" s="131" t="b">
        <f aca="false">FALSE()</f>
        <v>0</v>
      </c>
      <c r="J150" s="130"/>
      <c r="K150" s="110"/>
      <c r="L150" s="83"/>
      <c r="M150" s="103"/>
      <c r="N150" s="103"/>
      <c r="O150" s="103"/>
      <c r="P150" s="103"/>
      <c r="Q150" s="103"/>
      <c r="R150" s="83"/>
      <c r="S150" s="103"/>
      <c r="T150" s="103"/>
      <c r="U150" s="103"/>
    </row>
    <row r="151" customFormat="false" ht="22.5" hidden="false" customHeight="true" outlineLevel="0" collapsed="false">
      <c r="A151" s="99"/>
      <c r="B151" s="99"/>
      <c r="C151" s="99"/>
      <c r="D151" s="121"/>
      <c r="E151" s="99"/>
      <c r="F151" s="124" t="str">
        <f aca="false">IF(E151="CONTADO", 4%, IF(E151="TARJETA / CHEQUE", 3%, IF(OR(E151="FINANCIADO", E151="MCP"), 2.5%, "")))</f>
        <v/>
      </c>
      <c r="G151" s="121" t="str">
        <f aca="false">IF(F151="", "", F151*D151)</f>
        <v/>
      </c>
      <c r="H151" s="132" t="b">
        <f aca="false">FALSE()</f>
        <v>0</v>
      </c>
      <c r="I151" s="132" t="b">
        <f aca="false">FALSE()</f>
        <v>0</v>
      </c>
      <c r="J151" s="126"/>
      <c r="K151" s="99"/>
      <c r="L151" s="83"/>
      <c r="M151" s="103"/>
      <c r="N151" s="103"/>
      <c r="O151" s="103"/>
      <c r="P151" s="103"/>
      <c r="Q151" s="103"/>
      <c r="R151" s="83"/>
      <c r="S151" s="103"/>
      <c r="T151" s="103"/>
      <c r="U151" s="103"/>
    </row>
    <row r="152" customFormat="false" ht="22.5" hidden="false" customHeight="true" outlineLevel="0" collapsed="false">
      <c r="A152" s="110"/>
      <c r="B152" s="110"/>
      <c r="C152" s="110"/>
      <c r="D152" s="122"/>
      <c r="E152" s="110"/>
      <c r="F152" s="128" t="str">
        <f aca="false">IF(E152="CONTADO", 4%, IF(E152="TARJETA / CHEQUE", 3%, IF(OR(E152="FINANCIADO", E152="MCP"), 2.5%, "")))</f>
        <v/>
      </c>
      <c r="G152" s="122" t="str">
        <f aca="false">IF(F152="", "", F152*D152)</f>
        <v/>
      </c>
      <c r="H152" s="131" t="b">
        <f aca="false">FALSE()</f>
        <v>0</v>
      </c>
      <c r="I152" s="131" t="b">
        <f aca="false">FALSE()</f>
        <v>0</v>
      </c>
      <c r="J152" s="130"/>
      <c r="K152" s="110"/>
      <c r="L152" s="83"/>
      <c r="M152" s="103"/>
      <c r="N152" s="103"/>
      <c r="O152" s="103"/>
      <c r="P152" s="103"/>
      <c r="Q152" s="103"/>
      <c r="R152" s="83"/>
      <c r="S152" s="103"/>
      <c r="T152" s="103"/>
      <c r="U152" s="103"/>
    </row>
    <row r="153" customFormat="false" ht="22.5" hidden="false" customHeight="true" outlineLevel="0" collapsed="false">
      <c r="A153" s="99"/>
      <c r="B153" s="99"/>
      <c r="C153" s="99"/>
      <c r="D153" s="121"/>
      <c r="E153" s="99"/>
      <c r="F153" s="124" t="str">
        <f aca="false">IF(E153="CONTADO", 4%, IF(E153="TARJETA / CHEQUE", 3%, IF(OR(E153="FINANCIADO", E153="MCP"), 2.5%, "")))</f>
        <v/>
      </c>
      <c r="G153" s="121" t="str">
        <f aca="false">IF(F153="", "", F153*D153)</f>
        <v/>
      </c>
      <c r="H153" s="132" t="b">
        <f aca="false">FALSE()</f>
        <v>0</v>
      </c>
      <c r="I153" s="132" t="b">
        <f aca="false">FALSE()</f>
        <v>0</v>
      </c>
      <c r="J153" s="126"/>
      <c r="K153" s="99"/>
      <c r="L153" s="83"/>
      <c r="M153" s="103"/>
      <c r="N153" s="103"/>
      <c r="O153" s="103"/>
      <c r="P153" s="103"/>
      <c r="Q153" s="103"/>
      <c r="R153" s="83"/>
      <c r="S153" s="103"/>
      <c r="T153" s="103"/>
      <c r="U153" s="103"/>
    </row>
    <row r="154" customFormat="false" ht="22.5" hidden="false" customHeight="true" outlineLevel="0" collapsed="false">
      <c r="A154" s="110"/>
      <c r="B154" s="110"/>
      <c r="C154" s="110"/>
      <c r="D154" s="122"/>
      <c r="E154" s="110"/>
      <c r="F154" s="128" t="str">
        <f aca="false">IF(E154="CONTADO", 4%, IF(E154="TARJETA / CHEQUE", 3%, IF(OR(E154="FINANCIADO", E154="MCP"), 2.5%, "")))</f>
        <v/>
      </c>
      <c r="G154" s="122" t="str">
        <f aca="false">IF(F154="", "", F154*D154)</f>
        <v/>
      </c>
      <c r="H154" s="131" t="b">
        <f aca="false">FALSE()</f>
        <v>0</v>
      </c>
      <c r="I154" s="131" t="b">
        <f aca="false">FALSE()</f>
        <v>0</v>
      </c>
      <c r="J154" s="130"/>
      <c r="K154" s="110"/>
      <c r="L154" s="83"/>
      <c r="M154" s="103"/>
      <c r="N154" s="103"/>
      <c r="O154" s="103"/>
      <c r="P154" s="103"/>
      <c r="Q154" s="103"/>
      <c r="R154" s="83"/>
      <c r="S154" s="103"/>
      <c r="T154" s="103"/>
      <c r="U154" s="103"/>
    </row>
    <row r="155" customFormat="false" ht="22.5" hidden="false" customHeight="true" outlineLevel="0" collapsed="false">
      <c r="A155" s="99"/>
      <c r="B155" s="99"/>
      <c r="C155" s="99"/>
      <c r="D155" s="121"/>
      <c r="E155" s="99"/>
      <c r="F155" s="124" t="str">
        <f aca="false">IF(E155="CONTADO", 4%, IF(E155="TARJETA / CHEQUE", 3%, IF(OR(E155="FINANCIADO", E155="MCP"), 2.5%, "")))</f>
        <v/>
      </c>
      <c r="G155" s="121" t="str">
        <f aca="false">IF(F155="", "", F155*D155)</f>
        <v/>
      </c>
      <c r="H155" s="132" t="b">
        <f aca="false">FALSE()</f>
        <v>0</v>
      </c>
      <c r="I155" s="132" t="b">
        <f aca="false">FALSE()</f>
        <v>0</v>
      </c>
      <c r="J155" s="126"/>
      <c r="K155" s="99"/>
      <c r="L155" s="83"/>
      <c r="M155" s="103"/>
      <c r="N155" s="103"/>
      <c r="O155" s="103"/>
      <c r="P155" s="103"/>
      <c r="Q155" s="103"/>
      <c r="R155" s="83"/>
      <c r="S155" s="103"/>
      <c r="T155" s="103"/>
      <c r="U155" s="103"/>
    </row>
    <row r="156" customFormat="false" ht="22.5" hidden="false" customHeight="true" outlineLevel="0" collapsed="false">
      <c r="A156" s="110"/>
      <c r="B156" s="110"/>
      <c r="C156" s="110"/>
      <c r="D156" s="122"/>
      <c r="E156" s="110"/>
      <c r="F156" s="128" t="str">
        <f aca="false">IF(E156="CONTADO", 4%, IF(E156="TARJETA / CHEQUE", 3%, IF(OR(E156="FINANCIADO", E156="MCP"), 2.5%, "")))</f>
        <v/>
      </c>
      <c r="G156" s="122" t="str">
        <f aca="false">IF(F156="", "", F156*D156)</f>
        <v/>
      </c>
      <c r="H156" s="131" t="b">
        <f aca="false">FALSE()</f>
        <v>0</v>
      </c>
      <c r="I156" s="131" t="b">
        <f aca="false">FALSE()</f>
        <v>0</v>
      </c>
      <c r="J156" s="130"/>
      <c r="K156" s="110"/>
      <c r="L156" s="83"/>
      <c r="M156" s="103"/>
      <c r="N156" s="103"/>
      <c r="O156" s="103"/>
      <c r="P156" s="103"/>
      <c r="Q156" s="103"/>
      <c r="R156" s="83"/>
      <c r="S156" s="103"/>
      <c r="T156" s="103"/>
      <c r="U156" s="103"/>
    </row>
    <row r="157" customFormat="false" ht="22.5" hidden="false" customHeight="true" outlineLevel="0" collapsed="false">
      <c r="A157" s="99"/>
      <c r="B157" s="99"/>
      <c r="C157" s="99"/>
      <c r="D157" s="121"/>
      <c r="E157" s="99"/>
      <c r="F157" s="124" t="str">
        <f aca="false">IF(E157="CONTADO", 4%, IF(E157="TARJETA / CHEQUE", 3%, IF(OR(E157="FINANCIADO", E157="MCP"), 2.5%, "")))</f>
        <v/>
      </c>
      <c r="G157" s="121" t="str">
        <f aca="false">IF(F157="", "", F157*D157)</f>
        <v/>
      </c>
      <c r="H157" s="132" t="b">
        <f aca="false">FALSE()</f>
        <v>0</v>
      </c>
      <c r="I157" s="132" t="b">
        <f aca="false">FALSE()</f>
        <v>0</v>
      </c>
      <c r="J157" s="126"/>
      <c r="K157" s="99"/>
      <c r="L157" s="83"/>
      <c r="M157" s="103"/>
      <c r="N157" s="103"/>
      <c r="O157" s="103"/>
      <c r="P157" s="103"/>
      <c r="Q157" s="103"/>
      <c r="R157" s="83"/>
      <c r="S157" s="103"/>
      <c r="T157" s="103"/>
      <c r="U157" s="103"/>
    </row>
    <row r="158" customFormat="false" ht="22.5" hidden="false" customHeight="true" outlineLevel="0" collapsed="false">
      <c r="A158" s="110"/>
      <c r="B158" s="110"/>
      <c r="C158" s="110"/>
      <c r="D158" s="122"/>
      <c r="E158" s="110"/>
      <c r="F158" s="128" t="str">
        <f aca="false">IF(E158="CONTADO", 4%, IF(E158="TARJETA / CHEQUE", 3%, IF(OR(E158="FINANCIADO", E158="MCP"), 2.5%, "")))</f>
        <v/>
      </c>
      <c r="G158" s="122" t="str">
        <f aca="false">IF(F158="", "", F158*D158)</f>
        <v/>
      </c>
      <c r="H158" s="131" t="b">
        <f aca="false">FALSE()</f>
        <v>0</v>
      </c>
      <c r="I158" s="131" t="b">
        <f aca="false">FALSE()</f>
        <v>0</v>
      </c>
      <c r="J158" s="130"/>
      <c r="K158" s="110"/>
      <c r="L158" s="83"/>
      <c r="M158" s="103"/>
      <c r="N158" s="103"/>
      <c r="O158" s="103"/>
      <c r="P158" s="103"/>
      <c r="Q158" s="103"/>
      <c r="R158" s="83"/>
      <c r="S158" s="103"/>
      <c r="T158" s="103"/>
      <c r="U158" s="103"/>
    </row>
    <row r="159" customFormat="false" ht="22.5" hidden="false" customHeight="true" outlineLevel="0" collapsed="false">
      <c r="A159" s="99"/>
      <c r="B159" s="99"/>
      <c r="C159" s="99"/>
      <c r="D159" s="121"/>
      <c r="E159" s="99"/>
      <c r="F159" s="124" t="str">
        <f aca="false">IF(E159="CONTADO", 4%, IF(E159="TARJETA / CHEQUE", 3%, IF(OR(E159="FINANCIADO", E159="MCP"), 2.5%, "")))</f>
        <v/>
      </c>
      <c r="G159" s="121" t="str">
        <f aca="false">IF(F159="", "", F159*D159)</f>
        <v/>
      </c>
      <c r="H159" s="132" t="b">
        <f aca="false">FALSE()</f>
        <v>0</v>
      </c>
      <c r="I159" s="132" t="b">
        <f aca="false">FALSE()</f>
        <v>0</v>
      </c>
      <c r="J159" s="126"/>
      <c r="K159" s="99"/>
      <c r="L159" s="83"/>
      <c r="M159" s="103"/>
      <c r="N159" s="103"/>
      <c r="O159" s="103"/>
      <c r="P159" s="103"/>
      <c r="Q159" s="103"/>
      <c r="R159" s="83"/>
      <c r="S159" s="103"/>
      <c r="T159" s="103"/>
      <c r="U159" s="103"/>
    </row>
    <row r="160" customFormat="false" ht="22.5" hidden="false" customHeight="true" outlineLevel="0" collapsed="false">
      <c r="A160" s="110"/>
      <c r="B160" s="110"/>
      <c r="C160" s="110"/>
      <c r="D160" s="122"/>
      <c r="E160" s="110"/>
      <c r="F160" s="128" t="str">
        <f aca="false">IF(E160="CONTADO", 4%, IF(E160="TARJETA / CHEQUE", 3%, IF(OR(E160="FINANCIADO", E160="MCP"), 2.5%, "")))</f>
        <v/>
      </c>
      <c r="G160" s="122" t="str">
        <f aca="false">IF(F160="", "", F160*D160)</f>
        <v/>
      </c>
      <c r="H160" s="131" t="b">
        <f aca="false">FALSE()</f>
        <v>0</v>
      </c>
      <c r="I160" s="131" t="b">
        <f aca="false">FALSE()</f>
        <v>0</v>
      </c>
      <c r="J160" s="130"/>
      <c r="K160" s="110"/>
      <c r="L160" s="83"/>
      <c r="M160" s="103"/>
      <c r="N160" s="103"/>
      <c r="O160" s="103"/>
      <c r="P160" s="103"/>
      <c r="Q160" s="103"/>
      <c r="R160" s="83"/>
      <c r="S160" s="103"/>
      <c r="T160" s="103"/>
      <c r="U160" s="103"/>
    </row>
    <row r="161" customFormat="false" ht="22.5" hidden="false" customHeight="true" outlineLevel="0" collapsed="false">
      <c r="A161" s="99"/>
      <c r="B161" s="99"/>
      <c r="C161" s="99"/>
      <c r="D161" s="121"/>
      <c r="E161" s="99"/>
      <c r="F161" s="124" t="str">
        <f aca="false">IF(E161="CONTADO", 4%, IF(E161="TARJETA / CHEQUE", 3%, IF(OR(E161="FINANCIADO", E161="MCP"), 2.5%, "")))</f>
        <v/>
      </c>
      <c r="G161" s="121" t="str">
        <f aca="false">IF(F161="", "", F161*D161)</f>
        <v/>
      </c>
      <c r="H161" s="132" t="b">
        <f aca="false">FALSE()</f>
        <v>0</v>
      </c>
      <c r="I161" s="132" t="b">
        <f aca="false">FALSE()</f>
        <v>0</v>
      </c>
      <c r="J161" s="126"/>
      <c r="K161" s="99"/>
      <c r="L161" s="83"/>
      <c r="M161" s="103"/>
      <c r="N161" s="103"/>
      <c r="O161" s="103"/>
      <c r="P161" s="103"/>
      <c r="Q161" s="103"/>
      <c r="R161" s="83"/>
      <c r="S161" s="103"/>
      <c r="T161" s="103"/>
      <c r="U161" s="103"/>
    </row>
    <row r="162" customFormat="false" ht="22.5" hidden="false" customHeight="true" outlineLevel="0" collapsed="false">
      <c r="A162" s="110"/>
      <c r="B162" s="110"/>
      <c r="C162" s="110"/>
      <c r="D162" s="122"/>
      <c r="E162" s="110"/>
      <c r="F162" s="128" t="str">
        <f aca="false">IF(E162="CONTADO", 4%, IF(E162="TARJETA / CHEQUE", 3%, IF(OR(E162="FINANCIADO", E162="MCP"), 2.5%, "")))</f>
        <v/>
      </c>
      <c r="G162" s="122" t="str">
        <f aca="false">IF(F162="", "", F162*D162)</f>
        <v/>
      </c>
      <c r="H162" s="131" t="b">
        <f aca="false">FALSE()</f>
        <v>0</v>
      </c>
      <c r="I162" s="131" t="b">
        <f aca="false">FALSE()</f>
        <v>0</v>
      </c>
      <c r="J162" s="130"/>
      <c r="K162" s="110"/>
      <c r="L162" s="83"/>
      <c r="M162" s="103"/>
      <c r="N162" s="103"/>
      <c r="O162" s="103"/>
      <c r="P162" s="103"/>
      <c r="Q162" s="103"/>
      <c r="R162" s="83"/>
      <c r="S162" s="103"/>
      <c r="T162" s="103"/>
      <c r="U162" s="103"/>
    </row>
    <row r="163" customFormat="false" ht="22.5" hidden="false" customHeight="true" outlineLevel="0" collapsed="false">
      <c r="A163" s="99"/>
      <c r="B163" s="99"/>
      <c r="C163" s="99"/>
      <c r="D163" s="121"/>
      <c r="E163" s="99"/>
      <c r="F163" s="124" t="str">
        <f aca="false">IF(E163="CONTADO", 4%, IF(E163="TARJETA / CHEQUE", 3%, IF(OR(E163="FINANCIADO", E163="MCP"), 2.5%, "")))</f>
        <v/>
      </c>
      <c r="G163" s="121" t="str">
        <f aca="false">IF(F163="", "", F163*D163)</f>
        <v/>
      </c>
      <c r="H163" s="132" t="b">
        <f aca="false">FALSE()</f>
        <v>0</v>
      </c>
      <c r="I163" s="132" t="b">
        <f aca="false">FALSE()</f>
        <v>0</v>
      </c>
      <c r="J163" s="126"/>
      <c r="K163" s="99"/>
      <c r="L163" s="83"/>
      <c r="M163" s="103"/>
      <c r="N163" s="103"/>
      <c r="O163" s="103"/>
      <c r="P163" s="103"/>
      <c r="Q163" s="103"/>
      <c r="R163" s="83"/>
      <c r="S163" s="103"/>
      <c r="T163" s="103"/>
      <c r="U163" s="103"/>
    </row>
    <row r="164" customFormat="false" ht="22.5" hidden="false" customHeight="true" outlineLevel="0" collapsed="false">
      <c r="A164" s="110"/>
      <c r="B164" s="110"/>
      <c r="C164" s="110"/>
      <c r="D164" s="122"/>
      <c r="E164" s="110"/>
      <c r="F164" s="128" t="str">
        <f aca="false">IF(E164="CONTADO", 4%, IF(E164="TARJETA / CHEQUE", 3%, IF(OR(E164="FINANCIADO", E164="MCP"), 2.5%, "")))</f>
        <v/>
      </c>
      <c r="G164" s="122" t="str">
        <f aca="false">IF(F164="", "", F164*D164)</f>
        <v/>
      </c>
      <c r="H164" s="131" t="b">
        <f aca="false">FALSE()</f>
        <v>0</v>
      </c>
      <c r="I164" s="131" t="b">
        <f aca="false">FALSE()</f>
        <v>0</v>
      </c>
      <c r="J164" s="130"/>
      <c r="K164" s="110"/>
      <c r="L164" s="83"/>
      <c r="M164" s="103"/>
      <c r="N164" s="103"/>
      <c r="O164" s="103"/>
      <c r="P164" s="103"/>
      <c r="Q164" s="103"/>
      <c r="R164" s="83"/>
      <c r="S164" s="103"/>
      <c r="T164" s="103"/>
      <c r="U164" s="103"/>
    </row>
    <row r="165" customFormat="false" ht="22.5" hidden="false" customHeight="true" outlineLevel="0" collapsed="false">
      <c r="A165" s="99"/>
      <c r="B165" s="99"/>
      <c r="C165" s="99"/>
      <c r="D165" s="121"/>
      <c r="E165" s="99"/>
      <c r="F165" s="124" t="str">
        <f aca="false">IF(E165="CONTADO", 4%, IF(E165="TARJETA / CHEQUE", 3%, IF(OR(E165="FINANCIADO", E165="MCP"), 2.5%, "")))</f>
        <v/>
      </c>
      <c r="G165" s="121" t="str">
        <f aca="false">IF(F165="", "", F165*D165)</f>
        <v/>
      </c>
      <c r="H165" s="132" t="b">
        <f aca="false">FALSE()</f>
        <v>0</v>
      </c>
      <c r="I165" s="132" t="b">
        <f aca="false">FALSE()</f>
        <v>0</v>
      </c>
      <c r="J165" s="126"/>
      <c r="K165" s="99"/>
      <c r="L165" s="83"/>
      <c r="M165" s="103"/>
      <c r="N165" s="103"/>
      <c r="O165" s="103"/>
      <c r="P165" s="103"/>
      <c r="Q165" s="103"/>
      <c r="R165" s="83"/>
      <c r="S165" s="103"/>
      <c r="T165" s="103"/>
      <c r="U165" s="103"/>
    </row>
    <row r="166" customFormat="false" ht="22.5" hidden="false" customHeight="true" outlineLevel="0" collapsed="false">
      <c r="A166" s="110"/>
      <c r="B166" s="110"/>
      <c r="C166" s="110"/>
      <c r="D166" s="122"/>
      <c r="E166" s="110"/>
      <c r="F166" s="128" t="str">
        <f aca="false">IF(E166="CONTADO", 4%, IF(E166="TARJETA / CHEQUE", 3%, IF(OR(E166="FINANCIADO", E166="MCP"), 2.5%, "")))</f>
        <v/>
      </c>
      <c r="G166" s="122" t="str">
        <f aca="false">IF(F166="", "", F166*D166)</f>
        <v/>
      </c>
      <c r="H166" s="131" t="b">
        <f aca="false">FALSE()</f>
        <v>0</v>
      </c>
      <c r="I166" s="131" t="b">
        <f aca="false">FALSE()</f>
        <v>0</v>
      </c>
      <c r="J166" s="130"/>
      <c r="K166" s="110"/>
      <c r="L166" s="83"/>
      <c r="M166" s="103"/>
      <c r="N166" s="103"/>
      <c r="O166" s="103"/>
      <c r="P166" s="103"/>
      <c r="Q166" s="103"/>
      <c r="R166" s="83"/>
      <c r="S166" s="103"/>
      <c r="T166" s="103"/>
      <c r="U166" s="103"/>
    </row>
    <row r="167" customFormat="false" ht="22.5" hidden="false" customHeight="true" outlineLevel="0" collapsed="false">
      <c r="A167" s="99"/>
      <c r="B167" s="99"/>
      <c r="C167" s="99"/>
      <c r="D167" s="121"/>
      <c r="E167" s="99"/>
      <c r="F167" s="124" t="str">
        <f aca="false">IF(E167="CONTADO", 4%, IF(E167="TARJETA / CHEQUE", 3%, IF(OR(E167="FINANCIADO", E167="MCP"), 2.5%, "")))</f>
        <v/>
      </c>
      <c r="G167" s="121" t="str">
        <f aca="false">IF(F167="", "", F167*D167)</f>
        <v/>
      </c>
      <c r="H167" s="132" t="b">
        <f aca="false">FALSE()</f>
        <v>0</v>
      </c>
      <c r="I167" s="132" t="b">
        <f aca="false">FALSE()</f>
        <v>0</v>
      </c>
      <c r="J167" s="126"/>
      <c r="K167" s="99"/>
      <c r="L167" s="83"/>
      <c r="M167" s="103"/>
      <c r="N167" s="103"/>
      <c r="O167" s="103"/>
      <c r="P167" s="103"/>
      <c r="Q167" s="103"/>
      <c r="R167" s="83"/>
      <c r="S167" s="103"/>
      <c r="T167" s="103"/>
      <c r="U167" s="103"/>
    </row>
    <row r="168" customFormat="false" ht="22.5" hidden="false" customHeight="true" outlineLevel="0" collapsed="false">
      <c r="A168" s="110"/>
      <c r="B168" s="110"/>
      <c r="C168" s="110"/>
      <c r="D168" s="122"/>
      <c r="E168" s="110"/>
      <c r="F168" s="128" t="str">
        <f aca="false">IF(E168="CONTADO", 4%, IF(E168="TARJETA / CHEQUE", 3%, IF(OR(E168="FINANCIADO", E168="MCP"), 2.5%, "")))</f>
        <v/>
      </c>
      <c r="G168" s="122" t="str">
        <f aca="false">IF(F168="", "", F168*D168)</f>
        <v/>
      </c>
      <c r="H168" s="131" t="b">
        <f aca="false">FALSE()</f>
        <v>0</v>
      </c>
      <c r="I168" s="131" t="b">
        <f aca="false">FALSE()</f>
        <v>0</v>
      </c>
      <c r="J168" s="130"/>
      <c r="K168" s="110"/>
      <c r="L168" s="83"/>
      <c r="M168" s="103"/>
      <c r="N168" s="103"/>
      <c r="O168" s="103"/>
      <c r="P168" s="103"/>
      <c r="Q168" s="103"/>
      <c r="R168" s="83"/>
      <c r="S168" s="103"/>
      <c r="T168" s="103"/>
      <c r="U168" s="103"/>
    </row>
    <row r="169" customFormat="false" ht="22.5" hidden="false" customHeight="true" outlineLevel="0" collapsed="false">
      <c r="A169" s="99"/>
      <c r="B169" s="99"/>
      <c r="C169" s="99"/>
      <c r="D169" s="121"/>
      <c r="E169" s="99"/>
      <c r="F169" s="124" t="str">
        <f aca="false">IF(E169="CONTADO", 4%, IF(E169="TARJETA / CHEQUE", 3%, IF(OR(E169="FINANCIADO", E169="MCP"), 2.5%, "")))</f>
        <v/>
      </c>
      <c r="G169" s="121" t="str">
        <f aca="false">IF(F169="", "", F169*D169)</f>
        <v/>
      </c>
      <c r="H169" s="132" t="b">
        <f aca="false">FALSE()</f>
        <v>0</v>
      </c>
      <c r="I169" s="132" t="b">
        <f aca="false">FALSE()</f>
        <v>0</v>
      </c>
      <c r="J169" s="126"/>
      <c r="K169" s="99"/>
      <c r="L169" s="83"/>
      <c r="M169" s="103"/>
      <c r="N169" s="103"/>
      <c r="O169" s="103"/>
      <c r="P169" s="103"/>
      <c r="Q169" s="103"/>
      <c r="R169" s="83"/>
      <c r="S169" s="103"/>
      <c r="T169" s="103"/>
      <c r="U169" s="103"/>
    </row>
    <row r="170" customFormat="false" ht="22.5" hidden="false" customHeight="true" outlineLevel="0" collapsed="false">
      <c r="A170" s="110"/>
      <c r="B170" s="110"/>
      <c r="C170" s="110"/>
      <c r="D170" s="122"/>
      <c r="E170" s="110"/>
      <c r="F170" s="128" t="str">
        <f aca="false">IF(E170="CONTADO", 4%, IF(E170="TARJETA / CHEQUE", 3%, IF(OR(E170="FINANCIADO", E170="MCP"), 2.5%, "")))</f>
        <v/>
      </c>
      <c r="G170" s="122" t="str">
        <f aca="false">IF(F170="", "", F170*D170)</f>
        <v/>
      </c>
      <c r="H170" s="131" t="b">
        <f aca="false">FALSE()</f>
        <v>0</v>
      </c>
      <c r="I170" s="131" t="b">
        <f aca="false">FALSE()</f>
        <v>0</v>
      </c>
      <c r="J170" s="130"/>
      <c r="K170" s="110"/>
      <c r="L170" s="83"/>
      <c r="M170" s="103"/>
      <c r="N170" s="103"/>
      <c r="O170" s="103"/>
      <c r="P170" s="103"/>
      <c r="Q170" s="103"/>
      <c r="R170" s="83"/>
      <c r="S170" s="103"/>
      <c r="T170" s="103"/>
      <c r="U170" s="103"/>
    </row>
    <row r="171" customFormat="false" ht="22.5" hidden="false" customHeight="true" outlineLevel="0" collapsed="false">
      <c r="A171" s="99"/>
      <c r="B171" s="99"/>
      <c r="C171" s="99"/>
      <c r="D171" s="121"/>
      <c r="E171" s="99"/>
      <c r="F171" s="124" t="str">
        <f aca="false">IF(E171="CONTADO", 4%, IF(E171="TARJETA / CHEQUE", 3%, IF(OR(E171="FINANCIADO", E171="MCP"), 2.5%, "")))</f>
        <v/>
      </c>
      <c r="G171" s="121" t="str">
        <f aca="false">IF(F171="", "", F171*D171)</f>
        <v/>
      </c>
      <c r="H171" s="132" t="b">
        <f aca="false">FALSE()</f>
        <v>0</v>
      </c>
      <c r="I171" s="132" t="b">
        <f aca="false">FALSE()</f>
        <v>0</v>
      </c>
      <c r="J171" s="126"/>
      <c r="K171" s="99"/>
      <c r="L171" s="83"/>
      <c r="M171" s="103"/>
      <c r="N171" s="103"/>
      <c r="O171" s="103"/>
      <c r="P171" s="103"/>
      <c r="Q171" s="103"/>
      <c r="R171" s="83"/>
      <c r="S171" s="103"/>
      <c r="T171" s="103"/>
      <c r="U171" s="103"/>
    </row>
    <row r="172" customFormat="false" ht="22.5" hidden="false" customHeight="true" outlineLevel="0" collapsed="false">
      <c r="A172" s="110"/>
      <c r="B172" s="110"/>
      <c r="C172" s="110"/>
      <c r="D172" s="122"/>
      <c r="E172" s="110"/>
      <c r="F172" s="128" t="str">
        <f aca="false">IF(E172="CONTADO", 4%, IF(E172="TARJETA / CHEQUE", 3%, IF(OR(E172="FINANCIADO", E172="MCP"), 2.5%, "")))</f>
        <v/>
      </c>
      <c r="G172" s="122" t="str">
        <f aca="false">IF(F172="", "", F172*D172)</f>
        <v/>
      </c>
      <c r="H172" s="131" t="b">
        <f aca="false">FALSE()</f>
        <v>0</v>
      </c>
      <c r="I172" s="131" t="b">
        <f aca="false">FALSE()</f>
        <v>0</v>
      </c>
      <c r="J172" s="130"/>
      <c r="K172" s="110"/>
      <c r="L172" s="83"/>
      <c r="M172" s="103"/>
      <c r="N172" s="103"/>
      <c r="O172" s="103"/>
      <c r="P172" s="103"/>
      <c r="Q172" s="103"/>
      <c r="R172" s="83"/>
      <c r="S172" s="103"/>
      <c r="T172" s="103"/>
      <c r="U172" s="103"/>
    </row>
    <row r="173" customFormat="false" ht="22.5" hidden="false" customHeight="true" outlineLevel="0" collapsed="false">
      <c r="A173" s="99"/>
      <c r="B173" s="99"/>
      <c r="C173" s="99"/>
      <c r="D173" s="121"/>
      <c r="E173" s="99"/>
      <c r="F173" s="124" t="str">
        <f aca="false">IF(E173="CONTADO", 4%, IF(E173="TARJETA / CHEQUE", 3%, IF(OR(E173="FINANCIADO", E173="MCP"), 2.5%, "")))</f>
        <v/>
      </c>
      <c r="G173" s="121" t="str">
        <f aca="false">IF(F173="", "", F173*D173)</f>
        <v/>
      </c>
      <c r="H173" s="132" t="b">
        <f aca="false">FALSE()</f>
        <v>0</v>
      </c>
      <c r="I173" s="132" t="b">
        <f aca="false">FALSE()</f>
        <v>0</v>
      </c>
      <c r="J173" s="126"/>
      <c r="K173" s="99"/>
      <c r="L173" s="83"/>
      <c r="M173" s="103"/>
      <c r="N173" s="103"/>
      <c r="O173" s="103"/>
      <c r="P173" s="103"/>
      <c r="Q173" s="103"/>
      <c r="R173" s="83"/>
      <c r="S173" s="103"/>
      <c r="T173" s="103"/>
      <c r="U173" s="103"/>
    </row>
    <row r="174" customFormat="false" ht="22.5" hidden="false" customHeight="true" outlineLevel="0" collapsed="false">
      <c r="A174" s="110"/>
      <c r="B174" s="110"/>
      <c r="C174" s="110"/>
      <c r="D174" s="122"/>
      <c r="E174" s="110"/>
      <c r="F174" s="128" t="str">
        <f aca="false">IF(E174="CONTADO", 4%, IF(E174="TARJETA / CHEQUE", 3%, IF(OR(E174="FINANCIADO", E174="MCP"), 2.5%, "")))</f>
        <v/>
      </c>
      <c r="G174" s="122" t="str">
        <f aca="false">IF(F174="", "", F174*D174)</f>
        <v/>
      </c>
      <c r="H174" s="131" t="b">
        <f aca="false">FALSE()</f>
        <v>0</v>
      </c>
      <c r="I174" s="131" t="b">
        <f aca="false">FALSE()</f>
        <v>0</v>
      </c>
      <c r="J174" s="130"/>
      <c r="K174" s="110"/>
      <c r="L174" s="83"/>
      <c r="M174" s="103"/>
      <c r="N174" s="103"/>
      <c r="O174" s="103"/>
      <c r="P174" s="103"/>
      <c r="Q174" s="103"/>
      <c r="R174" s="83"/>
      <c r="S174" s="103"/>
      <c r="T174" s="103"/>
      <c r="U174" s="103"/>
    </row>
    <row r="175" customFormat="false" ht="22.5" hidden="false" customHeight="true" outlineLevel="0" collapsed="false">
      <c r="A175" s="99"/>
      <c r="B175" s="99"/>
      <c r="C175" s="99"/>
      <c r="D175" s="121"/>
      <c r="E175" s="99"/>
      <c r="F175" s="124" t="str">
        <f aca="false">IF(E175="CONTADO", 4%, IF(E175="TARJETA / CHEQUE", 3%, IF(OR(E175="FINANCIADO", E175="MCP"), 2.5%, "")))</f>
        <v/>
      </c>
      <c r="G175" s="121" t="str">
        <f aca="false">IF(F175="", "", F175*D175)</f>
        <v/>
      </c>
      <c r="H175" s="132" t="b">
        <f aca="false">FALSE()</f>
        <v>0</v>
      </c>
      <c r="I175" s="132" t="b">
        <f aca="false">FALSE()</f>
        <v>0</v>
      </c>
      <c r="J175" s="126"/>
      <c r="K175" s="99"/>
      <c r="L175" s="83"/>
      <c r="M175" s="103"/>
      <c r="N175" s="103"/>
      <c r="O175" s="103"/>
      <c r="P175" s="103"/>
      <c r="Q175" s="103"/>
      <c r="R175" s="83"/>
      <c r="S175" s="103"/>
      <c r="T175" s="103"/>
      <c r="U175" s="103"/>
    </row>
    <row r="176" customFormat="false" ht="22.5" hidden="false" customHeight="true" outlineLevel="0" collapsed="false">
      <c r="A176" s="110"/>
      <c r="B176" s="110"/>
      <c r="C176" s="110"/>
      <c r="D176" s="122"/>
      <c r="E176" s="110"/>
      <c r="F176" s="128" t="str">
        <f aca="false">IF(E176="CONTADO", 4%, IF(E176="TARJETA / CHEQUE", 3%, IF(OR(E176="FINANCIADO", E176="MCP"), 2.5%, "")))</f>
        <v/>
      </c>
      <c r="G176" s="122" t="str">
        <f aca="false">IF(F176="", "", F176*D176)</f>
        <v/>
      </c>
      <c r="H176" s="131" t="b">
        <f aca="false">FALSE()</f>
        <v>0</v>
      </c>
      <c r="I176" s="131" t="b">
        <f aca="false">FALSE()</f>
        <v>0</v>
      </c>
      <c r="J176" s="130"/>
      <c r="K176" s="110"/>
      <c r="L176" s="83"/>
      <c r="M176" s="103"/>
      <c r="N176" s="103"/>
      <c r="O176" s="103"/>
      <c r="P176" s="103"/>
      <c r="Q176" s="103"/>
      <c r="R176" s="83"/>
      <c r="S176" s="103"/>
      <c r="T176" s="103"/>
      <c r="U176" s="103"/>
    </row>
    <row r="177" customFormat="false" ht="22.5" hidden="false" customHeight="true" outlineLevel="0" collapsed="false">
      <c r="A177" s="99"/>
      <c r="B177" s="99"/>
      <c r="C177" s="99"/>
      <c r="D177" s="121"/>
      <c r="E177" s="99"/>
      <c r="F177" s="124" t="str">
        <f aca="false">IF(E177="CONTADO", 4%, IF(E177="TARJETA / CHEQUE", 3%, IF(OR(E177="FINANCIADO", E177="MCP"), 2.5%, "")))</f>
        <v/>
      </c>
      <c r="G177" s="121" t="str">
        <f aca="false">IF(F177="", "", F177*D177)</f>
        <v/>
      </c>
      <c r="H177" s="132" t="b">
        <f aca="false">FALSE()</f>
        <v>0</v>
      </c>
      <c r="I177" s="132" t="b">
        <f aca="false">FALSE()</f>
        <v>0</v>
      </c>
      <c r="J177" s="126"/>
      <c r="K177" s="99"/>
      <c r="L177" s="83"/>
      <c r="M177" s="103"/>
      <c r="N177" s="103"/>
      <c r="O177" s="103"/>
      <c r="P177" s="103"/>
      <c r="Q177" s="103"/>
      <c r="R177" s="83"/>
      <c r="S177" s="103"/>
      <c r="T177" s="103"/>
      <c r="U177" s="103"/>
    </row>
    <row r="178" customFormat="false" ht="22.5" hidden="false" customHeight="true" outlineLevel="0" collapsed="false">
      <c r="A178" s="110"/>
      <c r="B178" s="110"/>
      <c r="C178" s="110"/>
      <c r="D178" s="122"/>
      <c r="E178" s="110"/>
      <c r="F178" s="128" t="str">
        <f aca="false">IF(E178="CONTADO", 4%, IF(E178="TARJETA / CHEQUE", 3%, IF(OR(E178="FINANCIADO", E178="MCP"), 2.5%, "")))</f>
        <v/>
      </c>
      <c r="G178" s="122" t="str">
        <f aca="false">IF(F178="", "", F178*D178)</f>
        <v/>
      </c>
      <c r="H178" s="131" t="b">
        <f aca="false">FALSE()</f>
        <v>0</v>
      </c>
      <c r="I178" s="131" t="b">
        <f aca="false">FALSE()</f>
        <v>0</v>
      </c>
      <c r="J178" s="130"/>
      <c r="K178" s="110"/>
      <c r="L178" s="83"/>
      <c r="M178" s="103"/>
      <c r="N178" s="103"/>
      <c r="O178" s="103"/>
      <c r="P178" s="103"/>
      <c r="Q178" s="103"/>
      <c r="R178" s="83"/>
      <c r="S178" s="103"/>
      <c r="T178" s="103"/>
      <c r="U178" s="103"/>
    </row>
    <row r="179" customFormat="false" ht="22.5" hidden="false" customHeight="true" outlineLevel="0" collapsed="false">
      <c r="A179" s="99"/>
      <c r="B179" s="99"/>
      <c r="C179" s="99"/>
      <c r="D179" s="121"/>
      <c r="E179" s="99"/>
      <c r="F179" s="124" t="str">
        <f aca="false">IF(E179="CONTADO", 4%, IF(E179="TARJETA / CHEQUE", 3%, IF(OR(E179="FINANCIADO", E179="MCP"), 2.5%, "")))</f>
        <v/>
      </c>
      <c r="G179" s="121" t="str">
        <f aca="false">IF(F179="", "", F179*D179)</f>
        <v/>
      </c>
      <c r="H179" s="132" t="b">
        <f aca="false">FALSE()</f>
        <v>0</v>
      </c>
      <c r="I179" s="132" t="b">
        <f aca="false">FALSE()</f>
        <v>0</v>
      </c>
      <c r="J179" s="126"/>
      <c r="K179" s="99"/>
      <c r="L179" s="83"/>
      <c r="M179" s="103"/>
      <c r="N179" s="103"/>
      <c r="O179" s="103"/>
      <c r="P179" s="103"/>
      <c r="Q179" s="103"/>
      <c r="R179" s="83"/>
      <c r="S179" s="103"/>
      <c r="T179" s="103"/>
      <c r="U179" s="103"/>
    </row>
    <row r="180" customFormat="false" ht="22.5" hidden="false" customHeight="true" outlineLevel="0" collapsed="false">
      <c r="A180" s="110"/>
      <c r="B180" s="110"/>
      <c r="C180" s="110"/>
      <c r="D180" s="122"/>
      <c r="E180" s="110"/>
      <c r="F180" s="128" t="str">
        <f aca="false">IF(E180="CONTADO", 4%, IF(E180="TARJETA / CHEQUE", 3%, IF(OR(E180="FINANCIADO", E180="MCP"), 2.5%, "")))</f>
        <v/>
      </c>
      <c r="G180" s="122" t="str">
        <f aca="false">IF(F180="", "", F180*D180)</f>
        <v/>
      </c>
      <c r="H180" s="131" t="b">
        <f aca="false">FALSE()</f>
        <v>0</v>
      </c>
      <c r="I180" s="131" t="b">
        <f aca="false">FALSE()</f>
        <v>0</v>
      </c>
      <c r="J180" s="130"/>
      <c r="K180" s="110"/>
      <c r="L180" s="83"/>
      <c r="M180" s="103"/>
      <c r="N180" s="103"/>
      <c r="O180" s="103"/>
      <c r="P180" s="103"/>
      <c r="Q180" s="103"/>
      <c r="R180" s="83"/>
      <c r="S180" s="103"/>
      <c r="T180" s="103"/>
      <c r="U180" s="103"/>
    </row>
    <row r="181" customFormat="false" ht="22.5" hidden="false" customHeight="true" outlineLevel="0" collapsed="false">
      <c r="A181" s="99"/>
      <c r="B181" s="99"/>
      <c r="C181" s="99"/>
      <c r="D181" s="121"/>
      <c r="E181" s="99"/>
      <c r="F181" s="124" t="str">
        <f aca="false">IF(E181="CONTADO", 4%, IF(E181="TARJETA / CHEQUE", 3%, IF(OR(E181="FINANCIADO", E181="MCP"), 2.5%, "")))</f>
        <v/>
      </c>
      <c r="G181" s="121" t="str">
        <f aca="false">IF(F181="", "", F181*D181)</f>
        <v/>
      </c>
      <c r="H181" s="132" t="b">
        <f aca="false">FALSE()</f>
        <v>0</v>
      </c>
      <c r="I181" s="132" t="b">
        <f aca="false">FALSE()</f>
        <v>0</v>
      </c>
      <c r="J181" s="126"/>
      <c r="K181" s="99"/>
      <c r="L181" s="83"/>
      <c r="M181" s="103"/>
      <c r="N181" s="103"/>
      <c r="O181" s="103"/>
      <c r="P181" s="103"/>
      <c r="Q181" s="103"/>
      <c r="R181" s="83"/>
      <c r="S181" s="103"/>
      <c r="T181" s="103"/>
      <c r="U181" s="103"/>
    </row>
    <row r="182" customFormat="false" ht="22.5" hidden="false" customHeight="true" outlineLevel="0" collapsed="false">
      <c r="A182" s="110"/>
      <c r="B182" s="110"/>
      <c r="C182" s="110"/>
      <c r="D182" s="122"/>
      <c r="E182" s="110"/>
      <c r="F182" s="128" t="str">
        <f aca="false">IF(E182="CONTADO", 4%, IF(E182="TARJETA / CHEQUE", 3%, IF(OR(E182="FINANCIADO", E182="MCP"), 2.5%, "")))</f>
        <v/>
      </c>
      <c r="G182" s="122" t="str">
        <f aca="false">IF(F182="", "", F182*D182)</f>
        <v/>
      </c>
      <c r="H182" s="131" t="b">
        <f aca="false">FALSE()</f>
        <v>0</v>
      </c>
      <c r="I182" s="131" t="b">
        <f aca="false">FALSE()</f>
        <v>0</v>
      </c>
      <c r="J182" s="130"/>
      <c r="K182" s="110"/>
      <c r="L182" s="83"/>
      <c r="M182" s="103"/>
      <c r="N182" s="103"/>
      <c r="O182" s="103"/>
      <c r="P182" s="103"/>
      <c r="Q182" s="103"/>
      <c r="R182" s="83"/>
      <c r="S182" s="103"/>
      <c r="T182" s="103"/>
      <c r="U182" s="103"/>
    </row>
    <row r="183" customFormat="false" ht="22.5" hidden="false" customHeight="true" outlineLevel="0" collapsed="false">
      <c r="A183" s="99"/>
      <c r="B183" s="99"/>
      <c r="C183" s="99"/>
      <c r="D183" s="121"/>
      <c r="E183" s="99"/>
      <c r="F183" s="124" t="str">
        <f aca="false">IF(E183="CONTADO", 4%, IF(E183="TARJETA / CHEQUE", 3%, IF(OR(E183="FINANCIADO", E183="MCP"), 2.5%, "")))</f>
        <v/>
      </c>
      <c r="G183" s="121" t="str">
        <f aca="false">IF(F183="", "", F183*D183)</f>
        <v/>
      </c>
      <c r="H183" s="132" t="b">
        <f aca="false">FALSE()</f>
        <v>0</v>
      </c>
      <c r="I183" s="132" t="b">
        <f aca="false">FALSE()</f>
        <v>0</v>
      </c>
      <c r="J183" s="126"/>
      <c r="K183" s="99"/>
      <c r="L183" s="83"/>
      <c r="M183" s="103"/>
      <c r="N183" s="103"/>
      <c r="O183" s="103"/>
      <c r="P183" s="103"/>
      <c r="Q183" s="103"/>
      <c r="R183" s="83"/>
      <c r="S183" s="103"/>
      <c r="T183" s="103"/>
      <c r="U183" s="103"/>
    </row>
    <row r="184" customFormat="false" ht="22.5" hidden="false" customHeight="true" outlineLevel="0" collapsed="false">
      <c r="A184" s="110"/>
      <c r="B184" s="110"/>
      <c r="C184" s="110"/>
      <c r="D184" s="122"/>
      <c r="E184" s="110"/>
      <c r="F184" s="128" t="str">
        <f aca="false">IF(E184="CONTADO", 4%, IF(E184="TARJETA / CHEQUE", 3%, IF(OR(E184="FINANCIADO", E184="MCP"), 2.5%, "")))</f>
        <v/>
      </c>
      <c r="G184" s="122" t="str">
        <f aca="false">IF(F184="", "", F184*D184)</f>
        <v/>
      </c>
      <c r="H184" s="131" t="b">
        <f aca="false">FALSE()</f>
        <v>0</v>
      </c>
      <c r="I184" s="131" t="b">
        <f aca="false">FALSE()</f>
        <v>0</v>
      </c>
      <c r="J184" s="130"/>
      <c r="K184" s="110"/>
      <c r="L184" s="83"/>
      <c r="M184" s="103"/>
      <c r="N184" s="103"/>
      <c r="O184" s="103"/>
      <c r="P184" s="103"/>
      <c r="Q184" s="103"/>
      <c r="R184" s="83"/>
      <c r="S184" s="103"/>
      <c r="T184" s="103"/>
      <c r="U184" s="103"/>
    </row>
    <row r="185" customFormat="false" ht="22.5" hidden="false" customHeight="true" outlineLevel="0" collapsed="false">
      <c r="A185" s="99"/>
      <c r="B185" s="99"/>
      <c r="C185" s="99"/>
      <c r="D185" s="121"/>
      <c r="E185" s="99"/>
      <c r="F185" s="124" t="str">
        <f aca="false">IF(E185="CONTADO", 4%, IF(E185="TARJETA / CHEQUE", 3%, IF(OR(E185="FINANCIADO", E185="MCP"), 2.5%, "")))</f>
        <v/>
      </c>
      <c r="G185" s="121" t="str">
        <f aca="false">IF(F185="", "", F185*D185)</f>
        <v/>
      </c>
      <c r="H185" s="132" t="b">
        <f aca="false">FALSE()</f>
        <v>0</v>
      </c>
      <c r="I185" s="132" t="b">
        <f aca="false">FALSE()</f>
        <v>0</v>
      </c>
      <c r="J185" s="126"/>
      <c r="K185" s="99"/>
      <c r="L185" s="83"/>
      <c r="M185" s="103"/>
      <c r="N185" s="103"/>
      <c r="O185" s="103"/>
      <c r="P185" s="103"/>
      <c r="Q185" s="103"/>
      <c r="R185" s="83"/>
      <c r="S185" s="103"/>
      <c r="T185" s="103"/>
      <c r="U185" s="103"/>
    </row>
    <row r="186" customFormat="false" ht="22.5" hidden="false" customHeight="true" outlineLevel="0" collapsed="false">
      <c r="A186" s="110"/>
      <c r="B186" s="110"/>
      <c r="C186" s="110"/>
      <c r="D186" s="122"/>
      <c r="E186" s="110"/>
      <c r="F186" s="128" t="str">
        <f aca="false">IF(E186="CONTADO", 4%, IF(E186="TARJETA / CHEQUE", 3%, IF(OR(E186="FINANCIADO", E186="MCP"), 2.5%, "")))</f>
        <v/>
      </c>
      <c r="G186" s="122" t="str">
        <f aca="false">IF(F186="", "", F186*D186)</f>
        <v/>
      </c>
      <c r="H186" s="131" t="b">
        <f aca="false">FALSE()</f>
        <v>0</v>
      </c>
      <c r="I186" s="131" t="b">
        <f aca="false">FALSE()</f>
        <v>0</v>
      </c>
      <c r="J186" s="130"/>
      <c r="K186" s="110"/>
      <c r="L186" s="83"/>
      <c r="M186" s="103"/>
      <c r="N186" s="103"/>
      <c r="O186" s="103"/>
      <c r="P186" s="103"/>
      <c r="Q186" s="103"/>
      <c r="R186" s="83"/>
      <c r="S186" s="103"/>
      <c r="T186" s="103"/>
      <c r="U186" s="103"/>
    </row>
    <row r="187" customFormat="false" ht="22.5" hidden="false" customHeight="true" outlineLevel="0" collapsed="false">
      <c r="A187" s="99"/>
      <c r="B187" s="99"/>
      <c r="C187" s="99"/>
      <c r="D187" s="121"/>
      <c r="E187" s="99"/>
      <c r="F187" s="124" t="str">
        <f aca="false">IF(E187="CONTADO", 4%, IF(E187="TARJETA / CHEQUE", 3%, IF(OR(E187="FINANCIADO", E187="MCP"), 2.5%, "")))</f>
        <v/>
      </c>
      <c r="G187" s="121" t="str">
        <f aca="false">IF(F187="", "", F187*D187)</f>
        <v/>
      </c>
      <c r="H187" s="132" t="b">
        <f aca="false">FALSE()</f>
        <v>0</v>
      </c>
      <c r="I187" s="132" t="b">
        <f aca="false">FALSE()</f>
        <v>0</v>
      </c>
      <c r="J187" s="126"/>
      <c r="K187" s="99"/>
      <c r="L187" s="83"/>
      <c r="M187" s="103"/>
      <c r="N187" s="103"/>
      <c r="O187" s="103"/>
      <c r="P187" s="103"/>
      <c r="Q187" s="103"/>
      <c r="R187" s="83"/>
      <c r="S187" s="103"/>
      <c r="T187" s="103"/>
      <c r="U187" s="103"/>
    </row>
    <row r="188" customFormat="false" ht="22.5" hidden="false" customHeight="true" outlineLevel="0" collapsed="false">
      <c r="A188" s="110"/>
      <c r="B188" s="110"/>
      <c r="C188" s="110"/>
      <c r="D188" s="122"/>
      <c r="E188" s="110"/>
      <c r="F188" s="128" t="str">
        <f aca="false">IF(E188="CONTADO", 4%, IF(E188="TARJETA / CHEQUE", 3%, IF(OR(E188="FINANCIADO", E188="MCP"), 2.5%, "")))</f>
        <v/>
      </c>
      <c r="G188" s="122" t="str">
        <f aca="false">IF(F188="", "", F188*D188)</f>
        <v/>
      </c>
      <c r="H188" s="131" t="b">
        <f aca="false">FALSE()</f>
        <v>0</v>
      </c>
      <c r="I188" s="131" t="b">
        <f aca="false">FALSE()</f>
        <v>0</v>
      </c>
      <c r="J188" s="130"/>
      <c r="K188" s="110"/>
      <c r="L188" s="83"/>
      <c r="M188" s="103"/>
      <c r="N188" s="103"/>
      <c r="O188" s="103"/>
      <c r="P188" s="103"/>
      <c r="Q188" s="103"/>
      <c r="R188" s="83"/>
      <c r="S188" s="103"/>
      <c r="T188" s="103"/>
      <c r="U188" s="103"/>
    </row>
    <row r="189" customFormat="false" ht="22.5" hidden="false" customHeight="true" outlineLevel="0" collapsed="false">
      <c r="A189" s="99"/>
      <c r="B189" s="99"/>
      <c r="C189" s="99"/>
      <c r="D189" s="121"/>
      <c r="E189" s="99"/>
      <c r="F189" s="124" t="str">
        <f aca="false">IF(E189="CONTADO", 4%, IF(E189="TARJETA / CHEQUE", 3%, IF(OR(E189="FINANCIADO", E189="MCP"), 2.5%, "")))</f>
        <v/>
      </c>
      <c r="G189" s="121" t="str">
        <f aca="false">IF(F189="", "", F189*D189)</f>
        <v/>
      </c>
      <c r="H189" s="132" t="b">
        <f aca="false">FALSE()</f>
        <v>0</v>
      </c>
      <c r="I189" s="132" t="b">
        <f aca="false">FALSE()</f>
        <v>0</v>
      </c>
      <c r="J189" s="126"/>
      <c r="K189" s="99"/>
      <c r="L189" s="83"/>
      <c r="M189" s="103"/>
      <c r="N189" s="103"/>
      <c r="O189" s="103"/>
      <c r="P189" s="103"/>
      <c r="Q189" s="103"/>
      <c r="R189" s="83"/>
      <c r="S189" s="103"/>
      <c r="T189" s="103"/>
      <c r="U189" s="103"/>
    </row>
    <row r="190" customFormat="false" ht="22.5" hidden="false" customHeight="true" outlineLevel="0" collapsed="false">
      <c r="A190" s="110"/>
      <c r="B190" s="110"/>
      <c r="C190" s="110"/>
      <c r="D190" s="122"/>
      <c r="E190" s="110"/>
      <c r="F190" s="128" t="str">
        <f aca="false">IF(E190="CONTADO", 4%, IF(E190="TARJETA / CHEQUE", 3%, IF(OR(E190="FINANCIADO", E190="MCP"), 2.5%, "")))</f>
        <v/>
      </c>
      <c r="G190" s="122" t="str">
        <f aca="false">IF(F190="", "", F190*D190)</f>
        <v/>
      </c>
      <c r="H190" s="131" t="b">
        <f aca="false">FALSE()</f>
        <v>0</v>
      </c>
      <c r="I190" s="131" t="b">
        <f aca="false">FALSE()</f>
        <v>0</v>
      </c>
      <c r="J190" s="130"/>
      <c r="K190" s="110"/>
      <c r="L190" s="83"/>
      <c r="M190" s="103"/>
      <c r="N190" s="103"/>
      <c r="O190" s="103"/>
      <c r="P190" s="103"/>
      <c r="Q190" s="103"/>
      <c r="R190" s="83"/>
      <c r="S190" s="103"/>
      <c r="T190" s="103"/>
      <c r="U190" s="103"/>
    </row>
    <row r="191" customFormat="false" ht="22.5" hidden="false" customHeight="true" outlineLevel="0" collapsed="false">
      <c r="A191" s="99"/>
      <c r="B191" s="99"/>
      <c r="C191" s="99"/>
      <c r="D191" s="121"/>
      <c r="E191" s="99"/>
      <c r="F191" s="124" t="str">
        <f aca="false">IF(E191="CONTADO", 4%, IF(E191="TARJETA / CHEQUE", 3%, IF(OR(E191="FINANCIADO", E191="MCP"), 2.5%, "")))</f>
        <v/>
      </c>
      <c r="G191" s="121" t="str">
        <f aca="false">IF(F191="", "", F191*D191)</f>
        <v/>
      </c>
      <c r="H191" s="132" t="b">
        <f aca="false">FALSE()</f>
        <v>0</v>
      </c>
      <c r="I191" s="132" t="b">
        <f aca="false">FALSE()</f>
        <v>0</v>
      </c>
      <c r="J191" s="126"/>
      <c r="K191" s="99"/>
      <c r="L191" s="83"/>
      <c r="M191" s="103"/>
      <c r="N191" s="103"/>
      <c r="O191" s="103"/>
      <c r="P191" s="103"/>
      <c r="Q191" s="103"/>
      <c r="R191" s="83"/>
      <c r="S191" s="103"/>
      <c r="T191" s="103"/>
      <c r="U191" s="103"/>
    </row>
    <row r="192" customFormat="false" ht="22.5" hidden="false" customHeight="true" outlineLevel="0" collapsed="false">
      <c r="A192" s="110"/>
      <c r="B192" s="110"/>
      <c r="C192" s="110"/>
      <c r="D192" s="122"/>
      <c r="E192" s="110"/>
      <c r="F192" s="128" t="str">
        <f aca="false">IF(E192="CONTADO", 4%, IF(E192="TARJETA / CHEQUE", 3%, IF(OR(E192="FINANCIADO", E192="MCP"), 2.5%, "")))</f>
        <v/>
      </c>
      <c r="G192" s="122" t="str">
        <f aca="false">IF(F192="", "", F192*D192)</f>
        <v/>
      </c>
      <c r="H192" s="131" t="b">
        <f aca="false">FALSE()</f>
        <v>0</v>
      </c>
      <c r="I192" s="131" t="b">
        <f aca="false">FALSE()</f>
        <v>0</v>
      </c>
      <c r="J192" s="130"/>
      <c r="K192" s="110"/>
      <c r="L192" s="83"/>
      <c r="M192" s="103"/>
      <c r="N192" s="103"/>
      <c r="O192" s="103"/>
      <c r="P192" s="103"/>
      <c r="Q192" s="103"/>
      <c r="R192" s="83"/>
      <c r="S192" s="103"/>
      <c r="T192" s="103"/>
      <c r="U192" s="103"/>
    </row>
    <row r="193" customFormat="false" ht="22.5" hidden="false" customHeight="true" outlineLevel="0" collapsed="false">
      <c r="A193" s="99"/>
      <c r="B193" s="99"/>
      <c r="C193" s="99"/>
      <c r="D193" s="121"/>
      <c r="E193" s="99"/>
      <c r="F193" s="124" t="str">
        <f aca="false">IF(E193="CONTADO", 4%, IF(E193="TARJETA / CHEQUE", 3%, IF(OR(E193="FINANCIADO", E193="MCP"), 2.5%, "")))</f>
        <v/>
      </c>
      <c r="G193" s="121" t="str">
        <f aca="false">IF(F193="", "", F193*D193)</f>
        <v/>
      </c>
      <c r="H193" s="132" t="b">
        <f aca="false">FALSE()</f>
        <v>0</v>
      </c>
      <c r="I193" s="132" t="b">
        <f aca="false">FALSE()</f>
        <v>0</v>
      </c>
      <c r="J193" s="126"/>
      <c r="K193" s="99"/>
      <c r="L193" s="83"/>
      <c r="M193" s="103"/>
      <c r="N193" s="103"/>
      <c r="O193" s="103"/>
      <c r="P193" s="103"/>
      <c r="Q193" s="103"/>
      <c r="R193" s="83"/>
      <c r="S193" s="103"/>
      <c r="T193" s="103"/>
      <c r="U193" s="103"/>
    </row>
    <row r="194" customFormat="false" ht="22.5" hidden="false" customHeight="true" outlineLevel="0" collapsed="false">
      <c r="A194" s="110"/>
      <c r="B194" s="110"/>
      <c r="C194" s="110"/>
      <c r="D194" s="122"/>
      <c r="E194" s="110"/>
      <c r="F194" s="128" t="str">
        <f aca="false">IF(E194="CONTADO", 4%, IF(E194="TARJETA / CHEQUE", 3%, IF(OR(E194="FINANCIADO", E194="MCP"), 2.5%, "")))</f>
        <v/>
      </c>
      <c r="G194" s="122" t="str">
        <f aca="false">IF(F194="", "", F194*D194)</f>
        <v/>
      </c>
      <c r="H194" s="131" t="b">
        <f aca="false">FALSE()</f>
        <v>0</v>
      </c>
      <c r="I194" s="131" t="b">
        <f aca="false">FALSE()</f>
        <v>0</v>
      </c>
      <c r="J194" s="130"/>
      <c r="K194" s="110"/>
      <c r="L194" s="83"/>
      <c r="M194" s="103"/>
      <c r="N194" s="103"/>
      <c r="O194" s="103"/>
      <c r="P194" s="103"/>
      <c r="Q194" s="103"/>
      <c r="R194" s="83"/>
      <c r="S194" s="103"/>
      <c r="T194" s="103"/>
      <c r="U194" s="103"/>
    </row>
    <row r="195" customFormat="false" ht="22.5" hidden="false" customHeight="true" outlineLevel="0" collapsed="false">
      <c r="A195" s="99"/>
      <c r="B195" s="99"/>
      <c r="C195" s="99"/>
      <c r="D195" s="121"/>
      <c r="E195" s="99"/>
      <c r="F195" s="124" t="str">
        <f aca="false">IF(E195="CONTADO", 4%, IF(E195="TARJETA / CHEQUE", 3%, IF(OR(E195="FINANCIADO", E195="MCP"), 2.5%, "")))</f>
        <v/>
      </c>
      <c r="G195" s="121" t="str">
        <f aca="false">IF(F195="", "", F195*D195)</f>
        <v/>
      </c>
      <c r="H195" s="132" t="b">
        <f aca="false">FALSE()</f>
        <v>0</v>
      </c>
      <c r="I195" s="132" t="b">
        <f aca="false">FALSE()</f>
        <v>0</v>
      </c>
      <c r="J195" s="126"/>
      <c r="K195" s="99"/>
      <c r="L195" s="83"/>
      <c r="M195" s="103"/>
      <c r="N195" s="103"/>
      <c r="O195" s="103"/>
      <c r="P195" s="103"/>
      <c r="Q195" s="103"/>
      <c r="R195" s="83"/>
      <c r="S195" s="103"/>
      <c r="T195" s="103"/>
      <c r="U195" s="103"/>
    </row>
    <row r="196" customFormat="false" ht="22.5" hidden="false" customHeight="true" outlineLevel="0" collapsed="false">
      <c r="A196" s="110"/>
      <c r="B196" s="110"/>
      <c r="C196" s="110"/>
      <c r="D196" s="122"/>
      <c r="E196" s="110"/>
      <c r="F196" s="128" t="str">
        <f aca="false">IF(E196="CONTADO", 4%, IF(E196="TARJETA / CHEQUE", 3%, IF(OR(E196="FINANCIADO", E196="MCP"), 2.5%, "")))</f>
        <v/>
      </c>
      <c r="G196" s="122" t="str">
        <f aca="false">IF(F196="", "", F196*D196)</f>
        <v/>
      </c>
      <c r="H196" s="131" t="b">
        <f aca="false">FALSE()</f>
        <v>0</v>
      </c>
      <c r="I196" s="131" t="b">
        <f aca="false">FALSE()</f>
        <v>0</v>
      </c>
      <c r="J196" s="130"/>
      <c r="K196" s="110"/>
      <c r="L196" s="83"/>
      <c r="M196" s="103"/>
      <c r="N196" s="103"/>
      <c r="O196" s="103"/>
      <c r="P196" s="103"/>
      <c r="Q196" s="103"/>
      <c r="R196" s="83"/>
      <c r="S196" s="103"/>
      <c r="T196" s="103"/>
      <c r="U196" s="103"/>
    </row>
    <row r="197" customFormat="false" ht="22.5" hidden="false" customHeight="true" outlineLevel="0" collapsed="false">
      <c r="A197" s="99"/>
      <c r="B197" s="99"/>
      <c r="C197" s="99"/>
      <c r="D197" s="121"/>
      <c r="E197" s="99"/>
      <c r="F197" s="124" t="str">
        <f aca="false">IF(E197="CONTADO", 4%, IF(E197="TARJETA / CHEQUE", 3%, IF(OR(E197="FINANCIADO", E197="MCP"), 2.5%, "")))</f>
        <v/>
      </c>
      <c r="G197" s="121" t="str">
        <f aca="false">IF(F197="", "", F197*D197)</f>
        <v/>
      </c>
      <c r="H197" s="132" t="b">
        <f aca="false">FALSE()</f>
        <v>0</v>
      </c>
      <c r="I197" s="132" t="b">
        <f aca="false">FALSE()</f>
        <v>0</v>
      </c>
      <c r="J197" s="126"/>
      <c r="K197" s="99"/>
      <c r="L197" s="83"/>
      <c r="M197" s="103"/>
      <c r="N197" s="103"/>
      <c r="O197" s="103"/>
      <c r="P197" s="103"/>
      <c r="Q197" s="103"/>
      <c r="R197" s="83"/>
      <c r="S197" s="103"/>
      <c r="T197" s="103"/>
      <c r="U197" s="103"/>
    </row>
    <row r="198" customFormat="false" ht="22.5" hidden="false" customHeight="true" outlineLevel="0" collapsed="false">
      <c r="A198" s="110"/>
      <c r="B198" s="110"/>
      <c r="C198" s="110"/>
      <c r="D198" s="122"/>
      <c r="E198" s="110"/>
      <c r="F198" s="128" t="str">
        <f aca="false">IF(E198="CONTADO", 4%, IF(E198="TARJETA / CHEQUE", 3%, IF(OR(E198="FINANCIADO", E198="MCP"), 2.5%, "")))</f>
        <v/>
      </c>
      <c r="G198" s="122" t="str">
        <f aca="false">IF(F198="", "", F198*D198)</f>
        <v/>
      </c>
      <c r="H198" s="131" t="b">
        <f aca="false">FALSE()</f>
        <v>0</v>
      </c>
      <c r="I198" s="131" t="b">
        <f aca="false">FALSE()</f>
        <v>0</v>
      </c>
      <c r="J198" s="130"/>
      <c r="K198" s="110"/>
      <c r="L198" s="83"/>
      <c r="M198" s="103"/>
      <c r="N198" s="103"/>
      <c r="O198" s="103"/>
      <c r="P198" s="103"/>
      <c r="Q198" s="103"/>
      <c r="R198" s="83"/>
      <c r="S198" s="103"/>
      <c r="T198" s="103"/>
      <c r="U198" s="103"/>
    </row>
    <row r="199" customFormat="false" ht="22.5" hidden="false" customHeight="true" outlineLevel="0" collapsed="false">
      <c r="A199" s="99"/>
      <c r="B199" s="99"/>
      <c r="C199" s="99"/>
      <c r="D199" s="121"/>
      <c r="E199" s="99"/>
      <c r="F199" s="124" t="str">
        <f aca="false">IF(E199="CONTADO", 4%, IF(E199="TARJETA / CHEQUE", 3%, IF(OR(E199="FINANCIADO", E199="MCP"), 2.5%, "")))</f>
        <v/>
      </c>
      <c r="G199" s="121" t="str">
        <f aca="false">IF(F199="", "", F199*D199)</f>
        <v/>
      </c>
      <c r="H199" s="132" t="b">
        <f aca="false">FALSE()</f>
        <v>0</v>
      </c>
      <c r="I199" s="132" t="b">
        <f aca="false">FALSE()</f>
        <v>0</v>
      </c>
      <c r="J199" s="126"/>
      <c r="K199" s="99"/>
      <c r="L199" s="83"/>
      <c r="M199" s="103"/>
      <c r="N199" s="103"/>
      <c r="O199" s="103"/>
      <c r="P199" s="103"/>
      <c r="Q199" s="103"/>
      <c r="R199" s="83"/>
      <c r="S199" s="103"/>
      <c r="T199" s="103"/>
      <c r="U199" s="103"/>
    </row>
    <row r="200" customFormat="false" ht="22.5" hidden="false" customHeight="true" outlineLevel="0" collapsed="false">
      <c r="A200" s="110"/>
      <c r="B200" s="110"/>
      <c r="C200" s="110"/>
      <c r="D200" s="122"/>
      <c r="E200" s="110"/>
      <c r="F200" s="128" t="str">
        <f aca="false">IF(E200="CONTADO", 4%, IF(E200="TARJETA / CHEQUE", 3%, IF(OR(E200="FINANCIADO", E200="MCP"), 2.5%, "")))</f>
        <v/>
      </c>
      <c r="G200" s="122" t="str">
        <f aca="false">IF(F200="", "", F200*D200)</f>
        <v/>
      </c>
      <c r="H200" s="131" t="b">
        <f aca="false">FALSE()</f>
        <v>0</v>
      </c>
      <c r="I200" s="131" t="b">
        <f aca="false">FALSE()</f>
        <v>0</v>
      </c>
      <c r="J200" s="130"/>
      <c r="K200" s="110"/>
      <c r="L200" s="83"/>
      <c r="M200" s="103"/>
      <c r="N200" s="103"/>
      <c r="O200" s="103"/>
      <c r="P200" s="103"/>
      <c r="Q200" s="103"/>
      <c r="R200" s="83"/>
      <c r="S200" s="103"/>
      <c r="T200" s="103"/>
      <c r="U200" s="103"/>
    </row>
    <row r="201" customFormat="false" ht="22.5" hidden="false" customHeight="true" outlineLevel="0" collapsed="false">
      <c r="A201" s="99"/>
      <c r="B201" s="99"/>
      <c r="C201" s="99"/>
      <c r="D201" s="121"/>
      <c r="E201" s="99"/>
      <c r="F201" s="124" t="str">
        <f aca="false">IF(E201="CONTADO", 4%, IF(E201="TARJETA / CHEQUE", 3%, IF(OR(E201="FINANCIADO", E201="MCP"), 2.5%, "")))</f>
        <v/>
      </c>
      <c r="G201" s="121" t="str">
        <f aca="false">IF(F201="", "", F201*D201)</f>
        <v/>
      </c>
      <c r="H201" s="132" t="b">
        <f aca="false">FALSE()</f>
        <v>0</v>
      </c>
      <c r="I201" s="132" t="b">
        <f aca="false">FALSE()</f>
        <v>0</v>
      </c>
      <c r="J201" s="126"/>
      <c r="K201" s="99"/>
      <c r="L201" s="83"/>
      <c r="M201" s="103"/>
      <c r="N201" s="103"/>
      <c r="O201" s="103"/>
      <c r="P201" s="103"/>
      <c r="Q201" s="103"/>
      <c r="R201" s="83"/>
      <c r="S201" s="103"/>
      <c r="T201" s="103"/>
      <c r="U201" s="103"/>
    </row>
    <row r="202" customFormat="false" ht="22.5" hidden="false" customHeight="true" outlineLevel="0" collapsed="false">
      <c r="A202" s="110"/>
      <c r="B202" s="110"/>
      <c r="C202" s="110"/>
      <c r="D202" s="122"/>
      <c r="E202" s="110"/>
      <c r="F202" s="128" t="str">
        <f aca="false">IF(E202="CONTADO", 4%, IF(E202="TARJETA / CHEQUE", 3%, IF(OR(E202="FINANCIADO", E202="MCP"), 2.5%, "")))</f>
        <v/>
      </c>
      <c r="G202" s="122" t="str">
        <f aca="false">IF(F202="", "", F202*D202)</f>
        <v/>
      </c>
      <c r="H202" s="131" t="b">
        <f aca="false">FALSE()</f>
        <v>0</v>
      </c>
      <c r="I202" s="131" t="b">
        <f aca="false">FALSE()</f>
        <v>0</v>
      </c>
      <c r="J202" s="130"/>
      <c r="K202" s="110"/>
      <c r="L202" s="83"/>
      <c r="M202" s="103"/>
      <c r="N202" s="103"/>
      <c r="O202" s="103"/>
      <c r="P202" s="103"/>
      <c r="Q202" s="103"/>
      <c r="R202" s="83"/>
      <c r="S202" s="103"/>
      <c r="T202" s="103"/>
      <c r="U202" s="103"/>
    </row>
    <row r="203" customFormat="false" ht="22.5" hidden="false" customHeight="true" outlineLevel="0" collapsed="false">
      <c r="A203" s="99"/>
      <c r="B203" s="99"/>
      <c r="C203" s="99"/>
      <c r="D203" s="121"/>
      <c r="E203" s="99"/>
      <c r="F203" s="124" t="str">
        <f aca="false">IF(E203="CONTADO", 4%, IF(E203="TARJETA / CHEQUE", 3%, IF(OR(E203="FINANCIADO", E203="MCP"), 2.5%, "")))</f>
        <v/>
      </c>
      <c r="G203" s="121" t="str">
        <f aca="false">IF(F203="", "", F203*D203)</f>
        <v/>
      </c>
      <c r="H203" s="132" t="b">
        <f aca="false">FALSE()</f>
        <v>0</v>
      </c>
      <c r="I203" s="132" t="b">
        <f aca="false">FALSE()</f>
        <v>0</v>
      </c>
      <c r="J203" s="126"/>
      <c r="K203" s="99"/>
      <c r="L203" s="83"/>
      <c r="M203" s="103"/>
      <c r="N203" s="103"/>
      <c r="O203" s="103"/>
      <c r="P203" s="103"/>
      <c r="Q203" s="103"/>
      <c r="R203" s="83"/>
      <c r="S203" s="103"/>
      <c r="T203" s="103"/>
      <c r="U203" s="103"/>
    </row>
    <row r="204" customFormat="false" ht="22.5" hidden="false" customHeight="true" outlineLevel="0" collapsed="false">
      <c r="A204" s="110"/>
      <c r="B204" s="110"/>
      <c r="C204" s="110"/>
      <c r="D204" s="122"/>
      <c r="E204" s="110"/>
      <c r="F204" s="128" t="str">
        <f aca="false">IF(E204="CONTADO", 4%, IF(E204="TARJETA / CHEQUE", 3%, IF(OR(E204="FINANCIADO", E204="MCP"), 2.5%, "")))</f>
        <v/>
      </c>
      <c r="G204" s="122" t="str">
        <f aca="false">IF(F204="", "", F204*D204)</f>
        <v/>
      </c>
      <c r="H204" s="131" t="b">
        <f aca="false">FALSE()</f>
        <v>0</v>
      </c>
      <c r="I204" s="131" t="b">
        <f aca="false">FALSE()</f>
        <v>0</v>
      </c>
      <c r="J204" s="130"/>
      <c r="K204" s="110"/>
      <c r="L204" s="83"/>
      <c r="M204" s="103"/>
      <c r="N204" s="103"/>
      <c r="O204" s="103"/>
      <c r="P204" s="103"/>
      <c r="Q204" s="103"/>
      <c r="R204" s="83"/>
      <c r="S204" s="103"/>
      <c r="T204" s="103"/>
      <c r="U204" s="103"/>
    </row>
    <row r="205" customFormat="false" ht="22.5" hidden="false" customHeight="true" outlineLevel="0" collapsed="false">
      <c r="A205" s="99"/>
      <c r="B205" s="99"/>
      <c r="C205" s="99"/>
      <c r="D205" s="121"/>
      <c r="E205" s="99"/>
      <c r="F205" s="124" t="str">
        <f aca="false">IF(E205="CONTADO", 4%, IF(E205="TARJETA / CHEQUE", 3%, IF(OR(E205="FINANCIADO", E205="MCP"), 2.5%, "")))</f>
        <v/>
      </c>
      <c r="G205" s="121" t="str">
        <f aca="false">IF(F205="", "", F205*D205)</f>
        <v/>
      </c>
      <c r="H205" s="132" t="b">
        <f aca="false">FALSE()</f>
        <v>0</v>
      </c>
      <c r="I205" s="132" t="b">
        <f aca="false">FALSE()</f>
        <v>0</v>
      </c>
      <c r="J205" s="126"/>
      <c r="K205" s="99"/>
      <c r="L205" s="83"/>
      <c r="M205" s="103"/>
      <c r="N205" s="103"/>
      <c r="O205" s="103"/>
      <c r="P205" s="103"/>
      <c r="Q205" s="103"/>
      <c r="R205" s="83"/>
      <c r="S205" s="103"/>
      <c r="T205" s="103"/>
      <c r="U205" s="103"/>
    </row>
    <row r="206" customFormat="false" ht="22.5" hidden="false" customHeight="true" outlineLevel="0" collapsed="false">
      <c r="A206" s="110"/>
      <c r="B206" s="110"/>
      <c r="C206" s="110"/>
      <c r="D206" s="122"/>
      <c r="E206" s="110"/>
      <c r="F206" s="128" t="str">
        <f aca="false">IF(E206="CONTADO", 4%, IF(E206="TARJETA / CHEQUE", 3%, IF(OR(E206="FINANCIADO", E206="MCP"), 2.5%, "")))</f>
        <v/>
      </c>
      <c r="G206" s="122" t="str">
        <f aca="false">IF(F206="", "", F206*D206)</f>
        <v/>
      </c>
      <c r="H206" s="131" t="b">
        <f aca="false">FALSE()</f>
        <v>0</v>
      </c>
      <c r="I206" s="131" t="b">
        <f aca="false">FALSE()</f>
        <v>0</v>
      </c>
      <c r="J206" s="130"/>
      <c r="K206" s="110"/>
      <c r="L206" s="83"/>
      <c r="M206" s="103"/>
      <c r="N206" s="103"/>
      <c r="O206" s="103"/>
      <c r="P206" s="103"/>
      <c r="Q206" s="103"/>
      <c r="R206" s="83"/>
      <c r="S206" s="103"/>
      <c r="T206" s="103"/>
      <c r="U206" s="103"/>
    </row>
    <row r="207" customFormat="false" ht="22.5" hidden="false" customHeight="true" outlineLevel="0" collapsed="false">
      <c r="A207" s="99"/>
      <c r="B207" s="99"/>
      <c r="C207" s="99"/>
      <c r="D207" s="121"/>
      <c r="E207" s="99"/>
      <c r="F207" s="124" t="str">
        <f aca="false">IF(E207="CONTADO", 4%, IF(E207="TARJETA / CHEQUE", 3%, IF(OR(E207="FINANCIADO", E207="MCP"), 2.5%, "")))</f>
        <v/>
      </c>
      <c r="G207" s="121" t="str">
        <f aca="false">IF(F207="", "", F207*D207)</f>
        <v/>
      </c>
      <c r="H207" s="132" t="b">
        <f aca="false">FALSE()</f>
        <v>0</v>
      </c>
      <c r="I207" s="132" t="b">
        <f aca="false">FALSE()</f>
        <v>0</v>
      </c>
      <c r="J207" s="126"/>
      <c r="K207" s="99"/>
      <c r="L207" s="83"/>
      <c r="M207" s="103"/>
      <c r="N207" s="103"/>
      <c r="O207" s="103"/>
      <c r="P207" s="103"/>
      <c r="Q207" s="103"/>
      <c r="R207" s="83"/>
      <c r="S207" s="103"/>
      <c r="T207" s="103"/>
      <c r="U207" s="103"/>
    </row>
    <row r="208" customFormat="false" ht="22.5" hidden="false" customHeight="true" outlineLevel="0" collapsed="false">
      <c r="A208" s="110"/>
      <c r="B208" s="110"/>
      <c r="C208" s="110"/>
      <c r="D208" s="122"/>
      <c r="E208" s="110"/>
      <c r="F208" s="128" t="str">
        <f aca="false">IF(E208="CONTADO", 4%, IF(E208="TARJETA / CHEQUE", 3%, IF(OR(E208="FINANCIADO", E208="MCP"), 2.5%, "")))</f>
        <v/>
      </c>
      <c r="G208" s="122" t="str">
        <f aca="false">IF(F208="", "", F208*D208)</f>
        <v/>
      </c>
      <c r="H208" s="131" t="b">
        <f aca="false">FALSE()</f>
        <v>0</v>
      </c>
      <c r="I208" s="131" t="b">
        <f aca="false">FALSE()</f>
        <v>0</v>
      </c>
      <c r="J208" s="130"/>
      <c r="K208" s="110"/>
      <c r="L208" s="83"/>
      <c r="M208" s="103"/>
      <c r="N208" s="103"/>
      <c r="O208" s="103"/>
      <c r="P208" s="103"/>
      <c r="Q208" s="103"/>
      <c r="R208" s="83"/>
      <c r="S208" s="103"/>
      <c r="T208" s="103"/>
      <c r="U208" s="103"/>
    </row>
    <row r="209" customFormat="false" ht="22.5" hidden="false" customHeight="true" outlineLevel="0" collapsed="false">
      <c r="A209" s="99"/>
      <c r="B209" s="99"/>
      <c r="C209" s="99"/>
      <c r="D209" s="121"/>
      <c r="E209" s="99"/>
      <c r="F209" s="124" t="str">
        <f aca="false">IF(E209="CONTADO", 4%, IF(E209="TARJETA / CHEQUE", 3%, IF(OR(E209="FINANCIADO", E209="MCP"), 2.5%, "")))</f>
        <v/>
      </c>
      <c r="G209" s="121" t="str">
        <f aca="false">IF(F209="", "", F209*D209)</f>
        <v/>
      </c>
      <c r="H209" s="132" t="b">
        <f aca="false">FALSE()</f>
        <v>0</v>
      </c>
      <c r="I209" s="132" t="b">
        <f aca="false">FALSE()</f>
        <v>0</v>
      </c>
      <c r="J209" s="126"/>
      <c r="K209" s="99"/>
      <c r="L209" s="83"/>
      <c r="M209" s="103"/>
      <c r="N209" s="103"/>
      <c r="O209" s="103"/>
      <c r="P209" s="103"/>
      <c r="Q209" s="103"/>
      <c r="R209" s="83"/>
      <c r="S209" s="103"/>
      <c r="T209" s="103"/>
      <c r="U209" s="103"/>
    </row>
    <row r="210" customFormat="false" ht="22.5" hidden="false" customHeight="true" outlineLevel="0" collapsed="false">
      <c r="A210" s="110"/>
      <c r="B210" s="110"/>
      <c r="C210" s="110"/>
      <c r="D210" s="122"/>
      <c r="E210" s="110"/>
      <c r="F210" s="128" t="str">
        <f aca="false">IF(E210="CONTADO", 4%, IF(E210="TARJETA / CHEQUE", 3%, IF(OR(E210="FINANCIADO", E210="MCP"), 2.5%, "")))</f>
        <v/>
      </c>
      <c r="G210" s="122" t="str">
        <f aca="false">IF(F210="", "", F210*D210)</f>
        <v/>
      </c>
      <c r="H210" s="131" t="b">
        <f aca="false">FALSE()</f>
        <v>0</v>
      </c>
      <c r="I210" s="131" t="b">
        <f aca="false">FALSE()</f>
        <v>0</v>
      </c>
      <c r="J210" s="130"/>
      <c r="K210" s="110"/>
      <c r="L210" s="83"/>
      <c r="M210" s="103"/>
      <c r="N210" s="103"/>
      <c r="O210" s="103"/>
      <c r="P210" s="103"/>
      <c r="Q210" s="103"/>
      <c r="R210" s="83"/>
      <c r="S210" s="103"/>
      <c r="T210" s="103"/>
      <c r="U210" s="103"/>
    </row>
    <row r="211" customFormat="false" ht="22.5" hidden="false" customHeight="true" outlineLevel="0" collapsed="false">
      <c r="A211" s="99"/>
      <c r="B211" s="99"/>
      <c r="C211" s="99"/>
      <c r="D211" s="121"/>
      <c r="E211" s="99"/>
      <c r="F211" s="124" t="str">
        <f aca="false">IF(E211="CONTADO", 4%, IF(E211="TARJETA / CHEQUE", 3%, IF(OR(E211="FINANCIADO", E211="MCP"), 2.5%, "")))</f>
        <v/>
      </c>
      <c r="G211" s="121" t="str">
        <f aca="false">IF(F211="", "", F211*D211)</f>
        <v/>
      </c>
      <c r="H211" s="132" t="b">
        <f aca="false">FALSE()</f>
        <v>0</v>
      </c>
      <c r="I211" s="132" t="b">
        <f aca="false">FALSE()</f>
        <v>0</v>
      </c>
      <c r="J211" s="126"/>
      <c r="K211" s="99"/>
      <c r="L211" s="83"/>
      <c r="M211" s="103"/>
      <c r="N211" s="103"/>
      <c r="O211" s="103"/>
      <c r="P211" s="103"/>
      <c r="Q211" s="103"/>
      <c r="R211" s="83"/>
      <c r="S211" s="103"/>
      <c r="T211" s="103"/>
      <c r="U211" s="103"/>
    </row>
    <row r="212" customFormat="false" ht="22.5" hidden="false" customHeight="true" outlineLevel="0" collapsed="false">
      <c r="A212" s="110"/>
      <c r="B212" s="110"/>
      <c r="C212" s="110"/>
      <c r="D212" s="122"/>
      <c r="E212" s="110"/>
      <c r="F212" s="128" t="str">
        <f aca="false">IF(E212="CONTADO", 4%, IF(E212="TARJETA / CHEQUE", 3%, IF(OR(E212="FINANCIADO", E212="MCP"), 2.5%, "")))</f>
        <v/>
      </c>
      <c r="G212" s="122" t="str">
        <f aca="false">IF(F212="", "", F212*D212)</f>
        <v/>
      </c>
      <c r="H212" s="131" t="b">
        <f aca="false">FALSE()</f>
        <v>0</v>
      </c>
      <c r="I212" s="131" t="b">
        <f aca="false">FALSE()</f>
        <v>0</v>
      </c>
      <c r="J212" s="130"/>
      <c r="K212" s="110"/>
      <c r="L212" s="83"/>
      <c r="M212" s="103"/>
      <c r="N212" s="103"/>
      <c r="O212" s="103"/>
      <c r="P212" s="103"/>
      <c r="Q212" s="103"/>
      <c r="R212" s="83"/>
      <c r="S212" s="103"/>
      <c r="T212" s="103"/>
      <c r="U212" s="103"/>
    </row>
    <row r="213" customFormat="false" ht="22.5" hidden="false" customHeight="true" outlineLevel="0" collapsed="false">
      <c r="A213" s="99"/>
      <c r="B213" s="99"/>
      <c r="C213" s="99"/>
      <c r="D213" s="121"/>
      <c r="E213" s="99"/>
      <c r="F213" s="124" t="str">
        <f aca="false">IF(E213="CONTADO", 4%, IF(E213="TARJETA / CHEQUE", 3%, IF(OR(E213="FINANCIADO", E213="MCP"), 2.5%, "")))</f>
        <v/>
      </c>
      <c r="G213" s="121" t="str">
        <f aca="false">IF(F213="", "", F213*D213)</f>
        <v/>
      </c>
      <c r="H213" s="132" t="b">
        <f aca="false">FALSE()</f>
        <v>0</v>
      </c>
      <c r="I213" s="132" t="b">
        <f aca="false">FALSE()</f>
        <v>0</v>
      </c>
      <c r="J213" s="126"/>
      <c r="K213" s="99"/>
      <c r="L213" s="83"/>
      <c r="M213" s="103"/>
      <c r="N213" s="103"/>
      <c r="O213" s="103"/>
      <c r="P213" s="103"/>
      <c r="Q213" s="103"/>
      <c r="R213" s="83"/>
      <c r="S213" s="103"/>
      <c r="T213" s="103"/>
      <c r="U213" s="103"/>
    </row>
    <row r="214" customFormat="false" ht="22.5" hidden="false" customHeight="true" outlineLevel="0" collapsed="false">
      <c r="A214" s="110"/>
      <c r="B214" s="110"/>
      <c r="C214" s="110"/>
      <c r="D214" s="122"/>
      <c r="E214" s="110"/>
      <c r="F214" s="128" t="str">
        <f aca="false">IF(E214="CONTADO", 4%, IF(E214="TARJETA / CHEQUE", 3%, IF(OR(E214="FINANCIADO", E214="MCP"), 2.5%, "")))</f>
        <v/>
      </c>
      <c r="G214" s="122" t="str">
        <f aca="false">IF(F214="", "", F214*D214)</f>
        <v/>
      </c>
      <c r="H214" s="131" t="b">
        <f aca="false">FALSE()</f>
        <v>0</v>
      </c>
      <c r="I214" s="131" t="b">
        <f aca="false">FALSE()</f>
        <v>0</v>
      </c>
      <c r="J214" s="130"/>
      <c r="K214" s="110"/>
      <c r="L214" s="83"/>
      <c r="M214" s="103"/>
      <c r="N214" s="103"/>
      <c r="O214" s="103"/>
      <c r="P214" s="103"/>
      <c r="Q214" s="103"/>
      <c r="R214" s="83"/>
      <c r="S214" s="103"/>
      <c r="T214" s="103"/>
      <c r="U214" s="103"/>
    </row>
    <row r="215" customFormat="false" ht="22.5" hidden="false" customHeight="true" outlineLevel="0" collapsed="false">
      <c r="A215" s="99"/>
      <c r="B215" s="99"/>
      <c r="C215" s="99"/>
      <c r="D215" s="121"/>
      <c r="E215" s="99"/>
      <c r="F215" s="124" t="str">
        <f aca="false">IF(E215="CONTADO", 4%, IF(E215="TARJETA / CHEQUE", 3%, IF(OR(E215="FINANCIADO", E215="MCP"), 2.5%, "")))</f>
        <v/>
      </c>
      <c r="G215" s="121" t="str">
        <f aca="false">IF(F215="", "", F215*D215)</f>
        <v/>
      </c>
      <c r="H215" s="132" t="b">
        <f aca="false">FALSE()</f>
        <v>0</v>
      </c>
      <c r="I215" s="132" t="b">
        <f aca="false">FALSE()</f>
        <v>0</v>
      </c>
      <c r="J215" s="126"/>
      <c r="K215" s="99"/>
      <c r="L215" s="83"/>
      <c r="M215" s="103"/>
      <c r="N215" s="103"/>
      <c r="O215" s="103"/>
      <c r="P215" s="103"/>
      <c r="Q215" s="103"/>
      <c r="R215" s="83"/>
      <c r="S215" s="103"/>
      <c r="T215" s="103"/>
      <c r="U215" s="103"/>
    </row>
    <row r="216" customFormat="false" ht="22.5" hidden="false" customHeight="true" outlineLevel="0" collapsed="false">
      <c r="A216" s="110"/>
      <c r="B216" s="110"/>
      <c r="C216" s="110"/>
      <c r="D216" s="122"/>
      <c r="E216" s="110"/>
      <c r="F216" s="128" t="str">
        <f aca="false">IF(E216="CONTADO", 4%, IF(E216="TARJETA / CHEQUE", 3%, IF(OR(E216="FINANCIADO", E216="MCP"), 2.5%, "")))</f>
        <v/>
      </c>
      <c r="G216" s="122" t="str">
        <f aca="false">IF(F216="", "", F216*D216)</f>
        <v/>
      </c>
      <c r="H216" s="131" t="b">
        <f aca="false">FALSE()</f>
        <v>0</v>
      </c>
      <c r="I216" s="131" t="b">
        <f aca="false">FALSE()</f>
        <v>0</v>
      </c>
      <c r="J216" s="130"/>
      <c r="K216" s="110"/>
      <c r="L216" s="83"/>
      <c r="M216" s="103"/>
      <c r="N216" s="103"/>
      <c r="O216" s="103"/>
      <c r="P216" s="103"/>
      <c r="Q216" s="103"/>
      <c r="R216" s="83"/>
      <c r="S216" s="103"/>
      <c r="T216" s="103"/>
      <c r="U216" s="103"/>
    </row>
    <row r="217" customFormat="false" ht="22.5" hidden="false" customHeight="true" outlineLevel="0" collapsed="false">
      <c r="A217" s="99"/>
      <c r="B217" s="99"/>
      <c r="C217" s="99"/>
      <c r="D217" s="121"/>
      <c r="E217" s="99"/>
      <c r="F217" s="124" t="str">
        <f aca="false">IF(E217="CONTADO", 4%, IF(E217="TARJETA / CHEQUE", 3%, IF(OR(E217="FINANCIADO", E217="MCP"), 2.5%, "")))</f>
        <v/>
      </c>
      <c r="G217" s="121" t="str">
        <f aca="false">IF(F217="", "", F217*D217)</f>
        <v/>
      </c>
      <c r="H217" s="132" t="b">
        <f aca="false">FALSE()</f>
        <v>0</v>
      </c>
      <c r="I217" s="132" t="b">
        <f aca="false">FALSE()</f>
        <v>0</v>
      </c>
      <c r="J217" s="126"/>
      <c r="K217" s="99"/>
      <c r="L217" s="83"/>
      <c r="M217" s="103"/>
      <c r="N217" s="103"/>
      <c r="O217" s="103"/>
      <c r="P217" s="103"/>
      <c r="Q217" s="103"/>
      <c r="R217" s="83"/>
      <c r="S217" s="103"/>
      <c r="T217" s="103"/>
      <c r="U217" s="103"/>
    </row>
    <row r="218" customFormat="false" ht="22.5" hidden="false" customHeight="true" outlineLevel="0" collapsed="false">
      <c r="A218" s="110"/>
      <c r="B218" s="110"/>
      <c r="C218" s="110"/>
      <c r="D218" s="122"/>
      <c r="E218" s="110"/>
      <c r="F218" s="128" t="str">
        <f aca="false">IF(E218="CONTADO", 4%, IF(E218="TARJETA / CHEQUE", 3%, IF(OR(E218="FINANCIADO", E218="MCP"), 2.5%, "")))</f>
        <v/>
      </c>
      <c r="G218" s="122" t="str">
        <f aca="false">IF(F218="", "", F218*D218)</f>
        <v/>
      </c>
      <c r="H218" s="131" t="b">
        <f aca="false">FALSE()</f>
        <v>0</v>
      </c>
      <c r="I218" s="131" t="b">
        <f aca="false">FALSE()</f>
        <v>0</v>
      </c>
      <c r="J218" s="130"/>
      <c r="K218" s="110"/>
      <c r="L218" s="83"/>
      <c r="M218" s="103"/>
      <c r="N218" s="103"/>
      <c r="O218" s="103"/>
      <c r="P218" s="103"/>
      <c r="Q218" s="103"/>
      <c r="R218" s="83"/>
      <c r="S218" s="103"/>
      <c r="T218" s="103"/>
      <c r="U218" s="103"/>
    </row>
    <row r="219" customFormat="false" ht="22.5" hidden="false" customHeight="true" outlineLevel="0" collapsed="false">
      <c r="A219" s="99"/>
      <c r="B219" s="99"/>
      <c r="C219" s="99"/>
      <c r="D219" s="121"/>
      <c r="E219" s="99"/>
      <c r="F219" s="124" t="str">
        <f aca="false">IF(E219="CONTADO", 4%, IF(E219="TARJETA / CHEQUE", 3%, IF(OR(E219="FINANCIADO", E219="MCP"), 2.5%, "")))</f>
        <v/>
      </c>
      <c r="G219" s="121" t="str">
        <f aca="false">IF(F219="", "", F219*D219)</f>
        <v/>
      </c>
      <c r="H219" s="132" t="b">
        <f aca="false">FALSE()</f>
        <v>0</v>
      </c>
      <c r="I219" s="132" t="b">
        <f aca="false">FALSE()</f>
        <v>0</v>
      </c>
      <c r="J219" s="126"/>
      <c r="K219" s="99"/>
      <c r="L219" s="83"/>
      <c r="M219" s="103"/>
      <c r="N219" s="103"/>
      <c r="O219" s="103"/>
      <c r="P219" s="103"/>
      <c r="Q219" s="103"/>
      <c r="R219" s="83"/>
      <c r="S219" s="103"/>
      <c r="T219" s="103"/>
      <c r="U219" s="103"/>
    </row>
    <row r="220" customFormat="false" ht="22.5" hidden="false" customHeight="true" outlineLevel="0" collapsed="false">
      <c r="A220" s="110"/>
      <c r="B220" s="110"/>
      <c r="C220" s="110"/>
      <c r="D220" s="122"/>
      <c r="E220" s="110"/>
      <c r="F220" s="128" t="str">
        <f aca="false">IF(E220="CONTADO", 4%, IF(E220="TARJETA / CHEQUE", 3%, IF(OR(E220="FINANCIADO", E220="MCP"), 2.5%, "")))</f>
        <v/>
      </c>
      <c r="G220" s="122" t="str">
        <f aca="false">IF(F220="", "", F220*D220)</f>
        <v/>
      </c>
      <c r="H220" s="131" t="b">
        <f aca="false">FALSE()</f>
        <v>0</v>
      </c>
      <c r="I220" s="131" t="b">
        <f aca="false">FALSE()</f>
        <v>0</v>
      </c>
      <c r="J220" s="130"/>
      <c r="K220" s="110"/>
      <c r="L220" s="83"/>
      <c r="M220" s="103"/>
      <c r="N220" s="103"/>
      <c r="O220" s="103"/>
      <c r="P220" s="103"/>
      <c r="Q220" s="103"/>
      <c r="R220" s="83"/>
      <c r="S220" s="103"/>
      <c r="T220" s="103"/>
      <c r="U220" s="103"/>
    </row>
    <row r="221" customFormat="false" ht="22.5" hidden="false" customHeight="true" outlineLevel="0" collapsed="false">
      <c r="A221" s="99"/>
      <c r="B221" s="99"/>
      <c r="C221" s="99"/>
      <c r="D221" s="121"/>
      <c r="E221" s="99"/>
      <c r="F221" s="124" t="str">
        <f aca="false">IF(E221="CONTADO", 4%, IF(E221="TARJETA / CHEQUE", 3%, IF(OR(E221="FINANCIADO", E221="MCP"), 2.5%, "")))</f>
        <v/>
      </c>
      <c r="G221" s="121" t="str">
        <f aca="false">IF(F221="", "", F221*D221)</f>
        <v/>
      </c>
      <c r="H221" s="132" t="b">
        <f aca="false">FALSE()</f>
        <v>0</v>
      </c>
      <c r="I221" s="132" t="b">
        <f aca="false">FALSE()</f>
        <v>0</v>
      </c>
      <c r="J221" s="126"/>
      <c r="K221" s="99"/>
      <c r="L221" s="83"/>
      <c r="M221" s="103"/>
      <c r="N221" s="103"/>
      <c r="O221" s="103"/>
      <c r="P221" s="103"/>
      <c r="Q221" s="103"/>
      <c r="R221" s="83"/>
      <c r="S221" s="103"/>
      <c r="T221" s="103"/>
      <c r="U221" s="103"/>
    </row>
    <row r="222" customFormat="false" ht="22.5" hidden="false" customHeight="true" outlineLevel="0" collapsed="false">
      <c r="A222" s="110"/>
      <c r="B222" s="110"/>
      <c r="C222" s="110"/>
      <c r="D222" s="122"/>
      <c r="E222" s="110"/>
      <c r="F222" s="128" t="str">
        <f aca="false">IF(E222="CONTADO", 4%, IF(E222="TARJETA / CHEQUE", 3%, IF(OR(E222="FINANCIADO", E222="MCP"), 2.5%, "")))</f>
        <v/>
      </c>
      <c r="G222" s="122" t="str">
        <f aca="false">IF(F222="", "", F222*D222)</f>
        <v/>
      </c>
      <c r="H222" s="131" t="b">
        <f aca="false">FALSE()</f>
        <v>0</v>
      </c>
      <c r="I222" s="131" t="b">
        <f aca="false">FALSE()</f>
        <v>0</v>
      </c>
      <c r="J222" s="130"/>
      <c r="K222" s="110"/>
      <c r="L222" s="83"/>
      <c r="M222" s="103"/>
      <c r="N222" s="103"/>
      <c r="O222" s="103"/>
      <c r="P222" s="103"/>
      <c r="Q222" s="103"/>
      <c r="R222" s="83"/>
      <c r="S222" s="103"/>
      <c r="T222" s="103"/>
      <c r="U222" s="103"/>
    </row>
    <row r="223" customFormat="false" ht="22.5" hidden="false" customHeight="true" outlineLevel="0" collapsed="false">
      <c r="A223" s="99"/>
      <c r="B223" s="99"/>
      <c r="C223" s="99"/>
      <c r="D223" s="121"/>
      <c r="E223" s="99"/>
      <c r="F223" s="124" t="str">
        <f aca="false">IF(E223="CONTADO", 4%, IF(E223="TARJETA / CHEQUE", 3%, IF(OR(E223="FINANCIADO", E223="MCP"), 2.5%, "")))</f>
        <v/>
      </c>
      <c r="G223" s="121" t="str">
        <f aca="false">IF(F223="", "", F223*D223)</f>
        <v/>
      </c>
      <c r="H223" s="132" t="b">
        <f aca="false">FALSE()</f>
        <v>0</v>
      </c>
      <c r="I223" s="132" t="b">
        <f aca="false">FALSE()</f>
        <v>0</v>
      </c>
      <c r="J223" s="126"/>
      <c r="K223" s="99"/>
      <c r="L223" s="83"/>
      <c r="M223" s="103"/>
      <c r="N223" s="103"/>
      <c r="O223" s="103"/>
      <c r="P223" s="103"/>
      <c r="Q223" s="103"/>
      <c r="R223" s="83"/>
      <c r="S223" s="103"/>
      <c r="T223" s="103"/>
      <c r="U223" s="103"/>
    </row>
    <row r="224" customFormat="false" ht="22.5" hidden="false" customHeight="true" outlineLevel="0" collapsed="false">
      <c r="A224" s="110"/>
      <c r="B224" s="110"/>
      <c r="C224" s="110"/>
      <c r="D224" s="122"/>
      <c r="E224" s="110"/>
      <c r="F224" s="128" t="str">
        <f aca="false">IF(E224="CONTADO", 4%, IF(E224="TARJETA / CHEQUE", 3%, IF(OR(E224="FINANCIADO", E224="MCP"), 2.5%, "")))</f>
        <v/>
      </c>
      <c r="G224" s="122" t="str">
        <f aca="false">IF(F224="", "", F224*D224)</f>
        <v/>
      </c>
      <c r="H224" s="131" t="b">
        <f aca="false">FALSE()</f>
        <v>0</v>
      </c>
      <c r="I224" s="131" t="b">
        <f aca="false">FALSE()</f>
        <v>0</v>
      </c>
      <c r="J224" s="130"/>
      <c r="K224" s="110"/>
      <c r="L224" s="83"/>
      <c r="M224" s="103"/>
      <c r="N224" s="103"/>
      <c r="O224" s="103"/>
      <c r="P224" s="103"/>
      <c r="Q224" s="103"/>
      <c r="R224" s="83"/>
      <c r="S224" s="103"/>
      <c r="T224" s="103"/>
      <c r="U224" s="103"/>
    </row>
    <row r="225" customFormat="false" ht="22.5" hidden="false" customHeight="true" outlineLevel="0" collapsed="false">
      <c r="A225" s="99"/>
      <c r="B225" s="99"/>
      <c r="C225" s="99"/>
      <c r="D225" s="121"/>
      <c r="E225" s="99"/>
      <c r="F225" s="124" t="str">
        <f aca="false">IF(E225="CONTADO", 4%, IF(E225="TARJETA / CHEQUE", 3%, IF(OR(E225="FINANCIADO", E225="MCP"), 2.5%, "")))</f>
        <v/>
      </c>
      <c r="G225" s="121" t="str">
        <f aca="false">IF(F225="", "", F225*D225)</f>
        <v/>
      </c>
      <c r="H225" s="132" t="b">
        <f aca="false">FALSE()</f>
        <v>0</v>
      </c>
      <c r="I225" s="132" t="b">
        <f aca="false">FALSE()</f>
        <v>0</v>
      </c>
      <c r="J225" s="126"/>
      <c r="K225" s="99"/>
      <c r="L225" s="83"/>
      <c r="M225" s="103"/>
      <c r="N225" s="103"/>
      <c r="O225" s="103"/>
      <c r="P225" s="103"/>
      <c r="Q225" s="103"/>
      <c r="R225" s="83"/>
      <c r="S225" s="103"/>
      <c r="T225" s="103"/>
      <c r="U225" s="103"/>
    </row>
    <row r="226" customFormat="false" ht="22.5" hidden="false" customHeight="true" outlineLevel="0" collapsed="false">
      <c r="A226" s="110"/>
      <c r="B226" s="110"/>
      <c r="C226" s="110"/>
      <c r="D226" s="122"/>
      <c r="E226" s="110"/>
      <c r="F226" s="128" t="str">
        <f aca="false">IF(E226="CONTADO", 4%, IF(E226="TARJETA / CHEQUE", 3%, IF(OR(E226="FINANCIADO", E226="MCP"), 2.5%, "")))</f>
        <v/>
      </c>
      <c r="G226" s="122" t="str">
        <f aca="false">IF(F226="", "", F226*D226)</f>
        <v/>
      </c>
      <c r="H226" s="131" t="b">
        <f aca="false">FALSE()</f>
        <v>0</v>
      </c>
      <c r="I226" s="131" t="b">
        <f aca="false">FALSE()</f>
        <v>0</v>
      </c>
      <c r="J226" s="130"/>
      <c r="K226" s="110"/>
      <c r="L226" s="83"/>
      <c r="M226" s="103"/>
      <c r="N226" s="103"/>
      <c r="O226" s="103"/>
      <c r="P226" s="103"/>
      <c r="Q226" s="103"/>
      <c r="R226" s="83"/>
      <c r="S226" s="103"/>
      <c r="T226" s="103"/>
      <c r="U226" s="103"/>
    </row>
    <row r="227" customFormat="false" ht="22.5" hidden="false" customHeight="true" outlineLevel="0" collapsed="false">
      <c r="A227" s="99"/>
      <c r="B227" s="99"/>
      <c r="C227" s="99"/>
      <c r="D227" s="121"/>
      <c r="E227" s="99"/>
      <c r="F227" s="124" t="str">
        <f aca="false">IF(E227="CONTADO", 4%, IF(E227="TARJETA / CHEQUE", 3%, IF(OR(E227="FINANCIADO", E227="MCP"), 2.5%, "")))</f>
        <v/>
      </c>
      <c r="G227" s="121" t="str">
        <f aca="false">IF(F227="", "", F227*D227)</f>
        <v/>
      </c>
      <c r="H227" s="132" t="b">
        <f aca="false">FALSE()</f>
        <v>0</v>
      </c>
      <c r="I227" s="132" t="b">
        <f aca="false">FALSE()</f>
        <v>0</v>
      </c>
      <c r="J227" s="126"/>
      <c r="K227" s="99"/>
      <c r="L227" s="83"/>
      <c r="M227" s="103"/>
      <c r="N227" s="103"/>
      <c r="O227" s="103"/>
      <c r="P227" s="103"/>
      <c r="Q227" s="103"/>
      <c r="R227" s="83"/>
      <c r="S227" s="103"/>
      <c r="T227" s="103"/>
      <c r="U227" s="103"/>
    </row>
    <row r="228" customFormat="false" ht="22.5" hidden="false" customHeight="true" outlineLevel="0" collapsed="false">
      <c r="A228" s="110"/>
      <c r="B228" s="110"/>
      <c r="C228" s="110"/>
      <c r="D228" s="122"/>
      <c r="E228" s="110"/>
      <c r="F228" s="128" t="str">
        <f aca="false">IF(E228="CONTADO", 4%, IF(E228="TARJETA / CHEQUE", 3%, IF(OR(E228="FINANCIADO", E228="MCP"), 2.5%, "")))</f>
        <v/>
      </c>
      <c r="G228" s="122" t="str">
        <f aca="false">IF(F228="", "", F228*D228)</f>
        <v/>
      </c>
      <c r="H228" s="131" t="b">
        <f aca="false">FALSE()</f>
        <v>0</v>
      </c>
      <c r="I228" s="131" t="b">
        <f aca="false">FALSE()</f>
        <v>0</v>
      </c>
      <c r="J228" s="130"/>
      <c r="K228" s="110"/>
      <c r="L228" s="83"/>
      <c r="M228" s="103"/>
      <c r="N228" s="103"/>
      <c r="O228" s="103"/>
      <c r="P228" s="103"/>
      <c r="Q228" s="103"/>
      <c r="R228" s="83"/>
      <c r="S228" s="103"/>
      <c r="T228" s="103"/>
      <c r="U228" s="103"/>
    </row>
    <row r="229" customFormat="false" ht="22.5" hidden="false" customHeight="true" outlineLevel="0" collapsed="false">
      <c r="A229" s="99"/>
      <c r="B229" s="99"/>
      <c r="C229" s="99"/>
      <c r="D229" s="121"/>
      <c r="E229" s="99"/>
      <c r="F229" s="124" t="str">
        <f aca="false">IF(E229="CONTADO", 4%, IF(E229="TARJETA / CHEQUE", 3%, IF(OR(E229="FINANCIADO", E229="MCP"), 2.5%, "")))</f>
        <v/>
      </c>
      <c r="G229" s="121" t="str">
        <f aca="false">IF(F229="", "", F229*D229)</f>
        <v/>
      </c>
      <c r="H229" s="132" t="b">
        <f aca="false">FALSE()</f>
        <v>0</v>
      </c>
      <c r="I229" s="132" t="b">
        <f aca="false">FALSE()</f>
        <v>0</v>
      </c>
      <c r="J229" s="126"/>
      <c r="K229" s="99"/>
      <c r="L229" s="83"/>
      <c r="M229" s="103"/>
      <c r="N229" s="103"/>
      <c r="O229" s="103"/>
      <c r="P229" s="103"/>
      <c r="Q229" s="103"/>
      <c r="R229" s="83"/>
      <c r="S229" s="103"/>
      <c r="T229" s="103"/>
      <c r="U229" s="103"/>
    </row>
    <row r="230" customFormat="false" ht="22.5" hidden="false" customHeight="true" outlineLevel="0" collapsed="false">
      <c r="A230" s="110"/>
      <c r="B230" s="110"/>
      <c r="C230" s="110"/>
      <c r="D230" s="122"/>
      <c r="E230" s="110"/>
      <c r="F230" s="128" t="str">
        <f aca="false">IF(E230="CONTADO", 4%, IF(E230="TARJETA / CHEQUE", 3%, IF(OR(E230="FINANCIADO", E230="MCP"), 2.5%, "")))</f>
        <v/>
      </c>
      <c r="G230" s="122" t="str">
        <f aca="false">IF(F230="", "", F230*D230)</f>
        <v/>
      </c>
      <c r="H230" s="131" t="b">
        <f aca="false">FALSE()</f>
        <v>0</v>
      </c>
      <c r="I230" s="131" t="b">
        <f aca="false">FALSE()</f>
        <v>0</v>
      </c>
      <c r="J230" s="130"/>
      <c r="K230" s="110"/>
      <c r="L230" s="83"/>
      <c r="M230" s="103"/>
      <c r="N230" s="103"/>
      <c r="O230" s="103"/>
      <c r="P230" s="103"/>
      <c r="Q230" s="103"/>
      <c r="R230" s="83"/>
      <c r="S230" s="103"/>
      <c r="T230" s="103"/>
      <c r="U230" s="103"/>
    </row>
    <row r="231" customFormat="false" ht="22.5" hidden="false" customHeight="true" outlineLevel="0" collapsed="false">
      <c r="A231" s="99"/>
      <c r="B231" s="99"/>
      <c r="C231" s="99"/>
      <c r="D231" s="121"/>
      <c r="E231" s="99"/>
      <c r="F231" s="124" t="str">
        <f aca="false">IF(E231="CONTADO", 4%, IF(E231="TARJETA / CHEQUE", 3%, IF(OR(E231="FINANCIADO", E231="MCP"), 2.5%, "")))</f>
        <v/>
      </c>
      <c r="G231" s="121" t="str">
        <f aca="false">IF(F231="", "", F231*D231)</f>
        <v/>
      </c>
      <c r="H231" s="132" t="b">
        <f aca="false">FALSE()</f>
        <v>0</v>
      </c>
      <c r="I231" s="132" t="b">
        <f aca="false">FALSE()</f>
        <v>0</v>
      </c>
      <c r="J231" s="126"/>
      <c r="K231" s="99"/>
      <c r="L231" s="83"/>
      <c r="M231" s="103"/>
      <c r="N231" s="103"/>
      <c r="O231" s="103"/>
      <c r="P231" s="103"/>
      <c r="Q231" s="103"/>
      <c r="R231" s="83"/>
      <c r="S231" s="103"/>
      <c r="T231" s="103"/>
      <c r="U231" s="103"/>
    </row>
    <row r="232" customFormat="false" ht="22.5" hidden="false" customHeight="true" outlineLevel="0" collapsed="false">
      <c r="A232" s="110"/>
      <c r="B232" s="110"/>
      <c r="C232" s="110"/>
      <c r="D232" s="122"/>
      <c r="E232" s="110"/>
      <c r="F232" s="128" t="str">
        <f aca="false">IF(E232="CONTADO", 4%, IF(E232="TARJETA / CHEQUE", 3%, IF(OR(E232="FINANCIADO", E232="MCP"), 2.5%, "")))</f>
        <v/>
      </c>
      <c r="G232" s="122" t="str">
        <f aca="false">IF(F232="", "", F232*D232)</f>
        <v/>
      </c>
      <c r="H232" s="131" t="b">
        <f aca="false">FALSE()</f>
        <v>0</v>
      </c>
      <c r="I232" s="131" t="b">
        <f aca="false">FALSE()</f>
        <v>0</v>
      </c>
      <c r="J232" s="130"/>
      <c r="K232" s="110"/>
      <c r="L232" s="83"/>
      <c r="M232" s="103"/>
      <c r="N232" s="103"/>
      <c r="O232" s="103"/>
      <c r="P232" s="103"/>
      <c r="Q232" s="103"/>
      <c r="R232" s="83"/>
      <c r="S232" s="103"/>
      <c r="T232" s="103"/>
      <c r="U232" s="103"/>
    </row>
    <row r="233" customFormat="false" ht="22.5" hidden="false" customHeight="true" outlineLevel="0" collapsed="false">
      <c r="A233" s="99"/>
      <c r="B233" s="99"/>
      <c r="C233" s="99"/>
      <c r="D233" s="121"/>
      <c r="E233" s="99"/>
      <c r="F233" s="124" t="str">
        <f aca="false">IF(E233="CONTADO", 4%, IF(E233="TARJETA / CHEQUE", 3%, IF(OR(E233="FINANCIADO", E233="MCP"), 2.5%, "")))</f>
        <v/>
      </c>
      <c r="G233" s="121" t="str">
        <f aca="false">IF(F233="", "", F233*D233)</f>
        <v/>
      </c>
      <c r="H233" s="132" t="b">
        <f aca="false">FALSE()</f>
        <v>0</v>
      </c>
      <c r="I233" s="132" t="b">
        <f aca="false">FALSE()</f>
        <v>0</v>
      </c>
      <c r="J233" s="126"/>
      <c r="K233" s="99"/>
      <c r="L233" s="83"/>
      <c r="M233" s="103"/>
      <c r="N233" s="103"/>
      <c r="O233" s="103"/>
      <c r="P233" s="103"/>
      <c r="Q233" s="103"/>
      <c r="R233" s="83"/>
      <c r="S233" s="103"/>
      <c r="T233" s="103"/>
      <c r="U233" s="103"/>
    </row>
    <row r="234" customFormat="false" ht="22.5" hidden="false" customHeight="true" outlineLevel="0" collapsed="false">
      <c r="A234" s="110"/>
      <c r="B234" s="110"/>
      <c r="C234" s="110"/>
      <c r="D234" s="122"/>
      <c r="E234" s="110"/>
      <c r="F234" s="128" t="str">
        <f aca="false">IF(E234="CONTADO", 4%, IF(E234="TARJETA / CHEQUE", 3%, IF(OR(E234="FINANCIADO", E234="MCP"), 2.5%, "")))</f>
        <v/>
      </c>
      <c r="G234" s="122" t="str">
        <f aca="false">IF(F234="", "", F234*D234)</f>
        <v/>
      </c>
      <c r="H234" s="131" t="b">
        <f aca="false">FALSE()</f>
        <v>0</v>
      </c>
      <c r="I234" s="131" t="b">
        <f aca="false">FALSE()</f>
        <v>0</v>
      </c>
      <c r="J234" s="130"/>
      <c r="K234" s="110"/>
      <c r="L234" s="83"/>
      <c r="M234" s="103"/>
      <c r="N234" s="103"/>
      <c r="O234" s="103"/>
      <c r="P234" s="103"/>
      <c r="Q234" s="103"/>
      <c r="R234" s="83"/>
      <c r="S234" s="103"/>
      <c r="T234" s="103"/>
      <c r="U234" s="103"/>
    </row>
    <row r="235" customFormat="false" ht="22.5" hidden="false" customHeight="true" outlineLevel="0" collapsed="false">
      <c r="A235" s="99"/>
      <c r="B235" s="99"/>
      <c r="C235" s="99"/>
      <c r="D235" s="121"/>
      <c r="E235" s="99"/>
      <c r="F235" s="124" t="str">
        <f aca="false">IF(E235="CONTADO", 4%, IF(E235="TARJETA / CHEQUE", 3%, IF(OR(E235="FINANCIADO", E235="MCP"), 2.5%, "")))</f>
        <v/>
      </c>
      <c r="G235" s="121" t="str">
        <f aca="false">IF(F235="", "", F235*D235)</f>
        <v/>
      </c>
      <c r="H235" s="132" t="b">
        <f aca="false">FALSE()</f>
        <v>0</v>
      </c>
      <c r="I235" s="132" t="b">
        <f aca="false">FALSE()</f>
        <v>0</v>
      </c>
      <c r="J235" s="126"/>
      <c r="K235" s="99"/>
      <c r="L235" s="83"/>
      <c r="M235" s="103"/>
      <c r="N235" s="103"/>
      <c r="O235" s="103"/>
      <c r="P235" s="103"/>
      <c r="Q235" s="103"/>
      <c r="R235" s="83"/>
      <c r="S235" s="103"/>
      <c r="T235" s="103"/>
      <c r="U235" s="103"/>
    </row>
    <row r="236" customFormat="false" ht="22.5" hidden="false" customHeight="true" outlineLevel="0" collapsed="false">
      <c r="A236" s="110"/>
      <c r="B236" s="110"/>
      <c r="C236" s="110"/>
      <c r="D236" s="122"/>
      <c r="E236" s="110"/>
      <c r="F236" s="128" t="str">
        <f aca="false">IF(E236="CONTADO", 4%, IF(E236="TARJETA / CHEQUE", 3%, IF(OR(E236="FINANCIADO", E236="MCP"), 2.5%, "")))</f>
        <v/>
      </c>
      <c r="G236" s="122" t="str">
        <f aca="false">IF(F236="", "", F236*D236)</f>
        <v/>
      </c>
      <c r="H236" s="131" t="b">
        <f aca="false">FALSE()</f>
        <v>0</v>
      </c>
      <c r="I236" s="131" t="b">
        <f aca="false">FALSE()</f>
        <v>0</v>
      </c>
      <c r="J236" s="130"/>
      <c r="K236" s="110"/>
      <c r="L236" s="83"/>
      <c r="M236" s="103"/>
      <c r="N236" s="103"/>
      <c r="O236" s="103"/>
      <c r="P236" s="103"/>
      <c r="Q236" s="103"/>
      <c r="R236" s="83"/>
      <c r="S236" s="103"/>
      <c r="T236" s="103"/>
      <c r="U236" s="103"/>
    </row>
    <row r="237" customFormat="false" ht="22.5" hidden="false" customHeight="true" outlineLevel="0" collapsed="false">
      <c r="A237" s="99"/>
      <c r="B237" s="99"/>
      <c r="C237" s="99"/>
      <c r="D237" s="121"/>
      <c r="E237" s="99"/>
      <c r="F237" s="124" t="str">
        <f aca="false">IF(E237="CONTADO", 4%, IF(E237="TARJETA / CHEQUE", 3%, IF(OR(E237="FINANCIADO", E237="MCP"), 2.5%, "")))</f>
        <v/>
      </c>
      <c r="G237" s="121" t="str">
        <f aca="false">IF(F237="", "", F237*D237)</f>
        <v/>
      </c>
      <c r="H237" s="132" t="b">
        <f aca="false">FALSE()</f>
        <v>0</v>
      </c>
      <c r="I237" s="132" t="b">
        <f aca="false">FALSE()</f>
        <v>0</v>
      </c>
      <c r="J237" s="126"/>
      <c r="K237" s="99"/>
      <c r="L237" s="83"/>
      <c r="M237" s="103"/>
      <c r="N237" s="103"/>
      <c r="O237" s="103"/>
      <c r="P237" s="103"/>
      <c r="Q237" s="103"/>
      <c r="R237" s="83"/>
      <c r="S237" s="103"/>
      <c r="T237" s="103"/>
      <c r="U237" s="103"/>
    </row>
    <row r="238" customFormat="false" ht="22.5" hidden="false" customHeight="true" outlineLevel="0" collapsed="false">
      <c r="A238" s="110"/>
      <c r="B238" s="110"/>
      <c r="C238" s="110"/>
      <c r="D238" s="122"/>
      <c r="E238" s="110"/>
      <c r="F238" s="128" t="str">
        <f aca="false">IF(E238="CONTADO", 4%, IF(E238="TARJETA / CHEQUE", 3%, IF(OR(E238="FINANCIADO", E238="MCP"), 2.5%, "")))</f>
        <v/>
      </c>
      <c r="G238" s="122" t="str">
        <f aca="false">IF(F238="", "", F238*D238)</f>
        <v/>
      </c>
      <c r="H238" s="131" t="b">
        <f aca="false">FALSE()</f>
        <v>0</v>
      </c>
      <c r="I238" s="131" t="b">
        <f aca="false">FALSE()</f>
        <v>0</v>
      </c>
      <c r="J238" s="130"/>
      <c r="K238" s="110"/>
      <c r="L238" s="83"/>
      <c r="M238" s="103"/>
      <c r="N238" s="103"/>
      <c r="O238" s="103"/>
      <c r="P238" s="103"/>
      <c r="Q238" s="103"/>
      <c r="R238" s="83"/>
      <c r="S238" s="103"/>
      <c r="T238" s="103"/>
      <c r="U238" s="103"/>
    </row>
    <row r="239" customFormat="false" ht="22.5" hidden="false" customHeight="true" outlineLevel="0" collapsed="false">
      <c r="A239" s="99"/>
      <c r="B239" s="99"/>
      <c r="C239" s="99"/>
      <c r="D239" s="121"/>
      <c r="E239" s="99"/>
      <c r="F239" s="124" t="str">
        <f aca="false">IF(E239="CONTADO", 4%, IF(E239="TARJETA / CHEQUE", 3%, IF(OR(E239="FINANCIADO", E239="MCP"), 2.5%, "")))</f>
        <v/>
      </c>
      <c r="G239" s="121" t="str">
        <f aca="false">IF(F239="", "", F239*D239)</f>
        <v/>
      </c>
      <c r="H239" s="132" t="b">
        <f aca="false">FALSE()</f>
        <v>0</v>
      </c>
      <c r="I239" s="132" t="b">
        <f aca="false">FALSE()</f>
        <v>0</v>
      </c>
      <c r="J239" s="126"/>
      <c r="K239" s="99"/>
      <c r="L239" s="83"/>
      <c r="M239" s="103"/>
      <c r="N239" s="103"/>
      <c r="O239" s="103"/>
      <c r="P239" s="103"/>
      <c r="Q239" s="103"/>
      <c r="R239" s="83"/>
      <c r="S239" s="103"/>
      <c r="T239" s="103"/>
      <c r="U239" s="103"/>
    </row>
    <row r="240" customFormat="false" ht="22.5" hidden="false" customHeight="true" outlineLevel="0" collapsed="false">
      <c r="A240" s="110"/>
      <c r="B240" s="110"/>
      <c r="C240" s="110"/>
      <c r="D240" s="122"/>
      <c r="E240" s="110"/>
      <c r="F240" s="128" t="str">
        <f aca="false">IF(E240="CONTADO", 4%, IF(E240="TARJETA / CHEQUE", 3%, IF(OR(E240="FINANCIADO", E240="MCP"), 2.5%, "")))</f>
        <v/>
      </c>
      <c r="G240" s="122" t="str">
        <f aca="false">IF(F240="", "", F240*D240)</f>
        <v/>
      </c>
      <c r="H240" s="131" t="b">
        <f aca="false">FALSE()</f>
        <v>0</v>
      </c>
      <c r="I240" s="131" t="b">
        <f aca="false">FALSE()</f>
        <v>0</v>
      </c>
      <c r="J240" s="130"/>
      <c r="K240" s="110"/>
      <c r="L240" s="83"/>
      <c r="M240" s="103"/>
      <c r="N240" s="103"/>
      <c r="O240" s="103"/>
      <c r="P240" s="103"/>
      <c r="Q240" s="103"/>
      <c r="R240" s="83"/>
      <c r="S240" s="103"/>
      <c r="T240" s="103"/>
      <c r="U240" s="103"/>
    </row>
    <row r="241" customFormat="false" ht="22.5" hidden="false" customHeight="true" outlineLevel="0" collapsed="false">
      <c r="A241" s="99"/>
      <c r="B241" s="99"/>
      <c r="C241" s="99"/>
      <c r="D241" s="121"/>
      <c r="E241" s="99"/>
      <c r="F241" s="124" t="str">
        <f aca="false">IF(E241="CONTADO", 4%, IF(E241="TARJETA / CHEQUE", 3%, IF(OR(E241="FINANCIADO", E241="MCP"), 2.5%, "")))</f>
        <v/>
      </c>
      <c r="G241" s="121" t="str">
        <f aca="false">IF(F241="", "", F241*D241)</f>
        <v/>
      </c>
      <c r="H241" s="132" t="b">
        <f aca="false">FALSE()</f>
        <v>0</v>
      </c>
      <c r="I241" s="132" t="b">
        <f aca="false">FALSE()</f>
        <v>0</v>
      </c>
      <c r="J241" s="126"/>
      <c r="K241" s="99"/>
      <c r="L241" s="83"/>
      <c r="M241" s="103"/>
      <c r="N241" s="103"/>
      <c r="O241" s="103"/>
      <c r="P241" s="103"/>
      <c r="Q241" s="103"/>
      <c r="R241" s="83"/>
      <c r="S241" s="103"/>
      <c r="T241" s="103"/>
      <c r="U241" s="103"/>
    </row>
    <row r="242" customFormat="false" ht="22.5" hidden="false" customHeight="true" outlineLevel="0" collapsed="false">
      <c r="A242" s="110"/>
      <c r="B242" s="110"/>
      <c r="C242" s="110"/>
      <c r="D242" s="122"/>
      <c r="E242" s="110"/>
      <c r="F242" s="128" t="str">
        <f aca="false">IF(E242="CONTADO", 4%, IF(E242="TARJETA / CHEQUE", 3%, IF(OR(E242="FINANCIADO", E242="MCP"), 2.5%, "")))</f>
        <v/>
      </c>
      <c r="G242" s="122" t="str">
        <f aca="false">IF(F242="", "", F242*D242)</f>
        <v/>
      </c>
      <c r="H242" s="131" t="b">
        <f aca="false">FALSE()</f>
        <v>0</v>
      </c>
      <c r="I242" s="131" t="b">
        <f aca="false">FALSE()</f>
        <v>0</v>
      </c>
      <c r="J242" s="130"/>
      <c r="K242" s="110"/>
      <c r="L242" s="83"/>
      <c r="M242" s="103"/>
      <c r="N242" s="103"/>
      <c r="O242" s="103"/>
      <c r="P242" s="103"/>
      <c r="Q242" s="103"/>
      <c r="R242" s="83"/>
      <c r="S242" s="103"/>
      <c r="T242" s="103"/>
      <c r="U242" s="103"/>
    </row>
    <row r="243" customFormat="false" ht="22.5" hidden="false" customHeight="true" outlineLevel="0" collapsed="false">
      <c r="A243" s="99"/>
      <c r="B243" s="99"/>
      <c r="C243" s="99"/>
      <c r="D243" s="121"/>
      <c r="E243" s="99"/>
      <c r="F243" s="124" t="str">
        <f aca="false">IF(E243="CONTADO", 4%, IF(E243="TARJETA / CHEQUE", 3%, IF(OR(E243="FINANCIADO", E243="MCP"), 2.5%, "")))</f>
        <v/>
      </c>
      <c r="G243" s="121" t="str">
        <f aca="false">IF(F243="", "", F243*D243)</f>
        <v/>
      </c>
      <c r="H243" s="132" t="b">
        <f aca="false">FALSE()</f>
        <v>0</v>
      </c>
      <c r="I243" s="132" t="b">
        <f aca="false">FALSE()</f>
        <v>0</v>
      </c>
      <c r="J243" s="126"/>
      <c r="K243" s="99"/>
      <c r="L243" s="83"/>
      <c r="M243" s="103"/>
      <c r="N243" s="103"/>
      <c r="O243" s="103"/>
      <c r="P243" s="103"/>
      <c r="Q243" s="103"/>
      <c r="R243" s="83"/>
      <c r="S243" s="103"/>
      <c r="T243" s="103"/>
      <c r="U243" s="103"/>
    </row>
    <row r="244" customFormat="false" ht="22.5" hidden="false" customHeight="true" outlineLevel="0" collapsed="false">
      <c r="A244" s="110"/>
      <c r="B244" s="110"/>
      <c r="C244" s="110"/>
      <c r="D244" s="122"/>
      <c r="E244" s="110"/>
      <c r="F244" s="128" t="str">
        <f aca="false">IF(E244="CONTADO", 4%, IF(E244="TARJETA / CHEQUE", 3%, IF(OR(E244="FINANCIADO", E244="MCP"), 2.5%, "")))</f>
        <v/>
      </c>
      <c r="G244" s="122" t="str">
        <f aca="false">IF(F244="", "", F244*D244)</f>
        <v/>
      </c>
      <c r="H244" s="131" t="b">
        <f aca="false">FALSE()</f>
        <v>0</v>
      </c>
      <c r="I244" s="131" t="b">
        <f aca="false">FALSE()</f>
        <v>0</v>
      </c>
      <c r="J244" s="130"/>
      <c r="K244" s="110"/>
      <c r="L244" s="83"/>
      <c r="M244" s="103"/>
      <c r="N244" s="103"/>
      <c r="O244" s="103"/>
      <c r="P244" s="103"/>
      <c r="Q244" s="103"/>
      <c r="R244" s="83"/>
      <c r="S244" s="103"/>
      <c r="T244" s="103"/>
      <c r="U244" s="103"/>
    </row>
    <row r="245" customFormat="false" ht="22.5" hidden="false" customHeight="true" outlineLevel="0" collapsed="false">
      <c r="A245" s="99"/>
      <c r="B245" s="99"/>
      <c r="C245" s="99"/>
      <c r="D245" s="121"/>
      <c r="E245" s="99"/>
      <c r="F245" s="124" t="str">
        <f aca="false">IF(E245="CONTADO", 4%, IF(E245="TARJETA / CHEQUE", 3%, IF(OR(E245="FINANCIADO", E245="MCP"), 2.5%, "")))</f>
        <v/>
      </c>
      <c r="G245" s="121" t="str">
        <f aca="false">IF(F245="", "", F245*D245)</f>
        <v/>
      </c>
      <c r="H245" s="132" t="b">
        <f aca="false">FALSE()</f>
        <v>0</v>
      </c>
      <c r="I245" s="132" t="b">
        <f aca="false">FALSE()</f>
        <v>0</v>
      </c>
      <c r="J245" s="126"/>
      <c r="K245" s="99"/>
      <c r="L245" s="83"/>
      <c r="M245" s="103"/>
      <c r="N245" s="103"/>
      <c r="O245" s="103"/>
      <c r="P245" s="103"/>
      <c r="Q245" s="103"/>
      <c r="R245" s="83"/>
      <c r="S245" s="103"/>
      <c r="T245" s="103"/>
      <c r="U245" s="103"/>
    </row>
    <row r="246" customFormat="false" ht="22.5" hidden="false" customHeight="true" outlineLevel="0" collapsed="false">
      <c r="A246" s="110"/>
      <c r="B246" s="110"/>
      <c r="C246" s="110"/>
      <c r="D246" s="122"/>
      <c r="E246" s="110"/>
      <c r="F246" s="128" t="str">
        <f aca="false">IF(E246="CONTADO", 4%, IF(E246="TARJETA / CHEQUE", 3%, IF(OR(E246="FINANCIADO", E246="MCP"), 2.5%, "")))</f>
        <v/>
      </c>
      <c r="G246" s="122" t="str">
        <f aca="false">IF(F246="", "", F246*D246)</f>
        <v/>
      </c>
      <c r="H246" s="131" t="b">
        <f aca="false">FALSE()</f>
        <v>0</v>
      </c>
      <c r="I246" s="131" t="b">
        <f aca="false">FALSE()</f>
        <v>0</v>
      </c>
      <c r="J246" s="130"/>
      <c r="K246" s="110"/>
      <c r="L246" s="83"/>
      <c r="M246" s="103"/>
      <c r="N246" s="103"/>
      <c r="O246" s="103"/>
      <c r="P246" s="103"/>
      <c r="Q246" s="103"/>
      <c r="R246" s="83"/>
      <c r="S246" s="103"/>
      <c r="T246" s="103"/>
      <c r="U246" s="103"/>
    </row>
    <row r="247" customFormat="false" ht="22.5" hidden="false" customHeight="true" outlineLevel="0" collapsed="false">
      <c r="A247" s="99"/>
      <c r="B247" s="99"/>
      <c r="C247" s="99"/>
      <c r="D247" s="121"/>
      <c r="E247" s="99"/>
      <c r="F247" s="124" t="str">
        <f aca="false">IF(E247="CONTADO", 4%, IF(E247="TARJETA / CHEQUE", 3%, IF(OR(E247="FINANCIADO", E247="MCP"), 2.5%, "")))</f>
        <v/>
      </c>
      <c r="G247" s="121" t="str">
        <f aca="false">IF(F247="", "", F247*D247)</f>
        <v/>
      </c>
      <c r="H247" s="132" t="b">
        <f aca="false">FALSE()</f>
        <v>0</v>
      </c>
      <c r="I247" s="132" t="b">
        <f aca="false">FALSE()</f>
        <v>0</v>
      </c>
      <c r="J247" s="126"/>
      <c r="K247" s="99"/>
      <c r="L247" s="83"/>
      <c r="M247" s="103"/>
      <c r="N247" s="103"/>
      <c r="O247" s="103"/>
      <c r="P247" s="103"/>
      <c r="Q247" s="103"/>
      <c r="R247" s="83"/>
      <c r="S247" s="103"/>
      <c r="T247" s="103"/>
      <c r="U247" s="103"/>
    </row>
    <row r="248" customFormat="false" ht="22.5" hidden="false" customHeight="true" outlineLevel="0" collapsed="false">
      <c r="A248" s="110"/>
      <c r="B248" s="110"/>
      <c r="C248" s="110"/>
      <c r="D248" s="122"/>
      <c r="E248" s="110"/>
      <c r="F248" s="128" t="str">
        <f aca="false">IF(E248="CONTADO", 4%, IF(E248="TARJETA / CHEQUE", 3%, IF(OR(E248="FINANCIADO", E248="MCP"), 2.5%, "")))</f>
        <v/>
      </c>
      <c r="G248" s="122" t="str">
        <f aca="false">IF(F248="", "", F248*D248)</f>
        <v/>
      </c>
      <c r="H248" s="131" t="b">
        <f aca="false">FALSE()</f>
        <v>0</v>
      </c>
      <c r="I248" s="131" t="b">
        <f aca="false">FALSE()</f>
        <v>0</v>
      </c>
      <c r="J248" s="130"/>
      <c r="K248" s="110"/>
      <c r="L248" s="83"/>
      <c r="M248" s="103"/>
      <c r="N248" s="103"/>
      <c r="O248" s="103"/>
      <c r="P248" s="103"/>
      <c r="Q248" s="103"/>
      <c r="R248" s="83"/>
      <c r="S248" s="103"/>
      <c r="T248" s="103"/>
      <c r="U248" s="103"/>
    </row>
    <row r="249" customFormat="false" ht="22.5" hidden="false" customHeight="true" outlineLevel="0" collapsed="false">
      <c r="A249" s="99"/>
      <c r="B249" s="99"/>
      <c r="C249" s="99"/>
      <c r="D249" s="121"/>
      <c r="E249" s="99"/>
      <c r="F249" s="124" t="str">
        <f aca="false">IF(E249="CONTADO", 4%, IF(E249="TARJETA / CHEQUE", 3%, IF(OR(E249="FINANCIADO", E249="MCP"), 2.5%, "")))</f>
        <v/>
      </c>
      <c r="G249" s="121" t="str">
        <f aca="false">IF(F249="", "", F249*D249)</f>
        <v/>
      </c>
      <c r="H249" s="132" t="b">
        <f aca="false">FALSE()</f>
        <v>0</v>
      </c>
      <c r="I249" s="132" t="b">
        <f aca="false">FALSE()</f>
        <v>0</v>
      </c>
      <c r="J249" s="126"/>
      <c r="K249" s="99"/>
      <c r="L249" s="83"/>
      <c r="M249" s="103"/>
      <c r="N249" s="103"/>
      <c r="O249" s="103"/>
      <c r="P249" s="103"/>
      <c r="Q249" s="103"/>
      <c r="R249" s="83"/>
      <c r="S249" s="103"/>
      <c r="T249" s="103"/>
      <c r="U249" s="103"/>
    </row>
    <row r="250" customFormat="false" ht="22.5" hidden="false" customHeight="true" outlineLevel="0" collapsed="false">
      <c r="A250" s="110"/>
      <c r="B250" s="110"/>
      <c r="C250" s="110"/>
      <c r="D250" s="122"/>
      <c r="E250" s="110"/>
      <c r="F250" s="128" t="str">
        <f aca="false">IF(E250="CONTADO", 4%, IF(E250="TARJETA / CHEQUE", 3%, IF(OR(E250="FINANCIADO", E250="MCP"), 2.5%, "")))</f>
        <v/>
      </c>
      <c r="G250" s="122" t="str">
        <f aca="false">IF(F250="", "", F250*D250)</f>
        <v/>
      </c>
      <c r="H250" s="131" t="b">
        <f aca="false">FALSE()</f>
        <v>0</v>
      </c>
      <c r="I250" s="131" t="b">
        <f aca="false">FALSE()</f>
        <v>0</v>
      </c>
      <c r="J250" s="130"/>
      <c r="K250" s="110"/>
      <c r="L250" s="83"/>
      <c r="M250" s="103"/>
      <c r="N250" s="103"/>
      <c r="O250" s="103"/>
      <c r="P250" s="103"/>
      <c r="Q250" s="103"/>
      <c r="R250" s="83"/>
      <c r="S250" s="103"/>
      <c r="T250" s="103"/>
      <c r="U250" s="103"/>
    </row>
    <row r="251" customFormat="false" ht="22.5" hidden="false" customHeight="true" outlineLevel="0" collapsed="false">
      <c r="A251" s="99"/>
      <c r="B251" s="99"/>
      <c r="C251" s="99"/>
      <c r="D251" s="121"/>
      <c r="E251" s="99"/>
      <c r="F251" s="124" t="str">
        <f aca="false">IF(E251="CONTADO", 4%, IF(E251="TARJETA / CHEQUE", 3%, IF(OR(E251="FINANCIADO", E251="MCP"), 2.5%, "")))</f>
        <v/>
      </c>
      <c r="G251" s="121" t="str">
        <f aca="false">IF(F251="", "", F251*D251)</f>
        <v/>
      </c>
      <c r="H251" s="132" t="b">
        <f aca="false">FALSE()</f>
        <v>0</v>
      </c>
      <c r="I251" s="132" t="b">
        <f aca="false">FALSE()</f>
        <v>0</v>
      </c>
      <c r="J251" s="126"/>
      <c r="K251" s="99"/>
      <c r="L251" s="83"/>
      <c r="M251" s="103"/>
      <c r="N251" s="103"/>
      <c r="O251" s="103"/>
      <c r="P251" s="103"/>
      <c r="Q251" s="103"/>
      <c r="R251" s="83"/>
      <c r="S251" s="103"/>
      <c r="T251" s="103"/>
      <c r="U251" s="103"/>
    </row>
    <row r="252" customFormat="false" ht="22.5" hidden="false" customHeight="true" outlineLevel="0" collapsed="false">
      <c r="A252" s="110"/>
      <c r="B252" s="110"/>
      <c r="C252" s="110"/>
      <c r="D252" s="122"/>
      <c r="E252" s="110"/>
      <c r="F252" s="128" t="str">
        <f aca="false">IF(E252="CONTADO", 4%, IF(E252="TARJETA / CHEQUE", 3%, IF(OR(E252="FINANCIADO", E252="MCP"), 2.5%, "")))</f>
        <v/>
      </c>
      <c r="G252" s="122" t="str">
        <f aca="false">IF(F252="", "", F252*D252)</f>
        <v/>
      </c>
      <c r="H252" s="131" t="b">
        <f aca="false">FALSE()</f>
        <v>0</v>
      </c>
      <c r="I252" s="131" t="b">
        <f aca="false">FALSE()</f>
        <v>0</v>
      </c>
      <c r="J252" s="130"/>
      <c r="K252" s="110"/>
      <c r="L252" s="83"/>
      <c r="M252" s="103"/>
      <c r="N252" s="103"/>
      <c r="O252" s="103"/>
      <c r="P252" s="103"/>
      <c r="Q252" s="103"/>
      <c r="R252" s="83"/>
      <c r="S252" s="103"/>
      <c r="T252" s="103"/>
      <c r="U252" s="103"/>
    </row>
    <row r="253" customFormat="false" ht="22.5" hidden="false" customHeight="true" outlineLevel="0" collapsed="false">
      <c r="A253" s="99"/>
      <c r="B253" s="99"/>
      <c r="C253" s="99"/>
      <c r="D253" s="121"/>
      <c r="E253" s="99"/>
      <c r="F253" s="124" t="str">
        <f aca="false">IF(E253="CONTADO", 4%, IF(E253="TARJETA / CHEQUE", 3%, IF(OR(E253="FINANCIADO", E253="MCP"), 2.5%, "")))</f>
        <v/>
      </c>
      <c r="G253" s="121" t="str">
        <f aca="false">IF(F253="", "", F253*D253)</f>
        <v/>
      </c>
      <c r="H253" s="132" t="b">
        <f aca="false">FALSE()</f>
        <v>0</v>
      </c>
      <c r="I253" s="132" t="b">
        <f aca="false">FALSE()</f>
        <v>0</v>
      </c>
      <c r="J253" s="126"/>
      <c r="K253" s="99"/>
      <c r="L253" s="83"/>
      <c r="M253" s="103"/>
      <c r="N253" s="103"/>
      <c r="O253" s="103"/>
      <c r="P253" s="103"/>
      <c r="Q253" s="103"/>
      <c r="R253" s="83"/>
      <c r="S253" s="103"/>
      <c r="T253" s="103"/>
      <c r="U253" s="103"/>
    </row>
    <row r="254" customFormat="false" ht="22.5" hidden="false" customHeight="true" outlineLevel="0" collapsed="false">
      <c r="A254" s="110"/>
      <c r="B254" s="110"/>
      <c r="C254" s="110"/>
      <c r="D254" s="122"/>
      <c r="E254" s="110"/>
      <c r="F254" s="128" t="str">
        <f aca="false">IF(E254="CONTADO", 4%, IF(E254="TARJETA / CHEQUE", 3%, IF(OR(E254="FINANCIADO", E254="MCP"), 2.5%, "")))</f>
        <v/>
      </c>
      <c r="G254" s="122" t="str">
        <f aca="false">IF(F254="", "", F254*D254)</f>
        <v/>
      </c>
      <c r="H254" s="131" t="b">
        <f aca="false">FALSE()</f>
        <v>0</v>
      </c>
      <c r="I254" s="131" t="b">
        <f aca="false">FALSE()</f>
        <v>0</v>
      </c>
      <c r="J254" s="130"/>
      <c r="K254" s="110"/>
      <c r="L254" s="83"/>
      <c r="M254" s="103"/>
      <c r="N254" s="103"/>
      <c r="O254" s="103"/>
      <c r="P254" s="103"/>
      <c r="Q254" s="103"/>
      <c r="R254" s="83"/>
      <c r="S254" s="103"/>
      <c r="T254" s="103"/>
      <c r="U254" s="103"/>
    </row>
    <row r="255" customFormat="false" ht="22.5" hidden="false" customHeight="true" outlineLevel="0" collapsed="false">
      <c r="A255" s="99"/>
      <c r="B255" s="99"/>
      <c r="C255" s="99"/>
      <c r="D255" s="121"/>
      <c r="E255" s="99"/>
      <c r="F255" s="124" t="str">
        <f aca="false">IF(E255="CONTADO", 4%, IF(E255="TARJETA / CHEQUE", 3%, IF(OR(E255="FINANCIADO", E255="MCP"), 2.5%, "")))</f>
        <v/>
      </c>
      <c r="G255" s="121" t="str">
        <f aca="false">IF(F255="", "", F255*D255)</f>
        <v/>
      </c>
      <c r="H255" s="132" t="b">
        <f aca="false">FALSE()</f>
        <v>0</v>
      </c>
      <c r="I255" s="132" t="b">
        <f aca="false">FALSE()</f>
        <v>0</v>
      </c>
      <c r="J255" s="126"/>
      <c r="K255" s="99"/>
      <c r="L255" s="83"/>
      <c r="M255" s="103"/>
      <c r="N255" s="103"/>
      <c r="O255" s="103"/>
      <c r="P255" s="103"/>
      <c r="Q255" s="103"/>
      <c r="R255" s="83"/>
      <c r="S255" s="103"/>
      <c r="T255" s="103"/>
      <c r="U255" s="103"/>
    </row>
    <row r="256" customFormat="false" ht="22.5" hidden="false" customHeight="true" outlineLevel="0" collapsed="false">
      <c r="A256" s="110"/>
      <c r="B256" s="110"/>
      <c r="C256" s="110"/>
      <c r="D256" s="122"/>
      <c r="E256" s="110"/>
      <c r="F256" s="128" t="str">
        <f aca="false">IF(E256="CONTADO", 4%, IF(E256="TARJETA / CHEQUE", 3%, IF(OR(E256="FINANCIADO", E256="MCP"), 2.5%, "")))</f>
        <v/>
      </c>
      <c r="G256" s="122" t="str">
        <f aca="false">IF(F256="", "", F256*D256)</f>
        <v/>
      </c>
      <c r="H256" s="131" t="b">
        <f aca="false">FALSE()</f>
        <v>0</v>
      </c>
      <c r="I256" s="131" t="b">
        <f aca="false">FALSE()</f>
        <v>0</v>
      </c>
      <c r="J256" s="130"/>
      <c r="K256" s="110"/>
      <c r="L256" s="83"/>
      <c r="M256" s="103"/>
      <c r="N256" s="103"/>
      <c r="O256" s="103"/>
      <c r="P256" s="103"/>
      <c r="Q256" s="103"/>
      <c r="R256" s="83"/>
      <c r="S256" s="103"/>
      <c r="T256" s="103"/>
      <c r="U256" s="103"/>
    </row>
    <row r="257" customFormat="false" ht="22.5" hidden="false" customHeight="true" outlineLevel="0" collapsed="false">
      <c r="A257" s="99"/>
      <c r="B257" s="99"/>
      <c r="C257" s="99"/>
      <c r="D257" s="121"/>
      <c r="E257" s="99"/>
      <c r="F257" s="124" t="str">
        <f aca="false">IF(E257="CONTADO", 4%, IF(E257="TARJETA / CHEQUE", 3%, IF(OR(E257="FINANCIADO", E257="MCP"), 2.5%, "")))</f>
        <v/>
      </c>
      <c r="G257" s="121" t="str">
        <f aca="false">IF(F257="", "", F257*D257)</f>
        <v/>
      </c>
      <c r="H257" s="132" t="b">
        <f aca="false">FALSE()</f>
        <v>0</v>
      </c>
      <c r="I257" s="132" t="b">
        <f aca="false">FALSE()</f>
        <v>0</v>
      </c>
      <c r="J257" s="126"/>
      <c r="K257" s="99"/>
      <c r="L257" s="83"/>
      <c r="M257" s="103"/>
      <c r="N257" s="103"/>
      <c r="O257" s="103"/>
      <c r="P257" s="103"/>
      <c r="Q257" s="103"/>
      <c r="R257" s="83"/>
      <c r="S257" s="103"/>
      <c r="T257" s="103"/>
      <c r="U257" s="103"/>
    </row>
    <row r="258" customFormat="false" ht="22.5" hidden="false" customHeight="true" outlineLevel="0" collapsed="false">
      <c r="A258" s="110"/>
      <c r="B258" s="110"/>
      <c r="C258" s="110"/>
      <c r="D258" s="122"/>
      <c r="E258" s="110"/>
      <c r="F258" s="128" t="str">
        <f aca="false">IF(E258="CONTADO", 4%, IF(E258="TARJETA / CHEQUE", 3%, IF(OR(E258="FINANCIADO", E258="MCP"), 2.5%, "")))</f>
        <v/>
      </c>
      <c r="G258" s="122" t="str">
        <f aca="false">IF(F258="", "", F258*D258)</f>
        <v/>
      </c>
      <c r="H258" s="131" t="b">
        <f aca="false">FALSE()</f>
        <v>0</v>
      </c>
      <c r="I258" s="131" t="b">
        <f aca="false">FALSE()</f>
        <v>0</v>
      </c>
      <c r="J258" s="130"/>
      <c r="K258" s="110"/>
      <c r="L258" s="83"/>
      <c r="M258" s="103"/>
      <c r="N258" s="103"/>
      <c r="O258" s="103"/>
      <c r="P258" s="103"/>
      <c r="Q258" s="103"/>
      <c r="R258" s="83"/>
      <c r="S258" s="103"/>
      <c r="T258" s="103"/>
      <c r="U258" s="103"/>
    </row>
    <row r="259" customFormat="false" ht="22.5" hidden="false" customHeight="true" outlineLevel="0" collapsed="false">
      <c r="A259" s="99"/>
      <c r="B259" s="99"/>
      <c r="C259" s="99"/>
      <c r="D259" s="121"/>
      <c r="E259" s="99"/>
      <c r="F259" s="124" t="str">
        <f aca="false">IF(E259="CONTADO", 4%, IF(E259="TARJETA / CHEQUE", 3%, IF(OR(E259="FINANCIADO", E259="MCP"), 2.5%, "")))</f>
        <v/>
      </c>
      <c r="G259" s="121" t="str">
        <f aca="false">IF(F259="", "", F259*D259)</f>
        <v/>
      </c>
      <c r="H259" s="132" t="b">
        <f aca="false">FALSE()</f>
        <v>0</v>
      </c>
      <c r="I259" s="132" t="b">
        <f aca="false">FALSE()</f>
        <v>0</v>
      </c>
      <c r="J259" s="126"/>
      <c r="K259" s="99"/>
      <c r="L259" s="83"/>
      <c r="M259" s="103"/>
      <c r="N259" s="103"/>
      <c r="O259" s="103"/>
      <c r="P259" s="103"/>
      <c r="Q259" s="103"/>
      <c r="R259" s="83"/>
      <c r="S259" s="103"/>
      <c r="T259" s="103"/>
      <c r="U259" s="103"/>
    </row>
    <row r="260" customFormat="false" ht="22.5" hidden="false" customHeight="true" outlineLevel="0" collapsed="false">
      <c r="A260" s="110"/>
      <c r="B260" s="110"/>
      <c r="C260" s="110"/>
      <c r="D260" s="122"/>
      <c r="E260" s="110"/>
      <c r="F260" s="128" t="str">
        <f aca="false">IF(E260="CONTADO", 4%, IF(E260="TARJETA / CHEQUE", 3%, IF(OR(E260="FINANCIADO", E260="MCP"), 2.5%, "")))</f>
        <v/>
      </c>
      <c r="G260" s="122" t="str">
        <f aca="false">IF(F260="", "", F260*D260)</f>
        <v/>
      </c>
      <c r="H260" s="131" t="b">
        <f aca="false">FALSE()</f>
        <v>0</v>
      </c>
      <c r="I260" s="131" t="b">
        <f aca="false">FALSE()</f>
        <v>0</v>
      </c>
      <c r="J260" s="130"/>
      <c r="K260" s="110"/>
      <c r="L260" s="83"/>
      <c r="M260" s="103"/>
      <c r="N260" s="103"/>
      <c r="O260" s="103"/>
      <c r="P260" s="103"/>
      <c r="Q260" s="103"/>
      <c r="R260" s="83"/>
      <c r="S260" s="103"/>
      <c r="T260" s="103"/>
      <c r="U260" s="103"/>
    </row>
    <row r="261" customFormat="false" ht="22.5" hidden="false" customHeight="true" outlineLevel="0" collapsed="false">
      <c r="A261" s="99"/>
      <c r="B261" s="99"/>
      <c r="C261" s="99"/>
      <c r="D261" s="121"/>
      <c r="E261" s="99"/>
      <c r="F261" s="124" t="str">
        <f aca="false">IF(E261="CONTADO", 4%, IF(E261="TARJETA / CHEQUE", 3%, IF(OR(E261="FINANCIADO", E261="MCP"), 2.5%, "")))</f>
        <v/>
      </c>
      <c r="G261" s="121" t="str">
        <f aca="false">IF(F261="", "", F261*D261)</f>
        <v/>
      </c>
      <c r="H261" s="132" t="b">
        <f aca="false">FALSE()</f>
        <v>0</v>
      </c>
      <c r="I261" s="132" t="b">
        <f aca="false">FALSE()</f>
        <v>0</v>
      </c>
      <c r="J261" s="126"/>
      <c r="K261" s="99"/>
      <c r="L261" s="83"/>
      <c r="M261" s="103"/>
      <c r="N261" s="103"/>
      <c r="O261" s="103"/>
      <c r="P261" s="103"/>
      <c r="Q261" s="103"/>
      <c r="R261" s="83"/>
      <c r="S261" s="103"/>
      <c r="T261" s="103"/>
      <c r="U261" s="103"/>
    </row>
    <row r="262" customFormat="false" ht="22.5" hidden="false" customHeight="true" outlineLevel="0" collapsed="false">
      <c r="A262" s="110"/>
      <c r="B262" s="110"/>
      <c r="C262" s="110"/>
      <c r="D262" s="122"/>
      <c r="E262" s="110"/>
      <c r="F262" s="128" t="str">
        <f aca="false">IF(E262="CONTADO", 4%, IF(E262="TARJETA / CHEQUE", 3%, IF(OR(E262="FINANCIADO", E262="MCP"), 2.5%, "")))</f>
        <v/>
      </c>
      <c r="G262" s="122" t="str">
        <f aca="false">IF(F262="", "", F262*D262)</f>
        <v/>
      </c>
      <c r="H262" s="131" t="b">
        <f aca="false">FALSE()</f>
        <v>0</v>
      </c>
      <c r="I262" s="131" t="b">
        <f aca="false">FALSE()</f>
        <v>0</v>
      </c>
      <c r="J262" s="130"/>
      <c r="K262" s="110"/>
      <c r="L262" s="83"/>
      <c r="M262" s="103"/>
      <c r="N262" s="103"/>
      <c r="O262" s="103"/>
      <c r="P262" s="103"/>
      <c r="Q262" s="103"/>
      <c r="R262" s="83"/>
      <c r="S262" s="103"/>
      <c r="T262" s="103"/>
      <c r="U262" s="103"/>
    </row>
    <row r="263" customFormat="false" ht="22.5" hidden="false" customHeight="true" outlineLevel="0" collapsed="false">
      <c r="A263" s="99"/>
      <c r="B263" s="99"/>
      <c r="C263" s="99"/>
      <c r="D263" s="121"/>
      <c r="E263" s="99"/>
      <c r="F263" s="124" t="str">
        <f aca="false">IF(E263="CONTADO", 4%, IF(E263="TARJETA / CHEQUE", 3%, IF(OR(E263="FINANCIADO", E263="MCP"), 2.5%, "")))</f>
        <v/>
      </c>
      <c r="G263" s="121" t="str">
        <f aca="false">IF(F263="", "", F263*D263)</f>
        <v/>
      </c>
      <c r="H263" s="132" t="b">
        <f aca="false">FALSE()</f>
        <v>0</v>
      </c>
      <c r="I263" s="132" t="b">
        <f aca="false">FALSE()</f>
        <v>0</v>
      </c>
      <c r="J263" s="126"/>
      <c r="K263" s="99"/>
      <c r="L263" s="83"/>
      <c r="M263" s="103"/>
      <c r="N263" s="103"/>
      <c r="O263" s="103"/>
      <c r="P263" s="103"/>
      <c r="Q263" s="103"/>
      <c r="R263" s="83"/>
      <c r="S263" s="103"/>
      <c r="T263" s="103"/>
      <c r="U263" s="103"/>
    </row>
    <row r="264" customFormat="false" ht="22.5" hidden="false" customHeight="true" outlineLevel="0" collapsed="false">
      <c r="A264" s="110"/>
      <c r="B264" s="110"/>
      <c r="C264" s="110"/>
      <c r="D264" s="122"/>
      <c r="E264" s="110"/>
      <c r="F264" s="128" t="str">
        <f aca="false">IF(E264="CONTADO", 4%, IF(E264="TARJETA / CHEQUE", 3%, IF(OR(E264="FINANCIADO", E264="MCP"), 2.5%, "")))</f>
        <v/>
      </c>
      <c r="G264" s="122" t="str">
        <f aca="false">IF(F264="", "", F264*D264)</f>
        <v/>
      </c>
      <c r="H264" s="131" t="b">
        <f aca="false">FALSE()</f>
        <v>0</v>
      </c>
      <c r="I264" s="131" t="b">
        <f aca="false">FALSE()</f>
        <v>0</v>
      </c>
      <c r="J264" s="130"/>
      <c r="K264" s="110"/>
      <c r="L264" s="83"/>
      <c r="M264" s="103"/>
      <c r="N264" s="103"/>
      <c r="O264" s="103"/>
      <c r="P264" s="103"/>
      <c r="Q264" s="103"/>
      <c r="R264" s="83"/>
      <c r="S264" s="103"/>
      <c r="T264" s="103"/>
      <c r="U264" s="103"/>
    </row>
    <row r="265" customFormat="false" ht="22.5" hidden="false" customHeight="true" outlineLevel="0" collapsed="false">
      <c r="A265" s="99"/>
      <c r="B265" s="99"/>
      <c r="C265" s="99"/>
      <c r="D265" s="121"/>
      <c r="E265" s="99"/>
      <c r="F265" s="124" t="str">
        <f aca="false">IF(E265="CONTADO", 4%, IF(E265="TARJETA / CHEQUE", 3%, IF(OR(E265="FINANCIADO", E265="MCP"), 2.5%, "")))</f>
        <v/>
      </c>
      <c r="G265" s="121" t="str">
        <f aca="false">IF(F265="", "", F265*D265)</f>
        <v/>
      </c>
      <c r="H265" s="132" t="b">
        <f aca="false">FALSE()</f>
        <v>0</v>
      </c>
      <c r="I265" s="132" t="b">
        <f aca="false">FALSE()</f>
        <v>0</v>
      </c>
      <c r="J265" s="126"/>
      <c r="K265" s="99"/>
      <c r="L265" s="83"/>
      <c r="M265" s="103"/>
      <c r="N265" s="103"/>
      <c r="O265" s="103"/>
      <c r="P265" s="103"/>
      <c r="Q265" s="103"/>
      <c r="R265" s="83"/>
      <c r="S265" s="103"/>
      <c r="T265" s="103"/>
      <c r="U265" s="103"/>
    </row>
    <row r="266" customFormat="false" ht="22.5" hidden="false" customHeight="true" outlineLevel="0" collapsed="false">
      <c r="A266" s="110"/>
      <c r="B266" s="110"/>
      <c r="C266" s="110"/>
      <c r="D266" s="122"/>
      <c r="E266" s="110"/>
      <c r="F266" s="128" t="str">
        <f aca="false">IF(E266="CONTADO", 4%, IF(E266="TARJETA / CHEQUE", 3%, IF(OR(E266="FINANCIADO", E266="MCP"), 2.5%, "")))</f>
        <v/>
      </c>
      <c r="G266" s="122" t="str">
        <f aca="false">IF(F266="", "", F266*D266)</f>
        <v/>
      </c>
      <c r="H266" s="131" t="b">
        <f aca="false">FALSE()</f>
        <v>0</v>
      </c>
      <c r="I266" s="131" t="b">
        <f aca="false">FALSE()</f>
        <v>0</v>
      </c>
      <c r="J266" s="130"/>
      <c r="K266" s="110"/>
      <c r="L266" s="83"/>
      <c r="M266" s="103"/>
      <c r="N266" s="103"/>
      <c r="O266" s="103"/>
      <c r="P266" s="103"/>
      <c r="Q266" s="103"/>
      <c r="R266" s="83"/>
      <c r="S266" s="103"/>
      <c r="T266" s="103"/>
      <c r="U266" s="103"/>
    </row>
    <row r="267" customFormat="false" ht="22.5" hidden="false" customHeight="true" outlineLevel="0" collapsed="false">
      <c r="A267" s="99"/>
      <c r="B267" s="99"/>
      <c r="C267" s="99"/>
      <c r="D267" s="121"/>
      <c r="E267" s="99"/>
      <c r="F267" s="124" t="str">
        <f aca="false">IF(E267="CONTADO", 4%, IF(E267="TARJETA / CHEQUE", 3%, IF(OR(E267="FINANCIADO", E267="MCP"), 2.5%, "")))</f>
        <v/>
      </c>
      <c r="G267" s="121" t="str">
        <f aca="false">IF(F267="", "", F267*D267)</f>
        <v/>
      </c>
      <c r="H267" s="132" t="b">
        <f aca="false">FALSE()</f>
        <v>0</v>
      </c>
      <c r="I267" s="132" t="b">
        <f aca="false">FALSE()</f>
        <v>0</v>
      </c>
      <c r="J267" s="126"/>
      <c r="K267" s="99"/>
      <c r="L267" s="83"/>
      <c r="M267" s="103"/>
      <c r="N267" s="103"/>
      <c r="O267" s="103"/>
      <c r="P267" s="103"/>
      <c r="Q267" s="103"/>
      <c r="R267" s="83"/>
      <c r="S267" s="103"/>
      <c r="T267" s="103"/>
      <c r="U267" s="103"/>
    </row>
    <row r="268" customFormat="false" ht="22.5" hidden="false" customHeight="true" outlineLevel="0" collapsed="false">
      <c r="A268" s="110"/>
      <c r="B268" s="110"/>
      <c r="C268" s="110"/>
      <c r="D268" s="122"/>
      <c r="E268" s="110"/>
      <c r="F268" s="128" t="str">
        <f aca="false">IF(E268="CONTADO", 4%, IF(E268="TARJETA / CHEQUE", 3%, IF(OR(E268="FINANCIADO", E268="MCP"), 2.5%, "")))</f>
        <v/>
      </c>
      <c r="G268" s="122" t="str">
        <f aca="false">IF(F268="", "", F268*D268)</f>
        <v/>
      </c>
      <c r="H268" s="131" t="b">
        <f aca="false">FALSE()</f>
        <v>0</v>
      </c>
      <c r="I268" s="131" t="b">
        <f aca="false">FALSE()</f>
        <v>0</v>
      </c>
      <c r="J268" s="130"/>
      <c r="K268" s="110"/>
      <c r="L268" s="83"/>
      <c r="M268" s="103"/>
      <c r="N268" s="103"/>
      <c r="O268" s="103"/>
      <c r="P268" s="103"/>
      <c r="Q268" s="103"/>
      <c r="R268" s="83"/>
      <c r="S268" s="103"/>
      <c r="T268" s="103"/>
      <c r="U268" s="103"/>
    </row>
    <row r="269" customFormat="false" ht="22.5" hidden="false" customHeight="true" outlineLevel="0" collapsed="false">
      <c r="A269" s="99"/>
      <c r="B269" s="99"/>
      <c r="C269" s="99"/>
      <c r="D269" s="121"/>
      <c r="E269" s="99"/>
      <c r="F269" s="124" t="str">
        <f aca="false">IF(E269="CONTADO", 4%, IF(E269="TARJETA / CHEQUE", 3%, IF(OR(E269="FINANCIADO", E269="MCP"), 2.5%, "")))</f>
        <v/>
      </c>
      <c r="G269" s="121" t="str">
        <f aca="false">IF(F269="", "", F269*D269)</f>
        <v/>
      </c>
      <c r="H269" s="132" t="b">
        <f aca="false">FALSE()</f>
        <v>0</v>
      </c>
      <c r="I269" s="132" t="b">
        <f aca="false">FALSE()</f>
        <v>0</v>
      </c>
      <c r="J269" s="126"/>
      <c r="K269" s="99"/>
      <c r="L269" s="83"/>
      <c r="M269" s="103"/>
      <c r="N269" s="103"/>
      <c r="O269" s="103"/>
      <c r="P269" s="103"/>
      <c r="Q269" s="103"/>
      <c r="R269" s="83"/>
      <c r="S269" s="103"/>
      <c r="T269" s="103"/>
      <c r="U269" s="103"/>
    </row>
    <row r="270" customFormat="false" ht="22.5" hidden="false" customHeight="true" outlineLevel="0" collapsed="false">
      <c r="A270" s="110"/>
      <c r="B270" s="110"/>
      <c r="C270" s="110"/>
      <c r="D270" s="122"/>
      <c r="E270" s="110"/>
      <c r="F270" s="128" t="str">
        <f aca="false">IF(E270="CONTADO", 4%, IF(E270="TARJETA / CHEQUE", 3%, IF(OR(E270="FINANCIADO", E270="MCP"), 2.5%, "")))</f>
        <v/>
      </c>
      <c r="G270" s="122" t="str">
        <f aca="false">IF(F270="", "", F270*D270)</f>
        <v/>
      </c>
      <c r="H270" s="131" t="b">
        <f aca="false">FALSE()</f>
        <v>0</v>
      </c>
      <c r="I270" s="131" t="b">
        <f aca="false">FALSE()</f>
        <v>0</v>
      </c>
      <c r="J270" s="130"/>
      <c r="K270" s="110"/>
      <c r="L270" s="83"/>
      <c r="M270" s="103"/>
      <c r="N270" s="103"/>
      <c r="O270" s="103"/>
      <c r="P270" s="103"/>
      <c r="Q270" s="103"/>
      <c r="R270" s="83"/>
      <c r="S270" s="103"/>
      <c r="T270" s="103"/>
      <c r="U270" s="103"/>
    </row>
    <row r="271" customFormat="false" ht="22.5" hidden="false" customHeight="true" outlineLevel="0" collapsed="false">
      <c r="A271" s="99"/>
      <c r="B271" s="99"/>
      <c r="C271" s="99"/>
      <c r="D271" s="121"/>
      <c r="E271" s="99"/>
      <c r="F271" s="124" t="str">
        <f aca="false">IF(E271="CONTADO", 4%, IF(E271="TARJETA / CHEQUE", 3%, IF(OR(E271="FINANCIADO", E271="MCP"), 2.5%, "")))</f>
        <v/>
      </c>
      <c r="G271" s="121" t="str">
        <f aca="false">IF(F271="", "", F271*D271)</f>
        <v/>
      </c>
      <c r="H271" s="132" t="b">
        <f aca="false">FALSE()</f>
        <v>0</v>
      </c>
      <c r="I271" s="132" t="b">
        <f aca="false">FALSE()</f>
        <v>0</v>
      </c>
      <c r="J271" s="126"/>
      <c r="K271" s="99"/>
      <c r="L271" s="83"/>
      <c r="M271" s="103"/>
      <c r="N271" s="103"/>
      <c r="O271" s="103"/>
      <c r="P271" s="103"/>
      <c r="Q271" s="103"/>
      <c r="R271" s="83"/>
      <c r="S271" s="103"/>
      <c r="T271" s="103"/>
      <c r="U271" s="103"/>
    </row>
    <row r="272" customFormat="false" ht="22.5" hidden="false" customHeight="true" outlineLevel="0" collapsed="false">
      <c r="A272" s="110"/>
      <c r="B272" s="110"/>
      <c r="C272" s="110"/>
      <c r="D272" s="122"/>
      <c r="E272" s="110"/>
      <c r="F272" s="128" t="str">
        <f aca="false">IF(E272="CONTADO", 4%, IF(E272="TARJETA / CHEQUE", 3%, IF(OR(E272="FINANCIADO", E272="MCP"), 2.5%, "")))</f>
        <v/>
      </c>
      <c r="G272" s="122" t="str">
        <f aca="false">IF(F272="", "", F272*D272)</f>
        <v/>
      </c>
      <c r="H272" s="131" t="b">
        <f aca="false">FALSE()</f>
        <v>0</v>
      </c>
      <c r="I272" s="131" t="b">
        <f aca="false">FALSE()</f>
        <v>0</v>
      </c>
      <c r="J272" s="130"/>
      <c r="K272" s="110"/>
      <c r="L272" s="83"/>
      <c r="M272" s="103"/>
      <c r="N272" s="103"/>
      <c r="O272" s="103"/>
      <c r="P272" s="103"/>
      <c r="Q272" s="103"/>
      <c r="R272" s="83"/>
      <c r="S272" s="103"/>
      <c r="T272" s="103"/>
      <c r="U272" s="103"/>
    </row>
    <row r="273" customFormat="false" ht="22.5" hidden="false" customHeight="true" outlineLevel="0" collapsed="false">
      <c r="A273" s="99"/>
      <c r="B273" s="99"/>
      <c r="C273" s="99"/>
      <c r="D273" s="121"/>
      <c r="E273" s="99"/>
      <c r="F273" s="124" t="str">
        <f aca="false">IF(E273="CONTADO", 4%, IF(E273="TARJETA / CHEQUE", 3%, IF(OR(E273="FINANCIADO", E273="MCP"), 2.5%, "")))</f>
        <v/>
      </c>
      <c r="G273" s="121" t="str">
        <f aca="false">IF(F273="", "", F273*D273)</f>
        <v/>
      </c>
      <c r="H273" s="132" t="b">
        <f aca="false">FALSE()</f>
        <v>0</v>
      </c>
      <c r="I273" s="132" t="b">
        <f aca="false">FALSE()</f>
        <v>0</v>
      </c>
      <c r="J273" s="126"/>
      <c r="K273" s="99"/>
      <c r="L273" s="83"/>
      <c r="M273" s="103"/>
      <c r="N273" s="103"/>
      <c r="O273" s="103"/>
      <c r="P273" s="103"/>
      <c r="Q273" s="103"/>
      <c r="R273" s="83"/>
      <c r="S273" s="103"/>
      <c r="T273" s="103"/>
      <c r="U273" s="103"/>
    </row>
    <row r="274" customFormat="false" ht="22.5" hidden="false" customHeight="true" outlineLevel="0" collapsed="false">
      <c r="A274" s="110"/>
      <c r="B274" s="110"/>
      <c r="C274" s="110"/>
      <c r="D274" s="122"/>
      <c r="E274" s="110"/>
      <c r="F274" s="128" t="str">
        <f aca="false">IF(E274="CONTADO", 4%, IF(E274="TARJETA / CHEQUE", 3%, IF(OR(E274="FINANCIADO", E274="MCP"), 2.5%, "")))</f>
        <v/>
      </c>
      <c r="G274" s="122" t="str">
        <f aca="false">IF(F274="", "", F274*D274)</f>
        <v/>
      </c>
      <c r="H274" s="131" t="b">
        <f aca="false">FALSE()</f>
        <v>0</v>
      </c>
      <c r="I274" s="131" t="b">
        <f aca="false">FALSE()</f>
        <v>0</v>
      </c>
      <c r="J274" s="130"/>
      <c r="K274" s="110"/>
      <c r="L274" s="83"/>
      <c r="M274" s="103"/>
      <c r="N274" s="103"/>
      <c r="O274" s="103"/>
      <c r="P274" s="103"/>
      <c r="Q274" s="103"/>
      <c r="R274" s="83"/>
      <c r="S274" s="103"/>
      <c r="T274" s="103"/>
      <c r="U274" s="103"/>
    </row>
    <row r="275" customFormat="false" ht="22.5" hidden="false" customHeight="true" outlineLevel="0" collapsed="false">
      <c r="A275" s="99"/>
      <c r="B275" s="99"/>
      <c r="C275" s="99"/>
      <c r="D275" s="121"/>
      <c r="E275" s="99"/>
      <c r="F275" s="124" t="str">
        <f aca="false">IF(E275="CONTADO", 4%, IF(E275="TARJETA / CHEQUE", 3%, IF(OR(E275="FINANCIADO", E275="MCP"), 2.5%, "")))</f>
        <v/>
      </c>
      <c r="G275" s="121" t="str">
        <f aca="false">IF(F275="", "", F275*D275)</f>
        <v/>
      </c>
      <c r="H275" s="132" t="b">
        <f aca="false">FALSE()</f>
        <v>0</v>
      </c>
      <c r="I275" s="132" t="b">
        <f aca="false">FALSE()</f>
        <v>0</v>
      </c>
      <c r="J275" s="126"/>
      <c r="K275" s="99"/>
      <c r="L275" s="83"/>
      <c r="M275" s="103"/>
      <c r="N275" s="103"/>
      <c r="O275" s="103"/>
      <c r="P275" s="103"/>
      <c r="Q275" s="103"/>
      <c r="R275" s="83"/>
      <c r="S275" s="103"/>
      <c r="T275" s="103"/>
      <c r="U275" s="103"/>
    </row>
    <row r="276" customFormat="false" ht="22.5" hidden="false" customHeight="true" outlineLevel="0" collapsed="false">
      <c r="A276" s="110"/>
      <c r="B276" s="110"/>
      <c r="C276" s="110"/>
      <c r="D276" s="122"/>
      <c r="E276" s="110"/>
      <c r="F276" s="128" t="str">
        <f aca="false">IF(E276="CONTADO", 4%, IF(E276="TARJETA / CHEQUE", 3%, IF(OR(E276="FINANCIADO", E276="MCP"), 2.5%, "")))</f>
        <v/>
      </c>
      <c r="G276" s="122" t="str">
        <f aca="false">IF(F276="", "", F276*D276)</f>
        <v/>
      </c>
      <c r="H276" s="131" t="b">
        <f aca="false">FALSE()</f>
        <v>0</v>
      </c>
      <c r="I276" s="131" t="b">
        <f aca="false">FALSE()</f>
        <v>0</v>
      </c>
      <c r="J276" s="130"/>
      <c r="K276" s="110"/>
      <c r="L276" s="83"/>
      <c r="M276" s="103"/>
      <c r="N276" s="103"/>
      <c r="O276" s="103"/>
      <c r="P276" s="103"/>
      <c r="Q276" s="103"/>
      <c r="R276" s="83"/>
      <c r="S276" s="103"/>
      <c r="T276" s="103"/>
      <c r="U276" s="103"/>
    </row>
    <row r="277" customFormat="false" ht="22.5" hidden="false" customHeight="true" outlineLevel="0" collapsed="false">
      <c r="A277" s="99"/>
      <c r="B277" s="99"/>
      <c r="C277" s="99"/>
      <c r="D277" s="121"/>
      <c r="E277" s="99"/>
      <c r="F277" s="124" t="str">
        <f aca="false">IF(E277="CONTADO", 4%, IF(E277="TARJETA / CHEQUE", 3%, IF(OR(E277="FINANCIADO", E277="MCP"), 2.5%, "")))</f>
        <v/>
      </c>
      <c r="G277" s="121" t="str">
        <f aca="false">IF(F277="", "", F277*D277)</f>
        <v/>
      </c>
      <c r="H277" s="132" t="b">
        <f aca="false">FALSE()</f>
        <v>0</v>
      </c>
      <c r="I277" s="132" t="b">
        <f aca="false">FALSE()</f>
        <v>0</v>
      </c>
      <c r="J277" s="126"/>
      <c r="K277" s="99"/>
      <c r="L277" s="83"/>
      <c r="M277" s="103"/>
      <c r="N277" s="103"/>
      <c r="O277" s="103"/>
      <c r="P277" s="103"/>
      <c r="Q277" s="103"/>
      <c r="R277" s="83"/>
      <c r="S277" s="103"/>
      <c r="T277" s="103"/>
      <c r="U277" s="103"/>
    </row>
    <row r="278" customFormat="false" ht="22.5" hidden="false" customHeight="true" outlineLevel="0" collapsed="false">
      <c r="A278" s="110"/>
      <c r="B278" s="110"/>
      <c r="C278" s="110"/>
      <c r="D278" s="122"/>
      <c r="E278" s="110"/>
      <c r="F278" s="128" t="str">
        <f aca="false">IF(E278="CONTADO", 4%, IF(E278="TARJETA / CHEQUE", 3%, IF(OR(E278="FINANCIADO", E278="MCP"), 2.5%, "")))</f>
        <v/>
      </c>
      <c r="G278" s="122" t="str">
        <f aca="false">IF(F278="", "", F278*D278)</f>
        <v/>
      </c>
      <c r="H278" s="131" t="b">
        <f aca="false">FALSE()</f>
        <v>0</v>
      </c>
      <c r="I278" s="131" t="b">
        <f aca="false">FALSE()</f>
        <v>0</v>
      </c>
      <c r="J278" s="130"/>
      <c r="K278" s="110"/>
      <c r="L278" s="83"/>
      <c r="M278" s="103"/>
      <c r="N278" s="103"/>
      <c r="O278" s="103"/>
      <c r="P278" s="103"/>
      <c r="Q278" s="103"/>
      <c r="R278" s="83"/>
      <c r="S278" s="103"/>
      <c r="T278" s="103"/>
      <c r="U278" s="103"/>
    </row>
    <row r="279" customFormat="false" ht="22.5" hidden="false" customHeight="true" outlineLevel="0" collapsed="false">
      <c r="A279" s="99"/>
      <c r="B279" s="99"/>
      <c r="C279" s="99"/>
      <c r="D279" s="121"/>
      <c r="E279" s="99"/>
      <c r="F279" s="124" t="str">
        <f aca="false">IF(E279="CONTADO", 4%, IF(E279="TARJETA / CHEQUE", 3%, IF(OR(E279="FINANCIADO", E279="MCP"), 2.5%, "")))</f>
        <v/>
      </c>
      <c r="G279" s="121" t="str">
        <f aca="false">IF(F279="", "", F279*D279)</f>
        <v/>
      </c>
      <c r="H279" s="132" t="b">
        <f aca="false">FALSE()</f>
        <v>0</v>
      </c>
      <c r="I279" s="132" t="b">
        <f aca="false">FALSE()</f>
        <v>0</v>
      </c>
      <c r="J279" s="126"/>
      <c r="K279" s="99"/>
      <c r="L279" s="83"/>
      <c r="M279" s="103"/>
      <c r="N279" s="103"/>
      <c r="O279" s="103"/>
      <c r="P279" s="103"/>
      <c r="Q279" s="103"/>
      <c r="R279" s="83"/>
      <c r="S279" s="103"/>
      <c r="T279" s="103"/>
      <c r="U279" s="103"/>
    </row>
    <row r="280" customFormat="false" ht="22.5" hidden="false" customHeight="true" outlineLevel="0" collapsed="false">
      <c r="A280" s="110"/>
      <c r="B280" s="110"/>
      <c r="C280" s="110"/>
      <c r="D280" s="122"/>
      <c r="E280" s="110"/>
      <c r="F280" s="128" t="str">
        <f aca="false">IF(E280="CONTADO", 4%, IF(E280="TARJETA / CHEQUE", 3%, IF(OR(E280="FINANCIADO", E280="MCP"), 2.5%, "")))</f>
        <v/>
      </c>
      <c r="G280" s="122" t="str">
        <f aca="false">IF(F280="", "", F280*D280)</f>
        <v/>
      </c>
      <c r="H280" s="131" t="b">
        <f aca="false">FALSE()</f>
        <v>0</v>
      </c>
      <c r="I280" s="131" t="b">
        <f aca="false">FALSE()</f>
        <v>0</v>
      </c>
      <c r="J280" s="130"/>
      <c r="K280" s="110"/>
      <c r="L280" s="83"/>
      <c r="M280" s="103"/>
      <c r="N280" s="103"/>
      <c r="O280" s="103"/>
      <c r="P280" s="103"/>
      <c r="Q280" s="103"/>
      <c r="R280" s="83"/>
      <c r="S280" s="103"/>
      <c r="T280" s="103"/>
      <c r="U280" s="103"/>
    </row>
    <row r="281" customFormat="false" ht="22.5" hidden="false" customHeight="true" outlineLevel="0" collapsed="false">
      <c r="A281" s="99"/>
      <c r="B281" s="99"/>
      <c r="C281" s="99"/>
      <c r="D281" s="121"/>
      <c r="E281" s="99"/>
      <c r="F281" s="124" t="str">
        <f aca="false">IF(E281="CONTADO", 4%, IF(E281="TARJETA / CHEQUE", 3%, IF(OR(E281="FINANCIADO", E281="MCP"), 2.5%, "")))</f>
        <v/>
      </c>
      <c r="G281" s="121" t="str">
        <f aca="false">IF(F281="", "", F281*D281)</f>
        <v/>
      </c>
      <c r="H281" s="132" t="b">
        <f aca="false">FALSE()</f>
        <v>0</v>
      </c>
      <c r="I281" s="132" t="b">
        <f aca="false">FALSE()</f>
        <v>0</v>
      </c>
      <c r="J281" s="126"/>
      <c r="K281" s="99"/>
      <c r="L281" s="83"/>
      <c r="M281" s="103"/>
      <c r="N281" s="103"/>
      <c r="O281" s="103"/>
      <c r="P281" s="103"/>
      <c r="Q281" s="103"/>
      <c r="R281" s="83"/>
      <c r="S281" s="103"/>
      <c r="T281" s="103"/>
      <c r="U281" s="103"/>
    </row>
    <row r="282" customFormat="false" ht="22.5" hidden="false" customHeight="true" outlineLevel="0" collapsed="false">
      <c r="A282" s="110"/>
      <c r="B282" s="110"/>
      <c r="C282" s="110"/>
      <c r="D282" s="122"/>
      <c r="E282" s="110"/>
      <c r="F282" s="128" t="str">
        <f aca="false">IF(E282="CONTADO", 4%, IF(E282="TARJETA / CHEQUE", 3%, IF(OR(E282="FINANCIADO", E282="MCP"), 2.5%, "")))</f>
        <v/>
      </c>
      <c r="G282" s="122" t="str">
        <f aca="false">IF(F282="", "", F282*D282)</f>
        <v/>
      </c>
      <c r="H282" s="131" t="b">
        <f aca="false">FALSE()</f>
        <v>0</v>
      </c>
      <c r="I282" s="131" t="b">
        <f aca="false">FALSE()</f>
        <v>0</v>
      </c>
      <c r="J282" s="130"/>
      <c r="K282" s="110"/>
      <c r="L282" s="83"/>
      <c r="M282" s="103"/>
      <c r="N282" s="103"/>
      <c r="O282" s="103"/>
      <c r="P282" s="103"/>
      <c r="Q282" s="103"/>
      <c r="R282" s="83"/>
      <c r="S282" s="103"/>
      <c r="T282" s="103"/>
      <c r="U282" s="103"/>
    </row>
    <row r="283" customFormat="false" ht="22.5" hidden="false" customHeight="true" outlineLevel="0" collapsed="false">
      <c r="A283" s="99"/>
      <c r="B283" s="99"/>
      <c r="C283" s="99"/>
      <c r="D283" s="121"/>
      <c r="E283" s="99"/>
      <c r="F283" s="124" t="str">
        <f aca="false">IF(E283="CONTADO", 4%, IF(E283="TARJETA / CHEQUE", 3%, IF(OR(E283="FINANCIADO", E283="MCP"), 2.5%, "")))</f>
        <v/>
      </c>
      <c r="G283" s="121" t="str">
        <f aca="false">IF(F283="", "", F283*D283)</f>
        <v/>
      </c>
      <c r="H283" s="132" t="b">
        <f aca="false">FALSE()</f>
        <v>0</v>
      </c>
      <c r="I283" s="132" t="b">
        <f aca="false">FALSE()</f>
        <v>0</v>
      </c>
      <c r="J283" s="126"/>
      <c r="K283" s="99"/>
      <c r="L283" s="83"/>
      <c r="M283" s="103"/>
      <c r="N283" s="103"/>
      <c r="O283" s="103"/>
      <c r="P283" s="103"/>
      <c r="Q283" s="103"/>
      <c r="R283" s="83"/>
      <c r="S283" s="103"/>
      <c r="T283" s="103"/>
      <c r="U283" s="103"/>
    </row>
    <row r="284" customFormat="false" ht="22.5" hidden="false" customHeight="true" outlineLevel="0" collapsed="false">
      <c r="A284" s="110"/>
      <c r="B284" s="110"/>
      <c r="C284" s="110"/>
      <c r="D284" s="122"/>
      <c r="E284" s="110"/>
      <c r="F284" s="128" t="str">
        <f aca="false">IF(E284="CONTADO", 4%, IF(E284="TARJETA / CHEQUE", 3%, IF(OR(E284="FINANCIADO", E284="MCP"), 2.5%, "")))</f>
        <v/>
      </c>
      <c r="G284" s="122" t="str">
        <f aca="false">IF(F284="", "", F284*D284)</f>
        <v/>
      </c>
      <c r="H284" s="131" t="b">
        <f aca="false">FALSE()</f>
        <v>0</v>
      </c>
      <c r="I284" s="131" t="b">
        <f aca="false">FALSE()</f>
        <v>0</v>
      </c>
      <c r="J284" s="130"/>
      <c r="K284" s="110"/>
      <c r="L284" s="83"/>
      <c r="M284" s="103"/>
      <c r="N284" s="103"/>
      <c r="O284" s="103"/>
      <c r="P284" s="103"/>
      <c r="Q284" s="103"/>
      <c r="R284" s="83"/>
      <c r="S284" s="103"/>
      <c r="T284" s="103"/>
      <c r="U284" s="103"/>
    </row>
    <row r="285" customFormat="false" ht="22.5" hidden="false" customHeight="true" outlineLevel="0" collapsed="false">
      <c r="A285" s="99"/>
      <c r="B285" s="99"/>
      <c r="C285" s="99"/>
      <c r="D285" s="121"/>
      <c r="E285" s="99"/>
      <c r="F285" s="124" t="str">
        <f aca="false">IF(E285="CONTADO", 4%, IF(E285="TARJETA / CHEQUE", 3%, IF(OR(E285="FINANCIADO", E285="MCP"), 2.5%, "")))</f>
        <v/>
      </c>
      <c r="G285" s="121" t="str">
        <f aca="false">IF(F285="", "", F285*D285)</f>
        <v/>
      </c>
      <c r="H285" s="132" t="b">
        <f aca="false">FALSE()</f>
        <v>0</v>
      </c>
      <c r="I285" s="132" t="b">
        <f aca="false">FALSE()</f>
        <v>0</v>
      </c>
      <c r="J285" s="126"/>
      <c r="K285" s="99"/>
      <c r="L285" s="83"/>
      <c r="M285" s="103"/>
      <c r="N285" s="103"/>
      <c r="O285" s="103"/>
      <c r="P285" s="103"/>
      <c r="Q285" s="103"/>
      <c r="R285" s="83"/>
      <c r="S285" s="103"/>
      <c r="T285" s="103"/>
      <c r="U285" s="103"/>
    </row>
    <row r="286" customFormat="false" ht="22.5" hidden="false" customHeight="true" outlineLevel="0" collapsed="false">
      <c r="A286" s="110"/>
      <c r="B286" s="110"/>
      <c r="C286" s="110"/>
      <c r="D286" s="122"/>
      <c r="E286" s="110"/>
      <c r="F286" s="128" t="str">
        <f aca="false">IF(E286="CONTADO", 4%, IF(E286="TARJETA / CHEQUE", 3%, IF(OR(E286="FINANCIADO", E286="MCP"), 2.5%, "")))</f>
        <v/>
      </c>
      <c r="G286" s="122" t="str">
        <f aca="false">IF(F286="", "", F286*D286)</f>
        <v/>
      </c>
      <c r="H286" s="131" t="b">
        <f aca="false">FALSE()</f>
        <v>0</v>
      </c>
      <c r="I286" s="131" t="b">
        <f aca="false">FALSE()</f>
        <v>0</v>
      </c>
      <c r="J286" s="130"/>
      <c r="K286" s="110"/>
      <c r="L286" s="83"/>
      <c r="M286" s="103"/>
      <c r="N286" s="103"/>
      <c r="O286" s="103"/>
      <c r="P286" s="103"/>
      <c r="Q286" s="103"/>
      <c r="R286" s="83"/>
      <c r="S286" s="103"/>
      <c r="T286" s="103"/>
      <c r="U286" s="103"/>
    </row>
    <row r="287" customFormat="false" ht="22.5" hidden="false" customHeight="true" outlineLevel="0" collapsed="false">
      <c r="A287" s="99"/>
      <c r="B287" s="99"/>
      <c r="C287" s="99"/>
      <c r="D287" s="121"/>
      <c r="E287" s="99"/>
      <c r="F287" s="124" t="str">
        <f aca="false">IF(E287="CONTADO", 4%, IF(E287="TARJETA / CHEQUE", 3%, IF(OR(E287="FINANCIADO", E287="MCP"), 2.5%, "")))</f>
        <v/>
      </c>
      <c r="G287" s="121" t="str">
        <f aca="false">IF(F287="", "", F287*D287)</f>
        <v/>
      </c>
      <c r="H287" s="132" t="b">
        <f aca="false">FALSE()</f>
        <v>0</v>
      </c>
      <c r="I287" s="132" t="b">
        <f aca="false">FALSE()</f>
        <v>0</v>
      </c>
      <c r="J287" s="126"/>
      <c r="K287" s="99"/>
      <c r="L287" s="83"/>
      <c r="M287" s="103"/>
      <c r="N287" s="103"/>
      <c r="O287" s="103"/>
      <c r="P287" s="103"/>
      <c r="Q287" s="103"/>
      <c r="R287" s="83"/>
      <c r="S287" s="103"/>
      <c r="T287" s="103"/>
      <c r="U287" s="103"/>
    </row>
    <row r="288" customFormat="false" ht="22.5" hidden="false" customHeight="true" outlineLevel="0" collapsed="false">
      <c r="A288" s="110"/>
      <c r="B288" s="110"/>
      <c r="C288" s="110"/>
      <c r="D288" s="122"/>
      <c r="E288" s="110"/>
      <c r="F288" s="128" t="str">
        <f aca="false">IF(E288="CONTADO", 4%, IF(E288="TARJETA / CHEQUE", 3%, IF(OR(E288="FINANCIADO", E288="MCP"), 2.5%, "")))</f>
        <v/>
      </c>
      <c r="G288" s="122" t="str">
        <f aca="false">IF(F288="", "", F288*D288)</f>
        <v/>
      </c>
      <c r="H288" s="131" t="b">
        <f aca="false">FALSE()</f>
        <v>0</v>
      </c>
      <c r="I288" s="131" t="b">
        <f aca="false">FALSE()</f>
        <v>0</v>
      </c>
      <c r="J288" s="130"/>
      <c r="K288" s="110"/>
      <c r="L288" s="83"/>
      <c r="M288" s="103"/>
      <c r="N288" s="103"/>
      <c r="O288" s="103"/>
      <c r="P288" s="103"/>
      <c r="Q288" s="103"/>
      <c r="R288" s="83"/>
      <c r="S288" s="103"/>
      <c r="T288" s="103"/>
      <c r="U288" s="103"/>
    </row>
    <row r="289" customFormat="false" ht="22.5" hidden="false" customHeight="true" outlineLevel="0" collapsed="false">
      <c r="A289" s="99"/>
      <c r="B289" s="99"/>
      <c r="C289" s="99"/>
      <c r="D289" s="121"/>
      <c r="E289" s="99"/>
      <c r="F289" s="124" t="str">
        <f aca="false">IF(E289="CONTADO", 4%, IF(E289="TARJETA / CHEQUE", 3%, IF(OR(E289="FINANCIADO", E289="MCP"), 2.5%, "")))</f>
        <v/>
      </c>
      <c r="G289" s="121" t="str">
        <f aca="false">IF(F289="", "", F289*D289)</f>
        <v/>
      </c>
      <c r="H289" s="132" t="b">
        <f aca="false">FALSE()</f>
        <v>0</v>
      </c>
      <c r="I289" s="132" t="b">
        <f aca="false">FALSE()</f>
        <v>0</v>
      </c>
      <c r="J289" s="126"/>
      <c r="K289" s="99"/>
      <c r="L289" s="83"/>
      <c r="M289" s="103"/>
      <c r="N289" s="103"/>
      <c r="O289" s="103"/>
      <c r="P289" s="103"/>
      <c r="Q289" s="103"/>
      <c r="R289" s="83"/>
      <c r="S289" s="103"/>
      <c r="T289" s="103"/>
      <c r="U289" s="103"/>
    </row>
    <row r="290" customFormat="false" ht="22.5" hidden="false" customHeight="true" outlineLevel="0" collapsed="false">
      <c r="A290" s="110"/>
      <c r="B290" s="110"/>
      <c r="C290" s="110"/>
      <c r="D290" s="122"/>
      <c r="E290" s="110"/>
      <c r="F290" s="128" t="str">
        <f aca="false">IF(E290="CONTADO", 4%, IF(E290="TARJETA / CHEQUE", 3%, IF(OR(E290="FINANCIADO", E290="MCP"), 2.5%, "")))</f>
        <v/>
      </c>
      <c r="G290" s="122" t="str">
        <f aca="false">IF(F290="", "", F290*D290)</f>
        <v/>
      </c>
      <c r="H290" s="131" t="b">
        <f aca="false">FALSE()</f>
        <v>0</v>
      </c>
      <c r="I290" s="131" t="b">
        <f aca="false">FALSE()</f>
        <v>0</v>
      </c>
      <c r="J290" s="130"/>
      <c r="K290" s="110"/>
      <c r="L290" s="83"/>
      <c r="M290" s="103"/>
      <c r="N290" s="103"/>
      <c r="O290" s="103"/>
      <c r="P290" s="103"/>
      <c r="Q290" s="103"/>
      <c r="R290" s="83"/>
      <c r="S290" s="103"/>
      <c r="T290" s="103"/>
      <c r="U290" s="103"/>
    </row>
    <row r="291" customFormat="false" ht="22.5" hidden="false" customHeight="true" outlineLevel="0" collapsed="false">
      <c r="A291" s="99"/>
      <c r="B291" s="99"/>
      <c r="C291" s="99"/>
      <c r="D291" s="121"/>
      <c r="E291" s="99"/>
      <c r="F291" s="124" t="str">
        <f aca="false">IF(E291="CONTADO", 4%, IF(E291="TARJETA / CHEQUE", 3%, IF(OR(E291="FINANCIADO", E291="MCP"), 2.5%, "")))</f>
        <v/>
      </c>
      <c r="G291" s="121" t="str">
        <f aca="false">IF(F291="", "", F291*D291)</f>
        <v/>
      </c>
      <c r="H291" s="132" t="b">
        <f aca="false">FALSE()</f>
        <v>0</v>
      </c>
      <c r="I291" s="132" t="b">
        <f aca="false">FALSE()</f>
        <v>0</v>
      </c>
      <c r="J291" s="126"/>
      <c r="K291" s="99"/>
      <c r="L291" s="83"/>
      <c r="M291" s="103"/>
      <c r="N291" s="103"/>
      <c r="O291" s="103"/>
      <c r="P291" s="103"/>
      <c r="Q291" s="103"/>
      <c r="R291" s="83"/>
      <c r="S291" s="103"/>
      <c r="T291" s="103"/>
      <c r="U291" s="103"/>
    </row>
    <row r="292" customFormat="false" ht="22.5" hidden="false" customHeight="true" outlineLevel="0" collapsed="false">
      <c r="A292" s="110"/>
      <c r="B292" s="110"/>
      <c r="C292" s="110"/>
      <c r="D292" s="122"/>
      <c r="E292" s="110"/>
      <c r="F292" s="128" t="str">
        <f aca="false">IF(E292="CONTADO", 4%, IF(E292="TARJETA / CHEQUE", 3%, IF(OR(E292="FINANCIADO", E292="MCP"), 2.5%, "")))</f>
        <v/>
      </c>
      <c r="G292" s="122" t="str">
        <f aca="false">IF(F292="", "", F292*D292)</f>
        <v/>
      </c>
      <c r="H292" s="131" t="b">
        <f aca="false">FALSE()</f>
        <v>0</v>
      </c>
      <c r="I292" s="131" t="b">
        <f aca="false">FALSE()</f>
        <v>0</v>
      </c>
      <c r="J292" s="130"/>
      <c r="K292" s="110"/>
      <c r="L292" s="83"/>
      <c r="M292" s="103"/>
      <c r="N292" s="103"/>
      <c r="O292" s="103"/>
      <c r="P292" s="103"/>
      <c r="Q292" s="103"/>
      <c r="R292" s="83"/>
      <c r="S292" s="103"/>
      <c r="T292" s="103"/>
      <c r="U292" s="103"/>
    </row>
    <row r="293" customFormat="false" ht="22.5" hidden="false" customHeight="true" outlineLevel="0" collapsed="false">
      <c r="A293" s="99"/>
      <c r="B293" s="99"/>
      <c r="C293" s="99"/>
      <c r="D293" s="121"/>
      <c r="E293" s="99"/>
      <c r="F293" s="124" t="str">
        <f aca="false">IF(E293="CONTADO", 4%, IF(E293="TARJETA / CHEQUE", 3%, IF(OR(E293="FINANCIADO", E293="MCP"), 2.5%, "")))</f>
        <v/>
      </c>
      <c r="G293" s="121" t="str">
        <f aca="false">IF(F293="", "", F293*D293)</f>
        <v/>
      </c>
      <c r="H293" s="132" t="b">
        <f aca="false">FALSE()</f>
        <v>0</v>
      </c>
      <c r="I293" s="132" t="b">
        <f aca="false">FALSE()</f>
        <v>0</v>
      </c>
      <c r="J293" s="126"/>
      <c r="K293" s="99"/>
      <c r="L293" s="83"/>
      <c r="M293" s="103"/>
      <c r="N293" s="103"/>
      <c r="O293" s="103"/>
      <c r="P293" s="103"/>
      <c r="Q293" s="103"/>
      <c r="R293" s="83"/>
      <c r="S293" s="103"/>
      <c r="T293" s="103"/>
      <c r="U293" s="103"/>
    </row>
    <row r="294" customFormat="false" ht="22.5" hidden="false" customHeight="true" outlineLevel="0" collapsed="false">
      <c r="A294" s="110"/>
      <c r="B294" s="110"/>
      <c r="C294" s="110"/>
      <c r="D294" s="122"/>
      <c r="E294" s="110"/>
      <c r="F294" s="128" t="str">
        <f aca="false">IF(E294="CONTADO", 4%, IF(E294="TARJETA / CHEQUE", 3%, IF(OR(E294="FINANCIADO", E294="MCP"), 2.5%, "")))</f>
        <v/>
      </c>
      <c r="G294" s="122" t="str">
        <f aca="false">IF(F294="", "", F294*D294)</f>
        <v/>
      </c>
      <c r="H294" s="131" t="b">
        <f aca="false">FALSE()</f>
        <v>0</v>
      </c>
      <c r="I294" s="131" t="b">
        <f aca="false">FALSE()</f>
        <v>0</v>
      </c>
      <c r="J294" s="130"/>
      <c r="K294" s="110"/>
      <c r="L294" s="83"/>
      <c r="M294" s="103"/>
      <c r="N294" s="103"/>
      <c r="O294" s="103"/>
      <c r="P294" s="103"/>
      <c r="Q294" s="103"/>
      <c r="R294" s="83"/>
      <c r="S294" s="103"/>
      <c r="T294" s="103"/>
      <c r="U294" s="103"/>
    </row>
    <row r="295" customFormat="false" ht="22.5" hidden="false" customHeight="true" outlineLevel="0" collapsed="false">
      <c r="A295" s="99"/>
      <c r="B295" s="99"/>
      <c r="C295" s="99"/>
      <c r="D295" s="121"/>
      <c r="E295" s="99"/>
      <c r="F295" s="124" t="str">
        <f aca="false">IF(E295="CONTADO", 4%, IF(E295="TARJETA / CHEQUE", 3%, IF(OR(E295="FINANCIADO", E295="MCP"), 2.5%, "")))</f>
        <v/>
      </c>
      <c r="G295" s="121" t="str">
        <f aca="false">IF(F295="", "", F295*D295)</f>
        <v/>
      </c>
      <c r="H295" s="132" t="b">
        <f aca="false">FALSE()</f>
        <v>0</v>
      </c>
      <c r="I295" s="132" t="b">
        <f aca="false">FALSE()</f>
        <v>0</v>
      </c>
      <c r="J295" s="126"/>
      <c r="K295" s="99"/>
      <c r="L295" s="83"/>
      <c r="M295" s="103"/>
      <c r="N295" s="103"/>
      <c r="O295" s="103"/>
      <c r="P295" s="103"/>
      <c r="Q295" s="103"/>
      <c r="R295" s="83"/>
      <c r="S295" s="103"/>
      <c r="T295" s="103"/>
      <c r="U295" s="103"/>
    </row>
    <row r="296" customFormat="false" ht="22.5" hidden="false" customHeight="true" outlineLevel="0" collapsed="false">
      <c r="A296" s="110"/>
      <c r="B296" s="110"/>
      <c r="C296" s="110"/>
      <c r="D296" s="122"/>
      <c r="E296" s="110"/>
      <c r="F296" s="128" t="str">
        <f aca="false">IF(E296="CONTADO", 4%, IF(E296="TARJETA / CHEQUE", 3%, IF(OR(E296="FINANCIADO", E296="MCP"), 2.5%, "")))</f>
        <v/>
      </c>
      <c r="G296" s="122" t="str">
        <f aca="false">IF(F296="", "", F296*D296)</f>
        <v/>
      </c>
      <c r="H296" s="131" t="b">
        <f aca="false">FALSE()</f>
        <v>0</v>
      </c>
      <c r="I296" s="131" t="b">
        <f aca="false">FALSE()</f>
        <v>0</v>
      </c>
      <c r="J296" s="130"/>
      <c r="K296" s="110"/>
      <c r="L296" s="83"/>
      <c r="M296" s="103"/>
      <c r="N296" s="103"/>
      <c r="O296" s="103"/>
      <c r="P296" s="103"/>
      <c r="Q296" s="103"/>
      <c r="R296" s="83"/>
      <c r="S296" s="103"/>
      <c r="T296" s="103"/>
      <c r="U296" s="103"/>
    </row>
    <row r="297" customFormat="false" ht="22.5" hidden="false" customHeight="true" outlineLevel="0" collapsed="false">
      <c r="A297" s="99"/>
      <c r="B297" s="99"/>
      <c r="C297" s="99"/>
      <c r="D297" s="121"/>
      <c r="E297" s="99"/>
      <c r="F297" s="124" t="str">
        <f aca="false">IF(E297="CONTADO", 4%, IF(E297="TARJETA / CHEQUE", 3%, IF(OR(E297="FINANCIADO", E297="MCP"), 2.5%, "")))</f>
        <v/>
      </c>
      <c r="G297" s="121" t="str">
        <f aca="false">IF(F297="", "", F297*D297)</f>
        <v/>
      </c>
      <c r="H297" s="132" t="b">
        <f aca="false">FALSE()</f>
        <v>0</v>
      </c>
      <c r="I297" s="132" t="b">
        <f aca="false">FALSE()</f>
        <v>0</v>
      </c>
      <c r="J297" s="126"/>
      <c r="K297" s="99"/>
      <c r="L297" s="83"/>
      <c r="M297" s="103"/>
      <c r="N297" s="103"/>
      <c r="O297" s="103"/>
      <c r="P297" s="103"/>
      <c r="Q297" s="103"/>
      <c r="R297" s="83"/>
      <c r="S297" s="103"/>
      <c r="T297" s="103"/>
      <c r="U297" s="103"/>
    </row>
    <row r="298" customFormat="false" ht="22.5" hidden="false" customHeight="true" outlineLevel="0" collapsed="false">
      <c r="A298" s="110"/>
      <c r="B298" s="110"/>
      <c r="C298" s="110"/>
      <c r="D298" s="122"/>
      <c r="E298" s="110"/>
      <c r="F298" s="128" t="str">
        <f aca="false">IF(E298="CONTADO", 4%, IF(E298="TARJETA / CHEQUE", 3%, IF(OR(E298="FINANCIADO", E298="MCP"), 2.5%, "")))</f>
        <v/>
      </c>
      <c r="G298" s="122" t="str">
        <f aca="false">IF(F298="", "", F298*D298)</f>
        <v/>
      </c>
      <c r="H298" s="131" t="b">
        <f aca="false">FALSE()</f>
        <v>0</v>
      </c>
      <c r="I298" s="131" t="b">
        <f aca="false">FALSE()</f>
        <v>0</v>
      </c>
      <c r="J298" s="130"/>
      <c r="K298" s="110"/>
      <c r="L298" s="83"/>
      <c r="M298" s="103"/>
      <c r="N298" s="103"/>
      <c r="O298" s="103"/>
      <c r="P298" s="103"/>
      <c r="Q298" s="103"/>
      <c r="R298" s="83"/>
      <c r="S298" s="103"/>
      <c r="T298" s="103"/>
      <c r="U298" s="103"/>
    </row>
    <row r="299" customFormat="false" ht="22.5" hidden="false" customHeight="true" outlineLevel="0" collapsed="false">
      <c r="A299" s="99"/>
      <c r="B299" s="99"/>
      <c r="C299" s="99"/>
      <c r="D299" s="121"/>
      <c r="E299" s="99"/>
      <c r="F299" s="124" t="str">
        <f aca="false">IF(E299="CONTADO", 4%, IF(E299="TARJETA / CHEQUE", 3%, IF(OR(E299="FINANCIADO", E299="MCP"), 2.5%, "")))</f>
        <v/>
      </c>
      <c r="G299" s="121" t="str">
        <f aca="false">IF(F299="", "", F299*D299)</f>
        <v/>
      </c>
      <c r="H299" s="132" t="b">
        <f aca="false">FALSE()</f>
        <v>0</v>
      </c>
      <c r="I299" s="132" t="b">
        <f aca="false">FALSE()</f>
        <v>0</v>
      </c>
      <c r="J299" s="126"/>
      <c r="K299" s="99"/>
      <c r="L299" s="83"/>
      <c r="M299" s="103"/>
      <c r="N299" s="103"/>
      <c r="O299" s="103"/>
      <c r="P299" s="103"/>
      <c r="Q299" s="103"/>
      <c r="R299" s="83"/>
      <c r="S299" s="103"/>
      <c r="T299" s="103"/>
      <c r="U299" s="103"/>
    </row>
    <row r="300" customFormat="false" ht="22.5" hidden="false" customHeight="true" outlineLevel="0" collapsed="false">
      <c r="A300" s="110"/>
      <c r="B300" s="110"/>
      <c r="C300" s="110"/>
      <c r="D300" s="122"/>
      <c r="E300" s="110"/>
      <c r="F300" s="128" t="str">
        <f aca="false">IF(E300="CONTADO", 4%, IF(E300="TARJETA / CHEQUE", 3%, IF(OR(E300="FINANCIADO", E300="MCP"), 2.5%, "")))</f>
        <v/>
      </c>
      <c r="G300" s="122" t="str">
        <f aca="false">IF(F300="", "", F300*D300)</f>
        <v/>
      </c>
      <c r="H300" s="131" t="b">
        <f aca="false">FALSE()</f>
        <v>0</v>
      </c>
      <c r="I300" s="131" t="b">
        <f aca="false">FALSE()</f>
        <v>0</v>
      </c>
      <c r="J300" s="130"/>
      <c r="K300" s="110"/>
      <c r="L300" s="83"/>
      <c r="M300" s="103"/>
      <c r="N300" s="103"/>
      <c r="O300" s="103"/>
      <c r="P300" s="103"/>
      <c r="Q300" s="103"/>
      <c r="R300" s="83"/>
      <c r="S300" s="103"/>
      <c r="T300" s="103"/>
      <c r="U300" s="103"/>
    </row>
    <row r="301" customFormat="false" ht="22.5" hidden="false" customHeight="true" outlineLevel="0" collapsed="false">
      <c r="A301" s="99"/>
      <c r="B301" s="99"/>
      <c r="C301" s="99"/>
      <c r="D301" s="121"/>
      <c r="E301" s="99"/>
      <c r="F301" s="124" t="str">
        <f aca="false">IF(E301="CONTADO", 4%, IF(E301="TARJETA / CHEQUE", 3%, IF(OR(E301="FINANCIADO", E301="MCP"), 2.5%, "")))</f>
        <v/>
      </c>
      <c r="G301" s="121" t="str">
        <f aca="false">IF(F301="", "", F301*D301)</f>
        <v/>
      </c>
      <c r="H301" s="132" t="b">
        <f aca="false">FALSE()</f>
        <v>0</v>
      </c>
      <c r="I301" s="132" t="b">
        <f aca="false">FALSE()</f>
        <v>0</v>
      </c>
      <c r="J301" s="126"/>
      <c r="K301" s="99"/>
      <c r="L301" s="83"/>
      <c r="M301" s="103"/>
      <c r="N301" s="103"/>
      <c r="O301" s="103"/>
      <c r="P301" s="103"/>
      <c r="Q301" s="103"/>
      <c r="R301" s="83"/>
      <c r="S301" s="103"/>
      <c r="T301" s="103"/>
      <c r="U301" s="103"/>
    </row>
    <row r="302" customFormat="false" ht="22.5" hidden="false" customHeight="true" outlineLevel="0" collapsed="false">
      <c r="A302" s="110"/>
      <c r="B302" s="110"/>
      <c r="C302" s="110"/>
      <c r="D302" s="122"/>
      <c r="E302" s="110"/>
      <c r="F302" s="128" t="str">
        <f aca="false">IF(E302="CONTADO", 4%, IF(E302="TARJETA / CHEQUE", 3%, IF(OR(E302="FINANCIADO", E302="MCP"), 2.5%, "")))</f>
        <v/>
      </c>
      <c r="G302" s="122" t="str">
        <f aca="false">IF(F302="", "", F302*D302)</f>
        <v/>
      </c>
      <c r="H302" s="131" t="b">
        <f aca="false">FALSE()</f>
        <v>0</v>
      </c>
      <c r="I302" s="131" t="b">
        <f aca="false">FALSE()</f>
        <v>0</v>
      </c>
      <c r="J302" s="130"/>
      <c r="K302" s="110"/>
      <c r="L302" s="83"/>
      <c r="M302" s="103"/>
      <c r="N302" s="103"/>
      <c r="O302" s="103"/>
      <c r="P302" s="103"/>
      <c r="Q302" s="103"/>
      <c r="R302" s="83"/>
      <c r="S302" s="103"/>
      <c r="T302" s="103"/>
      <c r="U302" s="103"/>
    </row>
    <row r="303" customFormat="false" ht="22.5" hidden="false" customHeight="true" outlineLevel="0" collapsed="false">
      <c r="A303" s="99"/>
      <c r="B303" s="99"/>
      <c r="C303" s="99"/>
      <c r="D303" s="121"/>
      <c r="E303" s="99"/>
      <c r="F303" s="124" t="str">
        <f aca="false">IF(E303="CONTADO", 4%, IF(E303="TARJETA / CHEQUE", 3%, IF(OR(E303="FINANCIADO", E303="MCP"), 2.5%, "")))</f>
        <v/>
      </c>
      <c r="G303" s="121" t="str">
        <f aca="false">IF(F303="", "", F303*D303)</f>
        <v/>
      </c>
      <c r="H303" s="132" t="b">
        <f aca="false">FALSE()</f>
        <v>0</v>
      </c>
      <c r="I303" s="132" t="b">
        <f aca="false">FALSE()</f>
        <v>0</v>
      </c>
      <c r="J303" s="126"/>
      <c r="K303" s="99"/>
      <c r="L303" s="83"/>
      <c r="M303" s="103"/>
      <c r="N303" s="103"/>
      <c r="O303" s="103"/>
      <c r="P303" s="103"/>
      <c r="Q303" s="103"/>
      <c r="R303" s="83"/>
      <c r="S303" s="103"/>
      <c r="T303" s="103"/>
      <c r="U303" s="103"/>
    </row>
    <row r="304" customFormat="false" ht="22.5" hidden="false" customHeight="true" outlineLevel="0" collapsed="false">
      <c r="A304" s="110"/>
      <c r="B304" s="110"/>
      <c r="C304" s="110"/>
      <c r="D304" s="122"/>
      <c r="E304" s="110"/>
      <c r="F304" s="128" t="str">
        <f aca="false">IF(E304="CONTADO", 4%, IF(E304="TARJETA / CHEQUE", 3%, IF(OR(E304="FINANCIADO", E304="MCP"), 2.5%, "")))</f>
        <v/>
      </c>
      <c r="G304" s="122" t="str">
        <f aca="false">IF(F304="", "", F304*D304)</f>
        <v/>
      </c>
      <c r="H304" s="131" t="b">
        <f aca="false">FALSE()</f>
        <v>0</v>
      </c>
      <c r="I304" s="131" t="b">
        <f aca="false">FALSE()</f>
        <v>0</v>
      </c>
      <c r="J304" s="130"/>
      <c r="K304" s="110"/>
      <c r="L304" s="83"/>
      <c r="M304" s="103"/>
      <c r="N304" s="103"/>
      <c r="O304" s="103"/>
      <c r="P304" s="103"/>
      <c r="Q304" s="103"/>
      <c r="R304" s="83"/>
      <c r="S304" s="103"/>
      <c r="T304" s="103"/>
      <c r="U304" s="103"/>
    </row>
    <row r="305" customFormat="false" ht="22.5" hidden="false" customHeight="true" outlineLevel="0" collapsed="false">
      <c r="A305" s="99"/>
      <c r="B305" s="99"/>
      <c r="C305" s="99"/>
      <c r="D305" s="121"/>
      <c r="E305" s="99"/>
      <c r="F305" s="124" t="str">
        <f aca="false">IF(E305="CONTADO", 4%, IF(E305="TARJETA / CHEQUE", 3%, IF(OR(E305="FINANCIADO", E305="MCP"), 2.5%, "")))</f>
        <v/>
      </c>
      <c r="G305" s="121" t="str">
        <f aca="false">IF(F305="", "", F305*D305)</f>
        <v/>
      </c>
      <c r="H305" s="132" t="b">
        <f aca="false">FALSE()</f>
        <v>0</v>
      </c>
      <c r="I305" s="132" t="b">
        <f aca="false">FALSE()</f>
        <v>0</v>
      </c>
      <c r="J305" s="126"/>
      <c r="K305" s="99"/>
      <c r="L305" s="83"/>
      <c r="M305" s="103"/>
      <c r="N305" s="103"/>
      <c r="O305" s="103"/>
      <c r="P305" s="103"/>
      <c r="Q305" s="103"/>
      <c r="R305" s="83"/>
      <c r="S305" s="103"/>
      <c r="T305" s="103"/>
      <c r="U305" s="103"/>
    </row>
    <row r="306" customFormat="false" ht="22.5" hidden="false" customHeight="true" outlineLevel="0" collapsed="false">
      <c r="A306" s="110"/>
      <c r="B306" s="110"/>
      <c r="C306" s="110"/>
      <c r="D306" s="122"/>
      <c r="E306" s="110"/>
      <c r="F306" s="128" t="str">
        <f aca="false">IF(E306="CONTADO", 4%, IF(E306="TARJETA / CHEQUE", 3%, IF(OR(E306="FINANCIADO", E306="MCP"), 2.5%, "")))</f>
        <v/>
      </c>
      <c r="G306" s="122" t="str">
        <f aca="false">IF(F306="", "", F306*D306)</f>
        <v/>
      </c>
      <c r="H306" s="131" t="b">
        <f aca="false">FALSE()</f>
        <v>0</v>
      </c>
      <c r="I306" s="131" t="b">
        <f aca="false">FALSE()</f>
        <v>0</v>
      </c>
      <c r="J306" s="130"/>
      <c r="K306" s="110"/>
      <c r="L306" s="83"/>
      <c r="M306" s="103"/>
      <c r="N306" s="103"/>
      <c r="O306" s="103"/>
      <c r="P306" s="103"/>
      <c r="Q306" s="103"/>
      <c r="R306" s="83"/>
      <c r="S306" s="103"/>
      <c r="T306" s="103"/>
      <c r="U306" s="103"/>
    </row>
    <row r="307" customFormat="false" ht="22.5" hidden="false" customHeight="true" outlineLevel="0" collapsed="false">
      <c r="A307" s="99"/>
      <c r="B307" s="99"/>
      <c r="C307" s="99"/>
      <c r="D307" s="121"/>
      <c r="E307" s="99"/>
      <c r="F307" s="124" t="str">
        <f aca="false">IF(E307="CONTADO", 4%, IF(E307="TARJETA / CHEQUE", 3%, IF(OR(E307="FINANCIADO", E307="MCP"), 2.5%, "")))</f>
        <v/>
      </c>
      <c r="G307" s="121" t="str">
        <f aca="false">IF(F307="", "", F307*D307)</f>
        <v/>
      </c>
      <c r="H307" s="132" t="b">
        <f aca="false">FALSE()</f>
        <v>0</v>
      </c>
      <c r="I307" s="132" t="b">
        <f aca="false">FALSE()</f>
        <v>0</v>
      </c>
      <c r="J307" s="126"/>
      <c r="K307" s="99"/>
      <c r="L307" s="83"/>
      <c r="M307" s="103"/>
      <c r="N307" s="103"/>
      <c r="O307" s="103"/>
      <c r="P307" s="103"/>
      <c r="Q307" s="103"/>
      <c r="R307" s="83"/>
      <c r="S307" s="103"/>
      <c r="T307" s="103"/>
      <c r="U307" s="103"/>
    </row>
    <row r="308" customFormat="false" ht="22.5" hidden="false" customHeight="true" outlineLevel="0" collapsed="false">
      <c r="A308" s="110"/>
      <c r="B308" s="110"/>
      <c r="C308" s="110"/>
      <c r="D308" s="122"/>
      <c r="E308" s="110"/>
      <c r="F308" s="128" t="str">
        <f aca="false">IF(E308="CONTADO", 4%, IF(E308="TARJETA / CHEQUE", 3%, IF(OR(E308="FINANCIADO", E308="MCP"), 2.5%, "")))</f>
        <v/>
      </c>
      <c r="G308" s="122" t="str">
        <f aca="false">IF(F308="", "", F308*D308)</f>
        <v/>
      </c>
      <c r="H308" s="131" t="b">
        <f aca="false">FALSE()</f>
        <v>0</v>
      </c>
      <c r="I308" s="131" t="b">
        <f aca="false">FALSE()</f>
        <v>0</v>
      </c>
      <c r="J308" s="130"/>
      <c r="K308" s="110"/>
      <c r="L308" s="83"/>
      <c r="M308" s="103"/>
      <c r="N308" s="103"/>
      <c r="O308" s="103"/>
      <c r="P308" s="103"/>
      <c r="Q308" s="103"/>
      <c r="R308" s="83"/>
      <c r="S308" s="103"/>
      <c r="T308" s="103"/>
      <c r="U308" s="103"/>
    </row>
    <row r="309" customFormat="false" ht="22.5" hidden="false" customHeight="true" outlineLevel="0" collapsed="false">
      <c r="A309" s="99"/>
      <c r="B309" s="99"/>
      <c r="C309" s="99"/>
      <c r="D309" s="121"/>
      <c r="E309" s="99"/>
      <c r="F309" s="124" t="str">
        <f aca="false">IF(E309="CONTADO", 4%, IF(E309="TARJETA / CHEQUE", 3%, IF(OR(E309="FINANCIADO", E309="MCP"), 2.5%, "")))</f>
        <v/>
      </c>
      <c r="G309" s="121" t="str">
        <f aca="false">IF(F309="", "", F309*D309)</f>
        <v/>
      </c>
      <c r="H309" s="132" t="b">
        <f aca="false">FALSE()</f>
        <v>0</v>
      </c>
      <c r="I309" s="132" t="b">
        <f aca="false">FALSE()</f>
        <v>0</v>
      </c>
      <c r="J309" s="126"/>
      <c r="K309" s="99"/>
      <c r="L309" s="83"/>
      <c r="M309" s="103"/>
      <c r="N309" s="103"/>
      <c r="O309" s="103"/>
      <c r="P309" s="103"/>
      <c r="Q309" s="103"/>
      <c r="R309" s="83"/>
      <c r="S309" s="103"/>
      <c r="T309" s="103"/>
      <c r="U309" s="103"/>
    </row>
    <row r="310" customFormat="false" ht="22.5" hidden="false" customHeight="true" outlineLevel="0" collapsed="false">
      <c r="A310" s="110"/>
      <c r="B310" s="110"/>
      <c r="C310" s="110"/>
      <c r="D310" s="122"/>
      <c r="E310" s="110"/>
      <c r="F310" s="128" t="str">
        <f aca="false">IF(E310="CONTADO", 4%, IF(E310="TARJETA / CHEQUE", 3%, IF(OR(E310="FINANCIADO", E310="MCP"), 2.5%, "")))</f>
        <v/>
      </c>
      <c r="G310" s="122" t="str">
        <f aca="false">IF(F310="", "", F310*D310)</f>
        <v/>
      </c>
      <c r="H310" s="131" t="b">
        <f aca="false">FALSE()</f>
        <v>0</v>
      </c>
      <c r="I310" s="131" t="b">
        <f aca="false">FALSE()</f>
        <v>0</v>
      </c>
      <c r="J310" s="130"/>
      <c r="K310" s="110"/>
      <c r="L310" s="83"/>
      <c r="M310" s="103"/>
      <c r="N310" s="103"/>
      <c r="O310" s="103"/>
      <c r="P310" s="103"/>
      <c r="Q310" s="103"/>
      <c r="R310" s="83"/>
      <c r="S310" s="103"/>
      <c r="T310" s="103"/>
      <c r="U310" s="103"/>
    </row>
    <row r="311" customFormat="false" ht="22.5" hidden="false" customHeight="true" outlineLevel="0" collapsed="false">
      <c r="A311" s="99"/>
      <c r="B311" s="99"/>
      <c r="C311" s="99"/>
      <c r="D311" s="121"/>
      <c r="E311" s="99"/>
      <c r="F311" s="124" t="str">
        <f aca="false">IF(E311="CONTADO", 4%, IF(E311="TARJETA / CHEQUE", 3%, IF(OR(E311="FINANCIADO", E311="MCP"), 2.5%, "")))</f>
        <v/>
      </c>
      <c r="G311" s="121" t="str">
        <f aca="false">IF(F311="", "", F311*D311)</f>
        <v/>
      </c>
      <c r="H311" s="132" t="b">
        <f aca="false">FALSE()</f>
        <v>0</v>
      </c>
      <c r="I311" s="132" t="b">
        <f aca="false">FALSE()</f>
        <v>0</v>
      </c>
      <c r="J311" s="126"/>
      <c r="K311" s="99"/>
      <c r="L311" s="83"/>
      <c r="M311" s="103"/>
      <c r="N311" s="103"/>
      <c r="O311" s="103"/>
      <c r="P311" s="103"/>
      <c r="Q311" s="103"/>
      <c r="R311" s="83"/>
      <c r="S311" s="103"/>
      <c r="T311" s="103"/>
      <c r="U311" s="103"/>
    </row>
    <row r="312" customFormat="false" ht="22.5" hidden="false" customHeight="true" outlineLevel="0" collapsed="false">
      <c r="A312" s="110"/>
      <c r="B312" s="110"/>
      <c r="C312" s="110"/>
      <c r="D312" s="122"/>
      <c r="E312" s="110"/>
      <c r="F312" s="128" t="str">
        <f aca="false">IF(E312="CONTADO", 4%, IF(E312="TARJETA / CHEQUE", 3%, IF(OR(E312="FINANCIADO", E312="MCP"), 2.5%, "")))</f>
        <v/>
      </c>
      <c r="G312" s="122" t="str">
        <f aca="false">IF(F312="", "", F312*D312)</f>
        <v/>
      </c>
      <c r="H312" s="131" t="b">
        <f aca="false">FALSE()</f>
        <v>0</v>
      </c>
      <c r="I312" s="131" t="b">
        <f aca="false">FALSE()</f>
        <v>0</v>
      </c>
      <c r="J312" s="130"/>
      <c r="K312" s="110"/>
      <c r="L312" s="83"/>
      <c r="M312" s="103"/>
      <c r="N312" s="103"/>
      <c r="O312" s="103"/>
      <c r="P312" s="103"/>
      <c r="Q312" s="103"/>
      <c r="R312" s="83"/>
      <c r="S312" s="103"/>
      <c r="T312" s="103"/>
      <c r="U312" s="103"/>
    </row>
    <row r="313" customFormat="false" ht="22.5" hidden="false" customHeight="true" outlineLevel="0" collapsed="false">
      <c r="A313" s="99"/>
      <c r="B313" s="99"/>
      <c r="C313" s="99"/>
      <c r="D313" s="121"/>
      <c r="E313" s="99"/>
      <c r="F313" s="124" t="str">
        <f aca="false">IF(E313="CONTADO", 4%, IF(E313="TARJETA / CHEQUE", 3%, IF(OR(E313="FINANCIADO", E313="MCP"), 2.5%, "")))</f>
        <v/>
      </c>
      <c r="G313" s="121" t="str">
        <f aca="false">IF(F313="", "", F313*D313)</f>
        <v/>
      </c>
      <c r="H313" s="132" t="b">
        <f aca="false">FALSE()</f>
        <v>0</v>
      </c>
      <c r="I313" s="132" t="b">
        <f aca="false">FALSE()</f>
        <v>0</v>
      </c>
      <c r="J313" s="126"/>
      <c r="K313" s="99"/>
      <c r="L313" s="83"/>
      <c r="M313" s="103"/>
      <c r="N313" s="103"/>
      <c r="O313" s="103"/>
      <c r="P313" s="103"/>
      <c r="Q313" s="103"/>
      <c r="R313" s="83"/>
      <c r="S313" s="103"/>
      <c r="T313" s="103"/>
      <c r="U313" s="103"/>
    </row>
    <row r="314" customFormat="false" ht="22.5" hidden="false" customHeight="true" outlineLevel="0" collapsed="false">
      <c r="A314" s="110"/>
      <c r="B314" s="110"/>
      <c r="C314" s="110"/>
      <c r="D314" s="122"/>
      <c r="E314" s="110"/>
      <c r="F314" s="128" t="str">
        <f aca="false">IF(E314="CONTADO", 4%, IF(E314="TARJETA / CHEQUE", 3%, IF(OR(E314="FINANCIADO", E314="MCP"), 2.5%, "")))</f>
        <v/>
      </c>
      <c r="G314" s="122" t="str">
        <f aca="false">IF(F314="", "", F314*D314)</f>
        <v/>
      </c>
      <c r="H314" s="131" t="b">
        <f aca="false">FALSE()</f>
        <v>0</v>
      </c>
      <c r="I314" s="131" t="b">
        <f aca="false">FALSE()</f>
        <v>0</v>
      </c>
      <c r="J314" s="130"/>
      <c r="K314" s="110"/>
      <c r="L314" s="83"/>
      <c r="M314" s="103"/>
      <c r="N314" s="103"/>
      <c r="O314" s="103"/>
      <c r="P314" s="103"/>
      <c r="Q314" s="103"/>
      <c r="R314" s="83"/>
      <c r="S314" s="103"/>
      <c r="T314" s="103"/>
      <c r="U314" s="103"/>
    </row>
    <row r="315" customFormat="false" ht="22.5" hidden="false" customHeight="true" outlineLevel="0" collapsed="false">
      <c r="A315" s="99"/>
      <c r="B315" s="99"/>
      <c r="C315" s="99"/>
      <c r="D315" s="121"/>
      <c r="E315" s="99"/>
      <c r="F315" s="124" t="str">
        <f aca="false">IF(E315="CONTADO", 4%, IF(E315="TARJETA / CHEQUE", 3%, IF(OR(E315="FINANCIADO", E315="MCP"), 2.5%, "")))</f>
        <v/>
      </c>
      <c r="G315" s="121" t="str">
        <f aca="false">IF(F315="", "", F315*D315)</f>
        <v/>
      </c>
      <c r="H315" s="132" t="b">
        <f aca="false">FALSE()</f>
        <v>0</v>
      </c>
      <c r="I315" s="132" t="b">
        <f aca="false">FALSE()</f>
        <v>0</v>
      </c>
      <c r="J315" s="126"/>
      <c r="K315" s="99"/>
      <c r="L315" s="83"/>
      <c r="M315" s="103"/>
      <c r="N315" s="103"/>
      <c r="O315" s="103"/>
      <c r="P315" s="103"/>
      <c r="Q315" s="103"/>
      <c r="R315" s="83"/>
      <c r="S315" s="103"/>
      <c r="T315" s="103"/>
      <c r="U315" s="103"/>
    </row>
    <row r="316" customFormat="false" ht="22.5" hidden="false" customHeight="true" outlineLevel="0" collapsed="false">
      <c r="A316" s="110"/>
      <c r="B316" s="110"/>
      <c r="C316" s="110"/>
      <c r="D316" s="122"/>
      <c r="E316" s="110"/>
      <c r="F316" s="128" t="str">
        <f aca="false">IF(E316="CONTADO", 4%, IF(E316="TARJETA / CHEQUE", 3%, IF(OR(E316="FINANCIADO", E316="MCP"), 2.5%, "")))</f>
        <v/>
      </c>
      <c r="G316" s="122" t="str">
        <f aca="false">IF(F316="", "", F316*D316)</f>
        <v/>
      </c>
      <c r="H316" s="131" t="b">
        <f aca="false">FALSE()</f>
        <v>0</v>
      </c>
      <c r="I316" s="131" t="b">
        <f aca="false">FALSE()</f>
        <v>0</v>
      </c>
      <c r="J316" s="130"/>
      <c r="K316" s="110"/>
      <c r="L316" s="83"/>
      <c r="M316" s="103"/>
      <c r="N316" s="103"/>
      <c r="O316" s="103"/>
      <c r="P316" s="103"/>
      <c r="Q316" s="103"/>
      <c r="R316" s="83"/>
      <c r="S316" s="103"/>
      <c r="T316" s="103"/>
      <c r="U316" s="103"/>
    </row>
    <row r="317" customFormat="false" ht="22.5" hidden="false" customHeight="true" outlineLevel="0" collapsed="false">
      <c r="A317" s="99"/>
      <c r="B317" s="99"/>
      <c r="C317" s="99"/>
      <c r="D317" s="121"/>
      <c r="E317" s="99"/>
      <c r="F317" s="124" t="str">
        <f aca="false">IF(E317="CONTADO", 4%, IF(E317="TARJETA / CHEQUE", 3%, IF(OR(E317="FINANCIADO", E317="MCP"), 2.5%, "")))</f>
        <v/>
      </c>
      <c r="G317" s="121" t="str">
        <f aca="false">IF(F317="", "", F317*D317)</f>
        <v/>
      </c>
      <c r="H317" s="132" t="b">
        <f aca="false">FALSE()</f>
        <v>0</v>
      </c>
      <c r="I317" s="132" t="b">
        <f aca="false">FALSE()</f>
        <v>0</v>
      </c>
      <c r="J317" s="126"/>
      <c r="K317" s="99"/>
      <c r="L317" s="83"/>
      <c r="M317" s="103"/>
      <c r="N317" s="103"/>
      <c r="O317" s="103"/>
      <c r="P317" s="103"/>
      <c r="Q317" s="103"/>
      <c r="R317" s="83"/>
      <c r="S317" s="103"/>
      <c r="T317" s="103"/>
      <c r="U317" s="103"/>
    </row>
    <row r="318" customFormat="false" ht="22.5" hidden="false" customHeight="true" outlineLevel="0" collapsed="false">
      <c r="A318" s="110"/>
      <c r="B318" s="110"/>
      <c r="C318" s="110"/>
      <c r="D318" s="122"/>
      <c r="E318" s="110"/>
      <c r="F318" s="128" t="str">
        <f aca="false">IF(E318="CONTADO", 4%, IF(E318="TARJETA / CHEQUE", 3%, IF(OR(E318="FINANCIADO", E318="MCP"), 2.5%, "")))</f>
        <v/>
      </c>
      <c r="G318" s="122" t="str">
        <f aca="false">IF(F318="", "", F318*D318)</f>
        <v/>
      </c>
      <c r="H318" s="131" t="b">
        <f aca="false">FALSE()</f>
        <v>0</v>
      </c>
      <c r="I318" s="131" t="b">
        <f aca="false">FALSE()</f>
        <v>0</v>
      </c>
      <c r="J318" s="130"/>
      <c r="K318" s="110"/>
      <c r="L318" s="83"/>
      <c r="M318" s="103"/>
      <c r="N318" s="103"/>
      <c r="O318" s="103"/>
      <c r="P318" s="103"/>
      <c r="Q318" s="103"/>
      <c r="R318" s="83"/>
      <c r="S318" s="103"/>
      <c r="T318" s="103"/>
      <c r="U318" s="103"/>
    </row>
    <row r="319" customFormat="false" ht="22.5" hidden="false" customHeight="true" outlineLevel="0" collapsed="false">
      <c r="A319" s="99"/>
      <c r="B319" s="99"/>
      <c r="C319" s="99"/>
      <c r="D319" s="121"/>
      <c r="E319" s="99"/>
      <c r="F319" s="124" t="str">
        <f aca="false">IF(E319="CONTADO", 4%, IF(E319="TARJETA / CHEQUE", 3%, IF(OR(E319="FINANCIADO", E319="MCP"), 2.5%, "")))</f>
        <v/>
      </c>
      <c r="G319" s="121" t="str">
        <f aca="false">IF(F319="", "", F319*D319)</f>
        <v/>
      </c>
      <c r="H319" s="132" t="b">
        <f aca="false">FALSE()</f>
        <v>0</v>
      </c>
      <c r="I319" s="132" t="b">
        <f aca="false">FALSE()</f>
        <v>0</v>
      </c>
      <c r="J319" s="126"/>
      <c r="K319" s="99"/>
      <c r="L319" s="83"/>
      <c r="M319" s="103"/>
      <c r="N319" s="103"/>
      <c r="O319" s="103"/>
      <c r="P319" s="103"/>
      <c r="Q319" s="103"/>
      <c r="R319" s="83"/>
      <c r="S319" s="103"/>
      <c r="T319" s="103"/>
      <c r="U319" s="103"/>
    </row>
    <row r="320" customFormat="false" ht="22.5" hidden="false" customHeight="true" outlineLevel="0" collapsed="false">
      <c r="A320" s="110"/>
      <c r="B320" s="110"/>
      <c r="C320" s="110"/>
      <c r="D320" s="122"/>
      <c r="E320" s="110"/>
      <c r="F320" s="128" t="str">
        <f aca="false">IF(E320="CONTADO", 4%, IF(E320="TARJETA / CHEQUE", 3%, IF(OR(E320="FINANCIADO", E320="MCP"), 2.5%, "")))</f>
        <v/>
      </c>
      <c r="G320" s="122" t="str">
        <f aca="false">IF(F320="", "", F320*D320)</f>
        <v/>
      </c>
      <c r="H320" s="131" t="b">
        <f aca="false">FALSE()</f>
        <v>0</v>
      </c>
      <c r="I320" s="131" t="b">
        <f aca="false">FALSE()</f>
        <v>0</v>
      </c>
      <c r="J320" s="130"/>
      <c r="K320" s="110"/>
      <c r="L320" s="83"/>
      <c r="M320" s="103"/>
      <c r="N320" s="103"/>
      <c r="O320" s="103"/>
      <c r="P320" s="103"/>
      <c r="Q320" s="103"/>
      <c r="R320" s="83"/>
      <c r="S320" s="103"/>
      <c r="T320" s="103"/>
      <c r="U320" s="103"/>
    </row>
    <row r="321" customFormat="false" ht="22.5" hidden="false" customHeight="true" outlineLevel="0" collapsed="false">
      <c r="A321" s="99"/>
      <c r="B321" s="99"/>
      <c r="C321" s="99"/>
      <c r="D321" s="121"/>
      <c r="E321" s="99"/>
      <c r="F321" s="124" t="str">
        <f aca="false">IF(E321="CONTADO", 4%, IF(E321="TARJETA / CHEQUE", 3%, IF(OR(E321="FINANCIADO", E321="MCP"), 2.5%, "")))</f>
        <v/>
      </c>
      <c r="G321" s="121" t="str">
        <f aca="false">IF(F321="", "", F321*D321)</f>
        <v/>
      </c>
      <c r="H321" s="132" t="b">
        <f aca="false">FALSE()</f>
        <v>0</v>
      </c>
      <c r="I321" s="132" t="b">
        <f aca="false">FALSE()</f>
        <v>0</v>
      </c>
      <c r="J321" s="126"/>
      <c r="K321" s="99"/>
      <c r="L321" s="83"/>
      <c r="M321" s="103"/>
      <c r="N321" s="103"/>
      <c r="O321" s="103"/>
      <c r="P321" s="103"/>
      <c r="Q321" s="103"/>
      <c r="R321" s="83"/>
      <c r="S321" s="103"/>
      <c r="T321" s="103"/>
      <c r="U321" s="103"/>
    </row>
    <row r="322" customFormat="false" ht="22.5" hidden="false" customHeight="true" outlineLevel="0" collapsed="false">
      <c r="A322" s="110"/>
      <c r="B322" s="110"/>
      <c r="C322" s="110"/>
      <c r="D322" s="122"/>
      <c r="E322" s="110"/>
      <c r="F322" s="128" t="str">
        <f aca="false">IF(E322="CONTADO", 4%, IF(E322="TARJETA / CHEQUE", 3%, IF(OR(E322="FINANCIADO", E322="MCP"), 2.5%, "")))</f>
        <v/>
      </c>
      <c r="G322" s="122" t="str">
        <f aca="false">IF(F322="", "", F322*D322)</f>
        <v/>
      </c>
      <c r="H322" s="131" t="b">
        <f aca="false">FALSE()</f>
        <v>0</v>
      </c>
      <c r="I322" s="131" t="b">
        <f aca="false">FALSE()</f>
        <v>0</v>
      </c>
      <c r="J322" s="130"/>
      <c r="K322" s="110"/>
      <c r="L322" s="83"/>
      <c r="M322" s="103"/>
      <c r="N322" s="103"/>
      <c r="O322" s="103"/>
      <c r="P322" s="103"/>
      <c r="Q322" s="103"/>
      <c r="R322" s="83"/>
      <c r="S322" s="103"/>
      <c r="T322" s="103"/>
      <c r="U322" s="103"/>
    </row>
    <row r="323" customFormat="false" ht="22.5" hidden="false" customHeight="true" outlineLevel="0" collapsed="false">
      <c r="A323" s="99"/>
      <c r="B323" s="99"/>
      <c r="C323" s="99"/>
      <c r="D323" s="121"/>
      <c r="E323" s="99"/>
      <c r="F323" s="124" t="str">
        <f aca="false">IF(E323="CONTADO", 4%, IF(E323="TARJETA / CHEQUE", 3%, IF(OR(E323="FINANCIADO", E323="MCP"), 2.5%, "")))</f>
        <v/>
      </c>
      <c r="G323" s="121" t="str">
        <f aca="false">IF(F323="", "", F323*D323)</f>
        <v/>
      </c>
      <c r="H323" s="132" t="b">
        <f aca="false">FALSE()</f>
        <v>0</v>
      </c>
      <c r="I323" s="132" t="b">
        <f aca="false">FALSE()</f>
        <v>0</v>
      </c>
      <c r="J323" s="126"/>
      <c r="K323" s="99"/>
      <c r="L323" s="83"/>
      <c r="M323" s="103"/>
      <c r="N323" s="103"/>
      <c r="O323" s="103"/>
      <c r="P323" s="103"/>
      <c r="Q323" s="103"/>
      <c r="R323" s="83"/>
      <c r="S323" s="103"/>
      <c r="T323" s="103"/>
      <c r="U323" s="103"/>
    </row>
    <row r="324" customFormat="false" ht="22.5" hidden="false" customHeight="true" outlineLevel="0" collapsed="false">
      <c r="A324" s="110"/>
      <c r="B324" s="110"/>
      <c r="C324" s="110"/>
      <c r="D324" s="122"/>
      <c r="E324" s="110"/>
      <c r="F324" s="128" t="str">
        <f aca="false">IF(E324="CONTADO", 4%, IF(E324="TARJETA / CHEQUE", 3%, IF(OR(E324="FINANCIADO", E324="MCP"), 2.5%, "")))</f>
        <v/>
      </c>
      <c r="G324" s="122" t="str">
        <f aca="false">IF(F324="", "", F324*D324)</f>
        <v/>
      </c>
      <c r="H324" s="131" t="b">
        <f aca="false">FALSE()</f>
        <v>0</v>
      </c>
      <c r="I324" s="131" t="b">
        <f aca="false">FALSE()</f>
        <v>0</v>
      </c>
      <c r="J324" s="130"/>
      <c r="K324" s="110"/>
      <c r="L324" s="83"/>
      <c r="M324" s="103"/>
      <c r="N324" s="103"/>
      <c r="O324" s="103"/>
      <c r="P324" s="103"/>
      <c r="Q324" s="103"/>
      <c r="R324" s="83"/>
      <c r="S324" s="103"/>
      <c r="T324" s="103"/>
      <c r="U324" s="103"/>
    </row>
    <row r="325" customFormat="false" ht="22.5" hidden="false" customHeight="true" outlineLevel="0" collapsed="false">
      <c r="A325" s="99"/>
      <c r="B325" s="99"/>
      <c r="C325" s="99"/>
      <c r="D325" s="121"/>
      <c r="E325" s="99"/>
      <c r="F325" s="124" t="str">
        <f aca="false">IF(E325="CONTADO", 4%, IF(E325="TARJETA / CHEQUE", 3%, IF(OR(E325="FINANCIADO", E325="MCP"), 2.5%, "")))</f>
        <v/>
      </c>
      <c r="G325" s="121" t="str">
        <f aca="false">IF(F325="", "", F325*D325)</f>
        <v/>
      </c>
      <c r="H325" s="132" t="b">
        <f aca="false">FALSE()</f>
        <v>0</v>
      </c>
      <c r="I325" s="132" t="b">
        <f aca="false">FALSE()</f>
        <v>0</v>
      </c>
      <c r="J325" s="126"/>
      <c r="K325" s="99"/>
      <c r="L325" s="83"/>
      <c r="M325" s="103"/>
      <c r="N325" s="103"/>
      <c r="O325" s="103"/>
      <c r="P325" s="103"/>
      <c r="Q325" s="103"/>
      <c r="R325" s="83"/>
      <c r="S325" s="103"/>
      <c r="T325" s="103"/>
      <c r="U325" s="103"/>
    </row>
    <row r="326" customFormat="false" ht="22.5" hidden="false" customHeight="true" outlineLevel="0" collapsed="false">
      <c r="A326" s="110"/>
      <c r="B326" s="110"/>
      <c r="C326" s="110"/>
      <c r="D326" s="122"/>
      <c r="E326" s="110"/>
      <c r="F326" s="128" t="str">
        <f aca="false">IF(E326="CONTADO", 4%, IF(E326="TARJETA / CHEQUE", 3%, IF(OR(E326="FINANCIADO", E326="MCP"), 2.5%, "")))</f>
        <v/>
      </c>
      <c r="G326" s="122" t="str">
        <f aca="false">IF(F326="", "", F326*D326)</f>
        <v/>
      </c>
      <c r="H326" s="131" t="b">
        <f aca="false">FALSE()</f>
        <v>0</v>
      </c>
      <c r="I326" s="131" t="b">
        <f aca="false">FALSE()</f>
        <v>0</v>
      </c>
      <c r="J326" s="130"/>
      <c r="K326" s="110"/>
      <c r="L326" s="83"/>
      <c r="M326" s="103"/>
      <c r="N326" s="103"/>
      <c r="O326" s="103"/>
      <c r="P326" s="103"/>
      <c r="Q326" s="103"/>
      <c r="R326" s="83"/>
      <c r="S326" s="103"/>
      <c r="T326" s="103"/>
      <c r="U326" s="103"/>
    </row>
    <row r="327" customFormat="false" ht="22.5" hidden="false" customHeight="true" outlineLevel="0" collapsed="false">
      <c r="A327" s="99"/>
      <c r="B327" s="99"/>
      <c r="C327" s="99"/>
      <c r="D327" s="121"/>
      <c r="E327" s="99"/>
      <c r="F327" s="124" t="str">
        <f aca="false">IF(E327="CONTADO", 4%, IF(E327="TARJETA / CHEQUE", 3%, IF(OR(E327="FINANCIADO", E327="MCP"), 2.5%, "")))</f>
        <v/>
      </c>
      <c r="G327" s="121" t="str">
        <f aca="false">IF(F327="", "", F327*D327)</f>
        <v/>
      </c>
      <c r="H327" s="132" t="b">
        <f aca="false">FALSE()</f>
        <v>0</v>
      </c>
      <c r="I327" s="132" t="b">
        <f aca="false">FALSE()</f>
        <v>0</v>
      </c>
      <c r="J327" s="126"/>
      <c r="K327" s="99"/>
      <c r="L327" s="83"/>
      <c r="M327" s="103"/>
      <c r="N327" s="103"/>
      <c r="O327" s="103"/>
      <c r="P327" s="103"/>
      <c r="Q327" s="103"/>
      <c r="R327" s="83"/>
      <c r="S327" s="103"/>
      <c r="T327" s="103"/>
      <c r="U327" s="103"/>
    </row>
    <row r="328" customFormat="false" ht="22.5" hidden="false" customHeight="true" outlineLevel="0" collapsed="false">
      <c r="A328" s="110"/>
      <c r="B328" s="110"/>
      <c r="C328" s="110"/>
      <c r="D328" s="122"/>
      <c r="E328" s="110"/>
      <c r="F328" s="128" t="str">
        <f aca="false">IF(E328="CONTADO", 4%, IF(E328="TARJETA / CHEQUE", 3%, IF(OR(E328="FINANCIADO", E328="MCP"), 2.5%, "")))</f>
        <v/>
      </c>
      <c r="G328" s="122" t="str">
        <f aca="false">IF(F328="", "", F328*D328)</f>
        <v/>
      </c>
      <c r="H328" s="131" t="b">
        <f aca="false">FALSE()</f>
        <v>0</v>
      </c>
      <c r="I328" s="131" t="b">
        <f aca="false">FALSE()</f>
        <v>0</v>
      </c>
      <c r="J328" s="130"/>
      <c r="K328" s="110"/>
      <c r="L328" s="83"/>
      <c r="M328" s="103"/>
      <c r="N328" s="103"/>
      <c r="O328" s="103"/>
      <c r="P328" s="103"/>
      <c r="Q328" s="103"/>
      <c r="R328" s="83"/>
      <c r="S328" s="103"/>
      <c r="T328" s="103"/>
      <c r="U328" s="103"/>
    </row>
    <row r="329" customFormat="false" ht="22.5" hidden="false" customHeight="true" outlineLevel="0" collapsed="false">
      <c r="A329" s="99"/>
      <c r="B329" s="99"/>
      <c r="C329" s="99"/>
      <c r="D329" s="121"/>
      <c r="E329" s="99"/>
      <c r="F329" s="124" t="str">
        <f aca="false">IF(E329="CONTADO", 4%, IF(E329="TARJETA / CHEQUE", 3%, IF(OR(E329="FINANCIADO", E329="MCP"), 2.5%, "")))</f>
        <v/>
      </c>
      <c r="G329" s="121" t="str">
        <f aca="false">IF(F329="", "", F329*D329)</f>
        <v/>
      </c>
      <c r="H329" s="132" t="b">
        <f aca="false">FALSE()</f>
        <v>0</v>
      </c>
      <c r="I329" s="132" t="b">
        <f aca="false">FALSE()</f>
        <v>0</v>
      </c>
      <c r="J329" s="126"/>
      <c r="K329" s="99"/>
      <c r="L329" s="83"/>
      <c r="M329" s="103"/>
      <c r="N329" s="103"/>
      <c r="O329" s="103"/>
      <c r="P329" s="103"/>
      <c r="Q329" s="103"/>
      <c r="R329" s="83"/>
      <c r="S329" s="103"/>
      <c r="T329" s="103"/>
      <c r="U329" s="103"/>
    </row>
    <row r="330" customFormat="false" ht="22.5" hidden="false" customHeight="true" outlineLevel="0" collapsed="false">
      <c r="A330" s="110"/>
      <c r="B330" s="110"/>
      <c r="C330" s="110"/>
      <c r="D330" s="122"/>
      <c r="E330" s="110"/>
      <c r="F330" s="128" t="str">
        <f aca="false">IF(E330="CONTADO", 4%, IF(E330="TARJETA / CHEQUE", 3%, IF(OR(E330="FINANCIADO", E330="MCP"), 2.5%, "")))</f>
        <v/>
      </c>
      <c r="G330" s="122" t="str">
        <f aca="false">IF(F330="", "", F330*D330)</f>
        <v/>
      </c>
      <c r="H330" s="131" t="b">
        <f aca="false">FALSE()</f>
        <v>0</v>
      </c>
      <c r="I330" s="131" t="b">
        <f aca="false">FALSE()</f>
        <v>0</v>
      </c>
      <c r="J330" s="130"/>
      <c r="K330" s="110"/>
      <c r="L330" s="83"/>
      <c r="M330" s="103"/>
      <c r="N330" s="103"/>
      <c r="O330" s="103"/>
      <c r="P330" s="103"/>
      <c r="Q330" s="103"/>
      <c r="R330" s="83"/>
      <c r="S330" s="103"/>
      <c r="T330" s="103"/>
      <c r="U330" s="103"/>
    </row>
    <row r="331" customFormat="false" ht="22.5" hidden="false" customHeight="true" outlineLevel="0" collapsed="false">
      <c r="A331" s="99"/>
      <c r="B331" s="99"/>
      <c r="C331" s="99"/>
      <c r="D331" s="121"/>
      <c r="E331" s="99"/>
      <c r="F331" s="124" t="str">
        <f aca="false">IF(E331="CONTADO", 4%, IF(E331="TARJETA / CHEQUE", 3%, IF(OR(E331="FINANCIADO", E331="MCP"), 2.5%, "")))</f>
        <v/>
      </c>
      <c r="G331" s="121" t="str">
        <f aca="false">IF(F331="", "", F331*D331)</f>
        <v/>
      </c>
      <c r="H331" s="132" t="b">
        <f aca="false">FALSE()</f>
        <v>0</v>
      </c>
      <c r="I331" s="132" t="b">
        <f aca="false">FALSE()</f>
        <v>0</v>
      </c>
      <c r="J331" s="126"/>
      <c r="K331" s="99"/>
      <c r="L331" s="83"/>
      <c r="M331" s="103"/>
      <c r="N331" s="103"/>
      <c r="O331" s="103"/>
      <c r="P331" s="103"/>
      <c r="Q331" s="103"/>
      <c r="R331" s="83"/>
      <c r="S331" s="103"/>
      <c r="T331" s="103"/>
      <c r="U331" s="103"/>
    </row>
    <row r="332" customFormat="false" ht="22.5" hidden="false" customHeight="true" outlineLevel="0" collapsed="false">
      <c r="A332" s="110"/>
      <c r="B332" s="110"/>
      <c r="C332" s="110"/>
      <c r="D332" s="122"/>
      <c r="E332" s="110"/>
      <c r="F332" s="128" t="str">
        <f aca="false">IF(E332="CONTADO", 4%, IF(E332="TARJETA / CHEQUE", 3%, IF(OR(E332="FINANCIADO", E332="MCP"), 2.5%, "")))</f>
        <v/>
      </c>
      <c r="G332" s="122" t="str">
        <f aca="false">IF(F332="", "", F332*D332)</f>
        <v/>
      </c>
      <c r="H332" s="131" t="b">
        <f aca="false">FALSE()</f>
        <v>0</v>
      </c>
      <c r="I332" s="131" t="b">
        <f aca="false">FALSE()</f>
        <v>0</v>
      </c>
      <c r="J332" s="130"/>
      <c r="K332" s="110"/>
      <c r="L332" s="83"/>
      <c r="M332" s="103"/>
      <c r="N332" s="103"/>
      <c r="O332" s="103"/>
      <c r="P332" s="103"/>
      <c r="Q332" s="103"/>
      <c r="R332" s="83"/>
      <c r="S332" s="103"/>
      <c r="T332" s="103"/>
      <c r="U332" s="103"/>
    </row>
    <row r="333" customFormat="false" ht="22.5" hidden="false" customHeight="true" outlineLevel="0" collapsed="false">
      <c r="A333" s="99"/>
      <c r="B333" s="99"/>
      <c r="C333" s="99"/>
      <c r="D333" s="121"/>
      <c r="E333" s="99"/>
      <c r="F333" s="124" t="str">
        <f aca="false">IF(E333="CONTADO", 4%, IF(E333="TARJETA / CHEQUE", 3%, IF(OR(E333="FINANCIADO", E333="MCP"), 2.5%, "")))</f>
        <v/>
      </c>
      <c r="G333" s="121" t="str">
        <f aca="false">IF(F333="", "", F333*D333)</f>
        <v/>
      </c>
      <c r="H333" s="132" t="b">
        <f aca="false">FALSE()</f>
        <v>0</v>
      </c>
      <c r="I333" s="132" t="b">
        <f aca="false">FALSE()</f>
        <v>0</v>
      </c>
      <c r="J333" s="126"/>
      <c r="K333" s="99"/>
      <c r="L333" s="83"/>
      <c r="M333" s="103"/>
      <c r="N333" s="103"/>
      <c r="O333" s="103"/>
      <c r="P333" s="103"/>
      <c r="Q333" s="103"/>
      <c r="R333" s="83"/>
      <c r="S333" s="103"/>
      <c r="T333" s="103"/>
      <c r="U333" s="103"/>
    </row>
    <row r="334" customFormat="false" ht="22.5" hidden="false" customHeight="true" outlineLevel="0" collapsed="false">
      <c r="A334" s="110"/>
      <c r="B334" s="110"/>
      <c r="C334" s="110"/>
      <c r="D334" s="122"/>
      <c r="E334" s="110"/>
      <c r="F334" s="128" t="str">
        <f aca="false">IF(E334="CONTADO", 4%, IF(E334="TARJETA / CHEQUE", 3%, IF(OR(E334="FINANCIADO", E334="MCP"), 2.5%, "")))</f>
        <v/>
      </c>
      <c r="G334" s="122" t="str">
        <f aca="false">IF(F334="", "", F334*D334)</f>
        <v/>
      </c>
      <c r="H334" s="131" t="b">
        <f aca="false">FALSE()</f>
        <v>0</v>
      </c>
      <c r="I334" s="131" t="b">
        <f aca="false">FALSE()</f>
        <v>0</v>
      </c>
      <c r="J334" s="130"/>
      <c r="K334" s="110"/>
      <c r="L334" s="83"/>
      <c r="M334" s="103"/>
      <c r="N334" s="103"/>
      <c r="O334" s="103"/>
      <c r="P334" s="103"/>
      <c r="Q334" s="103"/>
      <c r="R334" s="83"/>
      <c r="S334" s="103"/>
      <c r="T334" s="103"/>
      <c r="U334" s="103"/>
    </row>
    <row r="335" customFormat="false" ht="22.5" hidden="false" customHeight="true" outlineLevel="0" collapsed="false">
      <c r="A335" s="99"/>
      <c r="B335" s="99"/>
      <c r="C335" s="99"/>
      <c r="D335" s="121"/>
      <c r="E335" s="99"/>
      <c r="F335" s="124" t="str">
        <f aca="false">IF(E335="CONTADO", 4%, IF(E335="TARJETA / CHEQUE", 3%, IF(OR(E335="FINANCIADO", E335="MCP"), 2.5%, "")))</f>
        <v/>
      </c>
      <c r="G335" s="121" t="str">
        <f aca="false">IF(F335="", "", F335*D335)</f>
        <v/>
      </c>
      <c r="H335" s="132" t="b">
        <f aca="false">FALSE()</f>
        <v>0</v>
      </c>
      <c r="I335" s="132" t="b">
        <f aca="false">FALSE()</f>
        <v>0</v>
      </c>
      <c r="J335" s="126"/>
      <c r="K335" s="99"/>
      <c r="L335" s="83"/>
      <c r="M335" s="103"/>
      <c r="N335" s="103"/>
      <c r="O335" s="103"/>
      <c r="P335" s="103"/>
      <c r="Q335" s="103"/>
      <c r="R335" s="83"/>
      <c r="S335" s="103"/>
      <c r="T335" s="103"/>
      <c r="U335" s="103"/>
    </row>
    <row r="336" customFormat="false" ht="22.5" hidden="false" customHeight="true" outlineLevel="0" collapsed="false">
      <c r="A336" s="110"/>
      <c r="B336" s="110"/>
      <c r="C336" s="110"/>
      <c r="D336" s="122"/>
      <c r="E336" s="110"/>
      <c r="F336" s="128" t="str">
        <f aca="false">IF(E336="CONTADO", 4%, IF(E336="TARJETA / CHEQUE", 3%, IF(OR(E336="FINANCIADO", E336="MCP"), 2.5%, "")))</f>
        <v/>
      </c>
      <c r="G336" s="122" t="str">
        <f aca="false">IF(F336="", "", F336*D336)</f>
        <v/>
      </c>
      <c r="H336" s="131" t="b">
        <f aca="false">FALSE()</f>
        <v>0</v>
      </c>
      <c r="I336" s="131" t="b">
        <f aca="false">FALSE()</f>
        <v>0</v>
      </c>
      <c r="J336" s="130"/>
      <c r="K336" s="110"/>
      <c r="L336" s="83"/>
      <c r="M336" s="103"/>
      <c r="N336" s="103"/>
      <c r="O336" s="103"/>
      <c r="P336" s="103"/>
      <c r="Q336" s="103"/>
      <c r="R336" s="83"/>
      <c r="S336" s="103"/>
      <c r="T336" s="103"/>
      <c r="U336" s="103"/>
    </row>
    <row r="337" customFormat="false" ht="22.5" hidden="false" customHeight="true" outlineLevel="0" collapsed="false">
      <c r="A337" s="99"/>
      <c r="B337" s="99"/>
      <c r="C337" s="99"/>
      <c r="D337" s="121"/>
      <c r="E337" s="99"/>
      <c r="F337" s="124" t="str">
        <f aca="false">IF(E337="CONTADO", 4%, IF(E337="TARJETA / CHEQUE", 3%, IF(OR(E337="FINANCIADO", E337="MCP"), 2.5%, "")))</f>
        <v/>
      </c>
      <c r="G337" s="121" t="str">
        <f aca="false">IF(F337="", "", F337*D337)</f>
        <v/>
      </c>
      <c r="H337" s="132" t="b">
        <f aca="false">FALSE()</f>
        <v>0</v>
      </c>
      <c r="I337" s="132" t="b">
        <f aca="false">FALSE()</f>
        <v>0</v>
      </c>
      <c r="J337" s="126"/>
      <c r="K337" s="99"/>
      <c r="L337" s="83"/>
      <c r="M337" s="103"/>
      <c r="N337" s="103"/>
      <c r="O337" s="103"/>
      <c r="P337" s="103"/>
      <c r="Q337" s="103"/>
      <c r="R337" s="83"/>
      <c r="S337" s="103"/>
      <c r="T337" s="103"/>
      <c r="U337" s="103"/>
    </row>
    <row r="338" customFormat="false" ht="22.5" hidden="false" customHeight="true" outlineLevel="0" collapsed="false">
      <c r="A338" s="110"/>
      <c r="B338" s="110"/>
      <c r="C338" s="110"/>
      <c r="D338" s="122"/>
      <c r="E338" s="110"/>
      <c r="F338" s="128" t="str">
        <f aca="false">IF(E338="CONTADO", 4%, IF(E338="TARJETA / CHEQUE", 3%, IF(OR(E338="FINANCIADO", E338="MCP"), 2.5%, "")))</f>
        <v/>
      </c>
      <c r="G338" s="122" t="str">
        <f aca="false">IF(F338="", "", F338*D338)</f>
        <v/>
      </c>
      <c r="H338" s="131" t="b">
        <f aca="false">FALSE()</f>
        <v>0</v>
      </c>
      <c r="I338" s="131" t="b">
        <f aca="false">FALSE()</f>
        <v>0</v>
      </c>
      <c r="J338" s="130"/>
      <c r="K338" s="110"/>
      <c r="L338" s="83"/>
      <c r="M338" s="103"/>
      <c r="N338" s="103"/>
      <c r="O338" s="103"/>
      <c r="P338" s="103"/>
      <c r="Q338" s="103"/>
      <c r="R338" s="83"/>
      <c r="S338" s="103"/>
      <c r="T338" s="103"/>
      <c r="U338" s="103"/>
    </row>
    <row r="339" customFormat="false" ht="22.5" hidden="false" customHeight="true" outlineLevel="0" collapsed="false">
      <c r="A339" s="99"/>
      <c r="B339" s="99"/>
      <c r="C339" s="99"/>
      <c r="D339" s="121"/>
      <c r="E339" s="99"/>
      <c r="F339" s="124" t="str">
        <f aca="false">IF(E339="CONTADO", 4%, IF(E339="TARJETA / CHEQUE", 3%, IF(OR(E339="FINANCIADO", E339="MCP"), 2.5%, "")))</f>
        <v/>
      </c>
      <c r="G339" s="121" t="str">
        <f aca="false">IF(F339="", "", F339*D339)</f>
        <v/>
      </c>
      <c r="H339" s="132" t="b">
        <f aca="false">FALSE()</f>
        <v>0</v>
      </c>
      <c r="I339" s="132" t="b">
        <f aca="false">FALSE()</f>
        <v>0</v>
      </c>
      <c r="J339" s="126"/>
      <c r="K339" s="99"/>
      <c r="L339" s="83"/>
      <c r="M339" s="103"/>
      <c r="N339" s="103"/>
      <c r="O339" s="103"/>
      <c r="P339" s="103"/>
      <c r="Q339" s="103"/>
      <c r="R339" s="83"/>
      <c r="S339" s="103"/>
      <c r="T339" s="103"/>
      <c r="U339" s="103"/>
    </row>
    <row r="340" customFormat="false" ht="22.5" hidden="false" customHeight="true" outlineLevel="0" collapsed="false">
      <c r="A340" s="110"/>
      <c r="B340" s="110"/>
      <c r="C340" s="110"/>
      <c r="D340" s="122"/>
      <c r="E340" s="110"/>
      <c r="F340" s="128" t="str">
        <f aca="false">IF(E340="CONTADO", 4%, IF(E340="TARJETA / CHEQUE", 3%, IF(OR(E340="FINANCIADO", E340="MCP"), 2.5%, "")))</f>
        <v/>
      </c>
      <c r="G340" s="122" t="str">
        <f aca="false">IF(F340="", "", F340*D340)</f>
        <v/>
      </c>
      <c r="H340" s="131" t="b">
        <f aca="false">FALSE()</f>
        <v>0</v>
      </c>
      <c r="I340" s="131" t="b">
        <f aca="false">FALSE()</f>
        <v>0</v>
      </c>
      <c r="J340" s="130"/>
      <c r="K340" s="110"/>
      <c r="L340" s="83"/>
      <c r="M340" s="103"/>
      <c r="N340" s="103"/>
      <c r="O340" s="103"/>
      <c r="P340" s="103"/>
      <c r="Q340" s="103"/>
      <c r="R340" s="83"/>
      <c r="S340" s="103"/>
      <c r="T340" s="103"/>
      <c r="U340" s="103"/>
    </row>
    <row r="341" customFormat="false" ht="22.5" hidden="false" customHeight="true" outlineLevel="0" collapsed="false">
      <c r="A341" s="99"/>
      <c r="B341" s="99"/>
      <c r="C341" s="99"/>
      <c r="D341" s="121"/>
      <c r="E341" s="99"/>
      <c r="F341" s="124" t="str">
        <f aca="false">IF(E341="CONTADO", 4%, IF(E341="TARJETA / CHEQUE", 3%, IF(OR(E341="FINANCIADO", E341="MCP"), 2.5%, "")))</f>
        <v/>
      </c>
      <c r="G341" s="121" t="str">
        <f aca="false">IF(F341="", "", F341*D341)</f>
        <v/>
      </c>
      <c r="H341" s="132" t="b">
        <f aca="false">FALSE()</f>
        <v>0</v>
      </c>
      <c r="I341" s="132" t="b">
        <f aca="false">FALSE()</f>
        <v>0</v>
      </c>
      <c r="J341" s="126"/>
      <c r="K341" s="99"/>
      <c r="L341" s="83"/>
      <c r="M341" s="103"/>
      <c r="N341" s="103"/>
      <c r="O341" s="103"/>
      <c r="P341" s="103"/>
      <c r="Q341" s="103"/>
      <c r="R341" s="83"/>
      <c r="S341" s="103"/>
      <c r="T341" s="103"/>
      <c r="U341" s="103"/>
    </row>
    <row r="342" customFormat="false" ht="22.5" hidden="false" customHeight="true" outlineLevel="0" collapsed="false">
      <c r="A342" s="110"/>
      <c r="B342" s="110"/>
      <c r="C342" s="110"/>
      <c r="D342" s="122"/>
      <c r="E342" s="110"/>
      <c r="F342" s="128" t="str">
        <f aca="false">IF(E342="CONTADO", 4%, IF(E342="TARJETA / CHEQUE", 3%, IF(OR(E342="FINANCIADO", E342="MCP"), 2.5%, "")))</f>
        <v/>
      </c>
      <c r="G342" s="122" t="str">
        <f aca="false">IF(F342="", "", F342*D342)</f>
        <v/>
      </c>
      <c r="H342" s="131" t="b">
        <f aca="false">FALSE()</f>
        <v>0</v>
      </c>
      <c r="I342" s="131" t="b">
        <f aca="false">FALSE()</f>
        <v>0</v>
      </c>
      <c r="J342" s="130"/>
      <c r="K342" s="110"/>
      <c r="L342" s="83"/>
      <c r="M342" s="103"/>
      <c r="N342" s="103"/>
      <c r="O342" s="103"/>
      <c r="P342" s="103"/>
      <c r="Q342" s="103"/>
      <c r="R342" s="83"/>
      <c r="S342" s="103"/>
      <c r="T342" s="103"/>
      <c r="U342" s="103"/>
    </row>
    <row r="343" customFormat="false" ht="22.5" hidden="false" customHeight="true" outlineLevel="0" collapsed="false">
      <c r="A343" s="99"/>
      <c r="B343" s="99"/>
      <c r="C343" s="99"/>
      <c r="D343" s="121"/>
      <c r="E343" s="99"/>
      <c r="F343" s="124" t="str">
        <f aca="false">IF(E343="CONTADO", 4%, IF(E343="TARJETA / CHEQUE", 3%, IF(OR(E343="FINANCIADO", E343="MCP"), 2.5%, "")))</f>
        <v/>
      </c>
      <c r="G343" s="121" t="str">
        <f aca="false">IF(F343="", "", F343*D343)</f>
        <v/>
      </c>
      <c r="H343" s="132" t="b">
        <f aca="false">FALSE()</f>
        <v>0</v>
      </c>
      <c r="I343" s="132" t="b">
        <f aca="false">FALSE()</f>
        <v>0</v>
      </c>
      <c r="J343" s="126"/>
      <c r="K343" s="99"/>
      <c r="L343" s="83"/>
      <c r="M343" s="103"/>
      <c r="N343" s="103"/>
      <c r="O343" s="103"/>
      <c r="P343" s="103"/>
      <c r="Q343" s="103"/>
      <c r="R343" s="83"/>
      <c r="S343" s="103"/>
      <c r="T343" s="103"/>
      <c r="U343" s="103"/>
    </row>
    <row r="344" customFormat="false" ht="22.5" hidden="false" customHeight="true" outlineLevel="0" collapsed="false">
      <c r="A344" s="110"/>
      <c r="B344" s="110"/>
      <c r="C344" s="110"/>
      <c r="D344" s="122"/>
      <c r="E344" s="110"/>
      <c r="F344" s="128" t="str">
        <f aca="false">IF(E344="CONTADO", 4%, IF(E344="TARJETA / CHEQUE", 3%, IF(OR(E344="FINANCIADO", E344="MCP"), 2.5%, "")))</f>
        <v/>
      </c>
      <c r="G344" s="122" t="str">
        <f aca="false">IF(F344="", "", F344*D344)</f>
        <v/>
      </c>
      <c r="H344" s="131" t="b">
        <f aca="false">FALSE()</f>
        <v>0</v>
      </c>
      <c r="I344" s="131" t="b">
        <f aca="false">FALSE()</f>
        <v>0</v>
      </c>
      <c r="J344" s="130"/>
      <c r="K344" s="110"/>
      <c r="L344" s="83"/>
      <c r="M344" s="103"/>
      <c r="N344" s="103"/>
      <c r="O344" s="103"/>
      <c r="P344" s="103"/>
      <c r="Q344" s="103"/>
      <c r="R344" s="83"/>
      <c r="S344" s="103"/>
      <c r="T344" s="103"/>
      <c r="U344" s="103"/>
    </row>
    <row r="345" customFormat="false" ht="22.5" hidden="false" customHeight="true" outlineLevel="0" collapsed="false">
      <c r="A345" s="99"/>
      <c r="B345" s="99"/>
      <c r="C345" s="99"/>
      <c r="D345" s="121"/>
      <c r="E345" s="99"/>
      <c r="F345" s="124" t="str">
        <f aca="false">IF(E345="CONTADO", 4%, IF(E345="TARJETA / CHEQUE", 3%, IF(OR(E345="FINANCIADO", E345="MCP"), 2.5%, "")))</f>
        <v/>
      </c>
      <c r="G345" s="121" t="str">
        <f aca="false">IF(F345="", "", F345*D345)</f>
        <v/>
      </c>
      <c r="H345" s="132" t="b">
        <f aca="false">FALSE()</f>
        <v>0</v>
      </c>
      <c r="I345" s="132" t="b">
        <f aca="false">FALSE()</f>
        <v>0</v>
      </c>
      <c r="J345" s="126"/>
      <c r="K345" s="99"/>
      <c r="L345" s="83"/>
      <c r="M345" s="103"/>
      <c r="N345" s="103"/>
      <c r="O345" s="103"/>
      <c r="P345" s="103"/>
      <c r="Q345" s="103"/>
      <c r="R345" s="83"/>
      <c r="S345" s="103"/>
      <c r="T345" s="103"/>
      <c r="U345" s="103"/>
    </row>
    <row r="346" customFormat="false" ht="22.5" hidden="false" customHeight="true" outlineLevel="0" collapsed="false">
      <c r="A346" s="110"/>
      <c r="B346" s="110"/>
      <c r="C346" s="110"/>
      <c r="D346" s="122"/>
      <c r="E346" s="110"/>
      <c r="F346" s="128" t="str">
        <f aca="false">IF(E346="CONTADO", 4%, IF(E346="TARJETA / CHEQUE", 3%, IF(OR(E346="FINANCIADO", E346="MCP"), 2.5%, "")))</f>
        <v/>
      </c>
      <c r="G346" s="122" t="str">
        <f aca="false">IF(F346="", "", F346*D346)</f>
        <v/>
      </c>
      <c r="H346" s="131" t="b">
        <f aca="false">FALSE()</f>
        <v>0</v>
      </c>
      <c r="I346" s="131" t="b">
        <f aca="false">FALSE()</f>
        <v>0</v>
      </c>
      <c r="J346" s="130"/>
      <c r="K346" s="110"/>
      <c r="L346" s="83"/>
      <c r="M346" s="103"/>
      <c r="N346" s="103"/>
      <c r="O346" s="103"/>
      <c r="P346" s="103"/>
      <c r="Q346" s="103"/>
      <c r="R346" s="83"/>
      <c r="S346" s="103"/>
      <c r="T346" s="103"/>
      <c r="U346" s="103"/>
    </row>
    <row r="347" customFormat="false" ht="22.5" hidden="false" customHeight="true" outlineLevel="0" collapsed="false">
      <c r="A347" s="99"/>
      <c r="B347" s="99"/>
      <c r="C347" s="99"/>
      <c r="D347" s="121"/>
      <c r="E347" s="99"/>
      <c r="F347" s="124" t="str">
        <f aca="false">IF(E347="CONTADO", 4%, IF(E347="TARJETA / CHEQUE", 3%, IF(OR(E347="FINANCIADO", E347="MCP"), 2.5%, "")))</f>
        <v/>
      </c>
      <c r="G347" s="121" t="str">
        <f aca="false">IF(F347="", "", F347*D347)</f>
        <v/>
      </c>
      <c r="H347" s="132" t="b">
        <f aca="false">FALSE()</f>
        <v>0</v>
      </c>
      <c r="I347" s="132" t="b">
        <f aca="false">FALSE()</f>
        <v>0</v>
      </c>
      <c r="J347" s="126"/>
      <c r="K347" s="99"/>
      <c r="L347" s="83"/>
      <c r="M347" s="103"/>
      <c r="N347" s="103"/>
      <c r="O347" s="103"/>
      <c r="P347" s="103"/>
      <c r="Q347" s="103"/>
      <c r="R347" s="83"/>
      <c r="S347" s="103"/>
      <c r="T347" s="103"/>
      <c r="U347" s="103"/>
    </row>
    <row r="348" customFormat="false" ht="22.5" hidden="false" customHeight="true" outlineLevel="0" collapsed="false">
      <c r="A348" s="110"/>
      <c r="B348" s="110"/>
      <c r="C348" s="110"/>
      <c r="D348" s="122"/>
      <c r="E348" s="110"/>
      <c r="F348" s="128" t="str">
        <f aca="false">IF(E348="CONTADO", 4%, IF(E348="TARJETA / CHEQUE", 3%, IF(OR(E348="FINANCIADO", E348="MCP"), 2.5%, "")))</f>
        <v/>
      </c>
      <c r="G348" s="122" t="str">
        <f aca="false">IF(F348="", "", F348*D348)</f>
        <v/>
      </c>
      <c r="H348" s="131" t="b">
        <f aca="false">FALSE()</f>
        <v>0</v>
      </c>
      <c r="I348" s="131" t="b">
        <f aca="false">FALSE()</f>
        <v>0</v>
      </c>
      <c r="J348" s="130"/>
      <c r="K348" s="110"/>
      <c r="L348" s="83"/>
      <c r="M348" s="103"/>
      <c r="N348" s="103"/>
      <c r="O348" s="103"/>
      <c r="P348" s="103"/>
      <c r="Q348" s="103"/>
      <c r="R348" s="83"/>
      <c r="S348" s="103"/>
      <c r="T348" s="103"/>
      <c r="U348" s="103"/>
    </row>
    <row r="349" customFormat="false" ht="22.5" hidden="false" customHeight="true" outlineLevel="0" collapsed="false">
      <c r="A349" s="99"/>
      <c r="B349" s="99"/>
      <c r="C349" s="99"/>
      <c r="D349" s="121"/>
      <c r="E349" s="99"/>
      <c r="F349" s="124" t="str">
        <f aca="false">IF(E349="CONTADO", 4%, IF(E349="TARJETA / CHEQUE", 3%, IF(OR(E349="FINANCIADO", E349="MCP"), 2.5%, "")))</f>
        <v/>
      </c>
      <c r="G349" s="121" t="str">
        <f aca="false">IF(F349="", "", F349*D349)</f>
        <v/>
      </c>
      <c r="H349" s="132" t="b">
        <f aca="false">FALSE()</f>
        <v>0</v>
      </c>
      <c r="I349" s="132" t="b">
        <f aca="false">FALSE()</f>
        <v>0</v>
      </c>
      <c r="J349" s="126"/>
      <c r="K349" s="99"/>
      <c r="L349" s="83"/>
      <c r="M349" s="103"/>
      <c r="N349" s="103"/>
      <c r="O349" s="103"/>
      <c r="P349" s="103"/>
      <c r="Q349" s="103"/>
      <c r="R349" s="83"/>
      <c r="S349" s="103"/>
      <c r="T349" s="103"/>
      <c r="U349" s="103"/>
    </row>
    <row r="350" customFormat="false" ht="22.5" hidden="false" customHeight="true" outlineLevel="0" collapsed="false">
      <c r="A350" s="110"/>
      <c r="B350" s="110"/>
      <c r="C350" s="110"/>
      <c r="D350" s="122"/>
      <c r="E350" s="110"/>
      <c r="F350" s="128" t="str">
        <f aca="false">IF(E350="CONTADO", 4%, IF(E350="TARJETA / CHEQUE", 3%, IF(OR(E350="FINANCIADO", E350="MCP"), 2.5%, "")))</f>
        <v/>
      </c>
      <c r="G350" s="122" t="str">
        <f aca="false">IF(F350="", "", F350*D350)</f>
        <v/>
      </c>
      <c r="H350" s="131" t="b">
        <f aca="false">FALSE()</f>
        <v>0</v>
      </c>
      <c r="I350" s="131" t="b">
        <f aca="false">FALSE()</f>
        <v>0</v>
      </c>
      <c r="J350" s="130"/>
      <c r="K350" s="110"/>
      <c r="L350" s="83"/>
      <c r="M350" s="103"/>
      <c r="N350" s="103"/>
      <c r="O350" s="103"/>
      <c r="P350" s="103"/>
      <c r="Q350" s="103"/>
      <c r="R350" s="83"/>
      <c r="S350" s="103"/>
      <c r="T350" s="103"/>
      <c r="U350" s="103"/>
    </row>
    <row r="351" customFormat="false" ht="22.5" hidden="false" customHeight="true" outlineLevel="0" collapsed="false">
      <c r="A351" s="99"/>
      <c r="B351" s="99"/>
      <c r="C351" s="99"/>
      <c r="D351" s="121"/>
      <c r="E351" s="99"/>
      <c r="F351" s="124" t="str">
        <f aca="false">IF(E351="CONTADO", 4%, IF(E351="TARJETA / CHEQUE", 3%, IF(OR(E351="FINANCIADO", E351="MCP"), 2.5%, "")))</f>
        <v/>
      </c>
      <c r="G351" s="121" t="str">
        <f aca="false">IF(F351="", "", F351*D351)</f>
        <v/>
      </c>
      <c r="H351" s="132" t="b">
        <f aca="false">FALSE()</f>
        <v>0</v>
      </c>
      <c r="I351" s="132" t="b">
        <f aca="false">FALSE()</f>
        <v>0</v>
      </c>
      <c r="J351" s="126"/>
      <c r="K351" s="99"/>
      <c r="L351" s="83"/>
      <c r="M351" s="103"/>
      <c r="N351" s="103"/>
      <c r="O351" s="103"/>
      <c r="P351" s="103"/>
      <c r="Q351" s="103"/>
      <c r="R351" s="83"/>
      <c r="S351" s="103"/>
      <c r="T351" s="103"/>
      <c r="U351" s="103"/>
    </row>
    <row r="352" customFormat="false" ht="22.5" hidden="false" customHeight="true" outlineLevel="0" collapsed="false">
      <c r="A352" s="110"/>
      <c r="B352" s="110"/>
      <c r="C352" s="110"/>
      <c r="D352" s="122"/>
      <c r="E352" s="110"/>
      <c r="F352" s="128" t="str">
        <f aca="false">IF(E352="CONTADO", 4%, IF(E352="TARJETA / CHEQUE", 3%, IF(OR(E352="FINANCIADO", E352="MCP"), 2.5%, "")))</f>
        <v/>
      </c>
      <c r="G352" s="122" t="str">
        <f aca="false">IF(F352="", "", F352*D352)</f>
        <v/>
      </c>
      <c r="H352" s="131" t="b">
        <f aca="false">FALSE()</f>
        <v>0</v>
      </c>
      <c r="I352" s="131" t="b">
        <f aca="false">FALSE()</f>
        <v>0</v>
      </c>
      <c r="J352" s="130"/>
      <c r="K352" s="110"/>
      <c r="L352" s="83"/>
      <c r="M352" s="103"/>
      <c r="N352" s="103"/>
      <c r="O352" s="103"/>
      <c r="P352" s="103"/>
      <c r="Q352" s="103"/>
      <c r="R352" s="83"/>
      <c r="S352" s="103"/>
      <c r="T352" s="103"/>
      <c r="U352" s="103"/>
    </row>
    <row r="353" customFormat="false" ht="22.5" hidden="false" customHeight="true" outlineLevel="0" collapsed="false">
      <c r="A353" s="99"/>
      <c r="B353" s="99"/>
      <c r="C353" s="99"/>
      <c r="D353" s="121"/>
      <c r="E353" s="99"/>
      <c r="F353" s="124" t="str">
        <f aca="false">IF(E353="CONTADO", 4%, IF(E353="TARJETA / CHEQUE", 3%, IF(OR(E353="FINANCIADO", E353="MCP"), 2.5%, "")))</f>
        <v/>
      </c>
      <c r="G353" s="121" t="str">
        <f aca="false">IF(F353="", "", F353*D353)</f>
        <v/>
      </c>
      <c r="H353" s="132" t="b">
        <f aca="false">FALSE()</f>
        <v>0</v>
      </c>
      <c r="I353" s="132" t="b">
        <f aca="false">FALSE()</f>
        <v>0</v>
      </c>
      <c r="J353" s="126"/>
      <c r="K353" s="99"/>
      <c r="L353" s="83"/>
      <c r="M353" s="103"/>
      <c r="N353" s="103"/>
      <c r="O353" s="103"/>
      <c r="P353" s="103"/>
      <c r="Q353" s="103"/>
      <c r="R353" s="83"/>
      <c r="S353" s="103"/>
      <c r="T353" s="103"/>
      <c r="U353" s="103"/>
    </row>
    <row r="354" customFormat="false" ht="22.5" hidden="false" customHeight="true" outlineLevel="0" collapsed="false">
      <c r="A354" s="110"/>
      <c r="B354" s="110"/>
      <c r="C354" s="110"/>
      <c r="D354" s="122"/>
      <c r="E354" s="110"/>
      <c r="F354" s="128" t="str">
        <f aca="false">IF(E354="CONTADO", 4%, IF(E354="TARJETA / CHEQUE", 3%, IF(OR(E354="FINANCIADO", E354="MCP"), 2.5%, "")))</f>
        <v/>
      </c>
      <c r="G354" s="122" t="str">
        <f aca="false">IF(F354="", "", F354*D354)</f>
        <v/>
      </c>
      <c r="H354" s="131" t="b">
        <f aca="false">FALSE()</f>
        <v>0</v>
      </c>
      <c r="I354" s="131" t="b">
        <f aca="false">FALSE()</f>
        <v>0</v>
      </c>
      <c r="J354" s="130"/>
      <c r="K354" s="110"/>
      <c r="L354" s="83"/>
      <c r="M354" s="103"/>
      <c r="N354" s="103"/>
      <c r="O354" s="103"/>
      <c r="P354" s="103"/>
      <c r="Q354" s="103"/>
      <c r="R354" s="83"/>
      <c r="S354" s="103"/>
      <c r="T354" s="103"/>
      <c r="U354" s="103"/>
    </row>
    <row r="355" customFormat="false" ht="22.5" hidden="false" customHeight="true" outlineLevel="0" collapsed="false">
      <c r="A355" s="99"/>
      <c r="B355" s="99"/>
      <c r="C355" s="99"/>
      <c r="D355" s="121"/>
      <c r="E355" s="99"/>
      <c r="F355" s="124" t="str">
        <f aca="false">IF(E355="CONTADO", 4%, IF(E355="TARJETA / CHEQUE", 3%, IF(OR(E355="FINANCIADO", E355="MCP"), 2.5%, "")))</f>
        <v/>
      </c>
      <c r="G355" s="121" t="str">
        <f aca="false">IF(F355="", "", F355*D355)</f>
        <v/>
      </c>
      <c r="H355" s="132" t="b">
        <f aca="false">FALSE()</f>
        <v>0</v>
      </c>
      <c r="I355" s="132" t="b">
        <f aca="false">FALSE()</f>
        <v>0</v>
      </c>
      <c r="J355" s="126"/>
      <c r="K355" s="99"/>
      <c r="L355" s="83"/>
      <c r="M355" s="103"/>
      <c r="N355" s="103"/>
      <c r="O355" s="103"/>
      <c r="P355" s="103"/>
      <c r="Q355" s="103"/>
      <c r="R355" s="83"/>
      <c r="S355" s="103"/>
      <c r="T355" s="103"/>
      <c r="U355" s="103"/>
    </row>
    <row r="356" customFormat="false" ht="22.5" hidden="false" customHeight="true" outlineLevel="0" collapsed="false">
      <c r="A356" s="110"/>
      <c r="B356" s="110"/>
      <c r="C356" s="110"/>
      <c r="D356" s="122"/>
      <c r="E356" s="110"/>
      <c r="F356" s="128" t="str">
        <f aca="false">IF(E356="CONTADO", 4%, IF(E356="TARJETA / CHEQUE", 3%, IF(OR(E356="FINANCIADO", E356="MCP"), 2.5%, "")))</f>
        <v/>
      </c>
      <c r="G356" s="122" t="str">
        <f aca="false">IF(F356="", "", F356*D356)</f>
        <v/>
      </c>
      <c r="H356" s="131" t="b">
        <f aca="false">FALSE()</f>
        <v>0</v>
      </c>
      <c r="I356" s="131" t="b">
        <f aca="false">FALSE()</f>
        <v>0</v>
      </c>
      <c r="J356" s="130"/>
      <c r="K356" s="110"/>
      <c r="L356" s="83"/>
      <c r="M356" s="103"/>
      <c r="N356" s="103"/>
      <c r="O356" s="103"/>
      <c r="P356" s="103"/>
      <c r="Q356" s="103"/>
      <c r="R356" s="83"/>
      <c r="S356" s="103"/>
      <c r="T356" s="103"/>
      <c r="U356" s="103"/>
    </row>
    <row r="357" customFormat="false" ht="22.5" hidden="false" customHeight="true" outlineLevel="0" collapsed="false">
      <c r="A357" s="99"/>
      <c r="B357" s="99"/>
      <c r="C357" s="99"/>
      <c r="D357" s="121"/>
      <c r="E357" s="99"/>
      <c r="F357" s="124" t="str">
        <f aca="false">IF(E357="CONTADO", 4%, IF(E357="TARJETA / CHEQUE", 3%, IF(OR(E357="FINANCIADO", E357="MCP"), 2.5%, "")))</f>
        <v/>
      </c>
      <c r="G357" s="121" t="str">
        <f aca="false">IF(F357="", "", F357*D357)</f>
        <v/>
      </c>
      <c r="H357" s="132" t="b">
        <f aca="false">FALSE()</f>
        <v>0</v>
      </c>
      <c r="I357" s="132" t="b">
        <f aca="false">FALSE()</f>
        <v>0</v>
      </c>
      <c r="J357" s="126"/>
      <c r="K357" s="99"/>
      <c r="L357" s="83"/>
      <c r="M357" s="103"/>
      <c r="N357" s="103"/>
      <c r="O357" s="103"/>
      <c r="P357" s="103"/>
      <c r="Q357" s="103"/>
      <c r="R357" s="83"/>
      <c r="S357" s="103"/>
      <c r="T357" s="103"/>
      <c r="U357" s="103"/>
    </row>
    <row r="358" customFormat="false" ht="22.5" hidden="false" customHeight="true" outlineLevel="0" collapsed="false">
      <c r="A358" s="110"/>
      <c r="B358" s="110"/>
      <c r="C358" s="110"/>
      <c r="D358" s="122"/>
      <c r="E358" s="110"/>
      <c r="F358" s="128" t="str">
        <f aca="false">IF(E358="CONTADO", 4%, IF(E358="TARJETA / CHEQUE", 3%, IF(OR(E358="FINANCIADO", E358="MCP"), 2.5%, "")))</f>
        <v/>
      </c>
      <c r="G358" s="122" t="str">
        <f aca="false">IF(F358="", "", F358*D358)</f>
        <v/>
      </c>
      <c r="H358" s="131" t="b">
        <f aca="false">FALSE()</f>
        <v>0</v>
      </c>
      <c r="I358" s="131" t="b">
        <f aca="false">FALSE()</f>
        <v>0</v>
      </c>
      <c r="J358" s="130"/>
      <c r="K358" s="110"/>
      <c r="L358" s="83"/>
      <c r="M358" s="103"/>
      <c r="N358" s="103"/>
      <c r="O358" s="103"/>
      <c r="P358" s="103"/>
      <c r="Q358" s="103"/>
      <c r="R358" s="83"/>
      <c r="S358" s="103"/>
      <c r="T358" s="103"/>
      <c r="U358" s="103"/>
    </row>
    <row r="359" customFormat="false" ht="22.5" hidden="false" customHeight="true" outlineLevel="0" collapsed="false">
      <c r="A359" s="99"/>
      <c r="B359" s="99"/>
      <c r="C359" s="99"/>
      <c r="D359" s="121"/>
      <c r="E359" s="99"/>
      <c r="F359" s="124" t="str">
        <f aca="false">IF(E359="CONTADO", 4%, IF(E359="TARJETA / CHEQUE", 3%, IF(OR(E359="FINANCIADO", E359="MCP"), 2.5%, "")))</f>
        <v/>
      </c>
      <c r="G359" s="121" t="str">
        <f aca="false">IF(F359="", "", F359*D359)</f>
        <v/>
      </c>
      <c r="H359" s="132" t="b">
        <f aca="false">FALSE()</f>
        <v>0</v>
      </c>
      <c r="I359" s="132" t="b">
        <f aca="false">FALSE()</f>
        <v>0</v>
      </c>
      <c r="J359" s="126"/>
      <c r="K359" s="99"/>
      <c r="L359" s="83"/>
      <c r="M359" s="103"/>
      <c r="N359" s="103"/>
      <c r="O359" s="103"/>
      <c r="P359" s="103"/>
      <c r="Q359" s="103"/>
      <c r="R359" s="83"/>
      <c r="S359" s="103"/>
      <c r="T359" s="103"/>
      <c r="U359" s="103"/>
    </row>
    <row r="360" customFormat="false" ht="22.5" hidden="false" customHeight="true" outlineLevel="0" collapsed="false">
      <c r="A360" s="110"/>
      <c r="B360" s="110"/>
      <c r="C360" s="110"/>
      <c r="D360" s="122"/>
      <c r="E360" s="110"/>
      <c r="F360" s="128" t="str">
        <f aca="false">IF(E360="CONTADO", 4%, IF(E360="TARJETA / CHEQUE", 3%, IF(OR(E360="FINANCIADO", E360="MCP"), 2.5%, "")))</f>
        <v/>
      </c>
      <c r="G360" s="122" t="str">
        <f aca="false">IF(F360="", "", F360*D360)</f>
        <v/>
      </c>
      <c r="H360" s="131" t="b">
        <f aca="false">FALSE()</f>
        <v>0</v>
      </c>
      <c r="I360" s="131" t="b">
        <f aca="false">FALSE()</f>
        <v>0</v>
      </c>
      <c r="J360" s="130"/>
      <c r="K360" s="110"/>
      <c r="L360" s="83"/>
      <c r="M360" s="103"/>
      <c r="N360" s="103"/>
      <c r="O360" s="103"/>
      <c r="P360" s="103"/>
      <c r="Q360" s="103"/>
      <c r="R360" s="83"/>
      <c r="S360" s="103"/>
      <c r="T360" s="103"/>
      <c r="U360" s="103"/>
    </row>
    <row r="361" customFormat="false" ht="22.5" hidden="false" customHeight="true" outlineLevel="0" collapsed="false">
      <c r="A361" s="99"/>
      <c r="B361" s="99"/>
      <c r="C361" s="99"/>
      <c r="D361" s="121"/>
      <c r="E361" s="99"/>
      <c r="F361" s="124" t="str">
        <f aca="false">IF(E361="CONTADO", 4%, IF(E361="TARJETA / CHEQUE", 3%, IF(OR(E361="FINANCIADO", E361="MCP"), 2.5%, "")))</f>
        <v/>
      </c>
      <c r="G361" s="121" t="str">
        <f aca="false">IF(F361="", "", F361*D361)</f>
        <v/>
      </c>
      <c r="H361" s="132" t="b">
        <f aca="false">FALSE()</f>
        <v>0</v>
      </c>
      <c r="I361" s="132" t="b">
        <f aca="false">FALSE()</f>
        <v>0</v>
      </c>
      <c r="J361" s="126"/>
      <c r="K361" s="99"/>
      <c r="L361" s="83"/>
      <c r="M361" s="103"/>
      <c r="N361" s="103"/>
      <c r="O361" s="103"/>
      <c r="P361" s="103"/>
      <c r="Q361" s="103"/>
      <c r="R361" s="83"/>
      <c r="S361" s="103"/>
      <c r="T361" s="103"/>
      <c r="U361" s="103"/>
    </row>
    <row r="362" customFormat="false" ht="22.5" hidden="false" customHeight="true" outlineLevel="0" collapsed="false">
      <c r="A362" s="110"/>
      <c r="B362" s="110"/>
      <c r="C362" s="110"/>
      <c r="D362" s="122"/>
      <c r="E362" s="110"/>
      <c r="F362" s="128" t="str">
        <f aca="false">IF(E362="CONTADO", 4%, IF(E362="TARJETA / CHEQUE", 3%, IF(OR(E362="FINANCIADO", E362="MCP"), 2.5%, "")))</f>
        <v/>
      </c>
      <c r="G362" s="122" t="str">
        <f aca="false">IF(F362="", "", F362*D362)</f>
        <v/>
      </c>
      <c r="H362" s="131" t="b">
        <f aca="false">FALSE()</f>
        <v>0</v>
      </c>
      <c r="I362" s="131" t="b">
        <f aca="false">FALSE()</f>
        <v>0</v>
      </c>
      <c r="J362" s="130"/>
      <c r="K362" s="110"/>
      <c r="L362" s="83"/>
      <c r="M362" s="103"/>
      <c r="N362" s="103"/>
      <c r="O362" s="103"/>
      <c r="P362" s="103"/>
      <c r="Q362" s="103"/>
      <c r="R362" s="83"/>
      <c r="S362" s="103"/>
      <c r="T362" s="103"/>
      <c r="U362" s="103"/>
    </row>
    <row r="363" customFormat="false" ht="22.5" hidden="false" customHeight="true" outlineLevel="0" collapsed="false">
      <c r="A363" s="99"/>
      <c r="B363" s="99"/>
      <c r="C363" s="99"/>
      <c r="D363" s="121"/>
      <c r="E363" s="99"/>
      <c r="F363" s="124" t="str">
        <f aca="false">IF(E363="CONTADO", 4%, IF(E363="TARJETA / CHEQUE", 3%, IF(OR(E363="FINANCIADO", E363="MCP"), 2.5%, "")))</f>
        <v/>
      </c>
      <c r="G363" s="121" t="str">
        <f aca="false">IF(F363="", "", F363*D363)</f>
        <v/>
      </c>
      <c r="H363" s="132" t="b">
        <f aca="false">FALSE()</f>
        <v>0</v>
      </c>
      <c r="I363" s="132" t="b">
        <f aca="false">FALSE()</f>
        <v>0</v>
      </c>
      <c r="J363" s="126"/>
      <c r="K363" s="99"/>
      <c r="L363" s="83"/>
      <c r="M363" s="103"/>
      <c r="N363" s="103"/>
      <c r="O363" s="103"/>
      <c r="P363" s="103"/>
      <c r="Q363" s="103"/>
      <c r="R363" s="83"/>
      <c r="S363" s="103"/>
      <c r="T363" s="103"/>
      <c r="U363" s="103"/>
    </row>
    <row r="364" customFormat="false" ht="22.5" hidden="false" customHeight="true" outlineLevel="0" collapsed="false">
      <c r="A364" s="110"/>
      <c r="B364" s="110"/>
      <c r="C364" s="110"/>
      <c r="D364" s="122"/>
      <c r="E364" s="110"/>
      <c r="F364" s="128" t="str">
        <f aca="false">IF(E364="CONTADO", 4%, IF(E364="TARJETA / CHEQUE", 3%, IF(OR(E364="FINANCIADO", E364="MCP"), 2.5%, "")))</f>
        <v/>
      </c>
      <c r="G364" s="122" t="str">
        <f aca="false">IF(F364="", "", F364*D364)</f>
        <v/>
      </c>
      <c r="H364" s="131" t="b">
        <f aca="false">FALSE()</f>
        <v>0</v>
      </c>
      <c r="I364" s="131" t="b">
        <f aca="false">FALSE()</f>
        <v>0</v>
      </c>
      <c r="J364" s="130"/>
      <c r="K364" s="110"/>
      <c r="L364" s="83"/>
      <c r="M364" s="103"/>
      <c r="N364" s="103"/>
      <c r="O364" s="103"/>
      <c r="P364" s="103"/>
      <c r="Q364" s="103"/>
      <c r="R364" s="83"/>
      <c r="S364" s="103"/>
      <c r="T364" s="103"/>
      <c r="U364" s="103"/>
    </row>
    <row r="365" customFormat="false" ht="22.5" hidden="false" customHeight="true" outlineLevel="0" collapsed="false">
      <c r="A365" s="99"/>
      <c r="B365" s="99"/>
      <c r="C365" s="99"/>
      <c r="D365" s="121"/>
      <c r="E365" s="99"/>
      <c r="F365" s="124" t="str">
        <f aca="false">IF(E365="CONTADO", 4%, IF(E365="TARJETA / CHEQUE", 3%, IF(OR(E365="FINANCIADO", E365="MCP"), 2.5%, "")))</f>
        <v/>
      </c>
      <c r="G365" s="121" t="str">
        <f aca="false">IF(F365="", "", F365*D365)</f>
        <v/>
      </c>
      <c r="H365" s="132" t="b">
        <f aca="false">FALSE()</f>
        <v>0</v>
      </c>
      <c r="I365" s="132" t="b">
        <f aca="false">FALSE()</f>
        <v>0</v>
      </c>
      <c r="J365" s="126"/>
      <c r="K365" s="99"/>
      <c r="L365" s="83"/>
      <c r="M365" s="103"/>
      <c r="N365" s="103"/>
      <c r="O365" s="103"/>
      <c r="P365" s="103"/>
      <c r="Q365" s="103"/>
      <c r="R365" s="83"/>
      <c r="S365" s="103"/>
      <c r="T365" s="103"/>
      <c r="U365" s="103"/>
    </row>
    <row r="366" customFormat="false" ht="22.5" hidden="false" customHeight="true" outlineLevel="0" collapsed="false">
      <c r="A366" s="110"/>
      <c r="B366" s="110"/>
      <c r="C366" s="110"/>
      <c r="D366" s="122"/>
      <c r="E366" s="110"/>
      <c r="F366" s="128" t="str">
        <f aca="false">IF(E366="CONTADO", 4%, IF(E366="TARJETA / CHEQUE", 3%, IF(OR(E366="FINANCIADO", E366="MCP"), 2.5%, "")))</f>
        <v/>
      </c>
      <c r="G366" s="122" t="str">
        <f aca="false">IF(F366="", "", F366*D366)</f>
        <v/>
      </c>
      <c r="H366" s="131" t="b">
        <f aca="false">FALSE()</f>
        <v>0</v>
      </c>
      <c r="I366" s="131" t="b">
        <f aca="false">FALSE()</f>
        <v>0</v>
      </c>
      <c r="J366" s="130"/>
      <c r="K366" s="110"/>
      <c r="L366" s="83"/>
      <c r="M366" s="103"/>
      <c r="N366" s="103"/>
      <c r="O366" s="103"/>
      <c r="P366" s="103"/>
      <c r="Q366" s="103"/>
      <c r="R366" s="83"/>
      <c r="S366" s="103"/>
      <c r="T366" s="103"/>
      <c r="U366" s="103"/>
    </row>
    <row r="367" customFormat="false" ht="22.5" hidden="false" customHeight="true" outlineLevel="0" collapsed="false">
      <c r="A367" s="99"/>
      <c r="B367" s="99"/>
      <c r="C367" s="99"/>
      <c r="D367" s="121"/>
      <c r="E367" s="99"/>
      <c r="F367" s="124" t="str">
        <f aca="false">IF(E367="CONTADO", 4%, IF(E367="TARJETA / CHEQUE", 3%, IF(OR(E367="FINANCIADO", E367="MCP"), 2.5%, "")))</f>
        <v/>
      </c>
      <c r="G367" s="121" t="str">
        <f aca="false">IF(F367="", "", F367*D367)</f>
        <v/>
      </c>
      <c r="H367" s="132" t="b">
        <f aca="false">FALSE()</f>
        <v>0</v>
      </c>
      <c r="I367" s="132" t="b">
        <f aca="false">FALSE()</f>
        <v>0</v>
      </c>
      <c r="J367" s="126"/>
      <c r="K367" s="99"/>
      <c r="L367" s="83"/>
      <c r="M367" s="103"/>
      <c r="N367" s="103"/>
      <c r="O367" s="103"/>
      <c r="P367" s="103"/>
      <c r="Q367" s="103"/>
      <c r="R367" s="83"/>
      <c r="S367" s="103"/>
      <c r="T367" s="103"/>
      <c r="U367" s="103"/>
    </row>
    <row r="368" customFormat="false" ht="22.5" hidden="false" customHeight="true" outlineLevel="0" collapsed="false">
      <c r="A368" s="110"/>
      <c r="B368" s="110"/>
      <c r="C368" s="110"/>
      <c r="D368" s="122"/>
      <c r="E368" s="110"/>
      <c r="F368" s="128" t="str">
        <f aca="false">IF(E368="CONTADO", 4%, IF(E368="TARJETA / CHEQUE", 3%, IF(OR(E368="FINANCIADO", E368="MCP"), 2.5%, "")))</f>
        <v/>
      </c>
      <c r="G368" s="122" t="str">
        <f aca="false">IF(F368="", "", F368*D368)</f>
        <v/>
      </c>
      <c r="H368" s="131" t="b">
        <f aca="false">FALSE()</f>
        <v>0</v>
      </c>
      <c r="I368" s="131" t="b">
        <f aca="false">FALSE()</f>
        <v>0</v>
      </c>
      <c r="J368" s="130"/>
      <c r="K368" s="110"/>
      <c r="L368" s="83"/>
      <c r="M368" s="103"/>
      <c r="N368" s="103"/>
      <c r="O368" s="103"/>
      <c r="P368" s="103"/>
      <c r="Q368" s="103"/>
      <c r="R368" s="83"/>
      <c r="S368" s="103"/>
      <c r="T368" s="103"/>
      <c r="U368" s="103"/>
    </row>
    <row r="369" customFormat="false" ht="22.5" hidden="false" customHeight="true" outlineLevel="0" collapsed="false">
      <c r="A369" s="99"/>
      <c r="B369" s="99"/>
      <c r="C369" s="99"/>
      <c r="D369" s="121"/>
      <c r="E369" s="99"/>
      <c r="F369" s="124" t="str">
        <f aca="false">IF(E369="CONTADO", 4%, IF(E369="TARJETA / CHEQUE", 3%, IF(OR(E369="FINANCIADO", E369="MCP"), 2.5%, "")))</f>
        <v/>
      </c>
      <c r="G369" s="121" t="str">
        <f aca="false">IF(F369="", "", F369*D369)</f>
        <v/>
      </c>
      <c r="H369" s="132" t="b">
        <f aca="false">FALSE()</f>
        <v>0</v>
      </c>
      <c r="I369" s="132" t="b">
        <f aca="false">FALSE()</f>
        <v>0</v>
      </c>
      <c r="J369" s="126"/>
      <c r="K369" s="99"/>
      <c r="L369" s="83"/>
      <c r="M369" s="103"/>
      <c r="N369" s="103"/>
      <c r="O369" s="103"/>
      <c r="P369" s="103"/>
      <c r="Q369" s="103"/>
      <c r="R369" s="83"/>
      <c r="S369" s="103"/>
      <c r="T369" s="103"/>
      <c r="U369" s="103"/>
    </row>
    <row r="370" customFormat="false" ht="22.5" hidden="false" customHeight="true" outlineLevel="0" collapsed="false">
      <c r="A370" s="110"/>
      <c r="B370" s="110"/>
      <c r="C370" s="110"/>
      <c r="D370" s="122"/>
      <c r="E370" s="110"/>
      <c r="F370" s="128" t="str">
        <f aca="false">IF(E370="CONTADO", 4%, IF(E370="TARJETA / CHEQUE", 3%, IF(OR(E370="FINANCIADO", E370="MCP"), 2.5%, "")))</f>
        <v/>
      </c>
      <c r="G370" s="122" t="str">
        <f aca="false">IF(F370="", "", F370*D370)</f>
        <v/>
      </c>
      <c r="H370" s="131" t="b">
        <f aca="false">FALSE()</f>
        <v>0</v>
      </c>
      <c r="I370" s="131" t="b">
        <f aca="false">FALSE()</f>
        <v>0</v>
      </c>
      <c r="J370" s="130"/>
      <c r="K370" s="110"/>
      <c r="L370" s="83"/>
      <c r="M370" s="103"/>
      <c r="N370" s="103"/>
      <c r="O370" s="103"/>
      <c r="P370" s="103"/>
      <c r="Q370" s="103"/>
      <c r="R370" s="83"/>
      <c r="S370" s="103"/>
      <c r="T370" s="103"/>
      <c r="U370" s="103"/>
    </row>
    <row r="371" customFormat="false" ht="22.5" hidden="false" customHeight="true" outlineLevel="0" collapsed="false">
      <c r="A371" s="99"/>
      <c r="B371" s="99"/>
      <c r="C371" s="99"/>
      <c r="D371" s="121"/>
      <c r="E371" s="99"/>
      <c r="F371" s="124" t="str">
        <f aca="false">IF(E371="CONTADO", 4%, IF(E371="TARJETA / CHEQUE", 3%, IF(OR(E371="FINANCIADO", E371="MCP"), 2.5%, "")))</f>
        <v/>
      </c>
      <c r="G371" s="121" t="str">
        <f aca="false">IF(F371="", "", F371*D371)</f>
        <v/>
      </c>
      <c r="H371" s="132" t="b">
        <f aca="false">FALSE()</f>
        <v>0</v>
      </c>
      <c r="I371" s="132" t="b">
        <f aca="false">FALSE()</f>
        <v>0</v>
      </c>
      <c r="J371" s="126"/>
      <c r="K371" s="99"/>
      <c r="L371" s="83"/>
      <c r="M371" s="103"/>
      <c r="N371" s="103"/>
      <c r="O371" s="103"/>
      <c r="P371" s="103"/>
      <c r="Q371" s="103"/>
      <c r="R371" s="83"/>
      <c r="S371" s="103"/>
      <c r="T371" s="103"/>
      <c r="U371" s="103"/>
    </row>
    <row r="372" customFormat="false" ht="22.5" hidden="false" customHeight="true" outlineLevel="0" collapsed="false">
      <c r="A372" s="110"/>
      <c r="B372" s="110"/>
      <c r="C372" s="110"/>
      <c r="D372" s="122"/>
      <c r="E372" s="110"/>
      <c r="F372" s="128" t="str">
        <f aca="false">IF(E372="CONTADO", 4%, IF(E372="TARJETA / CHEQUE", 3%, IF(OR(E372="FINANCIADO", E372="MCP"), 2.5%, "")))</f>
        <v/>
      </c>
      <c r="G372" s="122" t="str">
        <f aca="false">IF(F372="", "", F372*D372)</f>
        <v/>
      </c>
      <c r="H372" s="131" t="b">
        <f aca="false">FALSE()</f>
        <v>0</v>
      </c>
      <c r="I372" s="131" t="b">
        <f aca="false">FALSE()</f>
        <v>0</v>
      </c>
      <c r="J372" s="130"/>
      <c r="K372" s="110"/>
      <c r="L372" s="83"/>
      <c r="M372" s="103"/>
      <c r="N372" s="103"/>
      <c r="O372" s="103"/>
      <c r="P372" s="103"/>
      <c r="Q372" s="103"/>
      <c r="R372" s="83"/>
      <c r="S372" s="103"/>
      <c r="T372" s="103"/>
      <c r="U372" s="103"/>
    </row>
    <row r="373" customFormat="false" ht="22.5" hidden="false" customHeight="true" outlineLevel="0" collapsed="false">
      <c r="A373" s="99"/>
      <c r="B373" s="99"/>
      <c r="C373" s="99"/>
      <c r="D373" s="121"/>
      <c r="E373" s="99"/>
      <c r="F373" s="124" t="str">
        <f aca="false">IF(E373="CONTADO", 4%, IF(E373="TARJETA / CHEQUE", 3%, IF(OR(E373="FINANCIADO", E373="MCP"), 2.5%, "")))</f>
        <v/>
      </c>
      <c r="G373" s="121" t="str">
        <f aca="false">IF(F373="", "", F373*D373)</f>
        <v/>
      </c>
      <c r="H373" s="132" t="b">
        <f aca="false">FALSE()</f>
        <v>0</v>
      </c>
      <c r="I373" s="132" t="b">
        <f aca="false">FALSE()</f>
        <v>0</v>
      </c>
      <c r="J373" s="126"/>
      <c r="K373" s="99"/>
      <c r="L373" s="83"/>
      <c r="M373" s="103"/>
      <c r="N373" s="103"/>
      <c r="O373" s="103"/>
      <c r="P373" s="103"/>
      <c r="Q373" s="103"/>
      <c r="R373" s="83"/>
      <c r="S373" s="103"/>
      <c r="T373" s="103"/>
      <c r="U373" s="103"/>
    </row>
    <row r="374" customFormat="false" ht="22.5" hidden="false" customHeight="true" outlineLevel="0" collapsed="false">
      <c r="A374" s="110"/>
      <c r="B374" s="110"/>
      <c r="C374" s="110"/>
      <c r="D374" s="122"/>
      <c r="E374" s="110"/>
      <c r="F374" s="128" t="str">
        <f aca="false">IF(E374="CONTADO", 4%, IF(E374="TARJETA / CHEQUE", 3%, IF(OR(E374="FINANCIADO", E374="MCP"), 2.5%, "")))</f>
        <v/>
      </c>
      <c r="G374" s="122" t="str">
        <f aca="false">IF(F374="", "", F374*D374)</f>
        <v/>
      </c>
      <c r="H374" s="131" t="b">
        <f aca="false">FALSE()</f>
        <v>0</v>
      </c>
      <c r="I374" s="131" t="b">
        <f aca="false">FALSE()</f>
        <v>0</v>
      </c>
      <c r="J374" s="130"/>
      <c r="K374" s="110"/>
      <c r="L374" s="83"/>
      <c r="M374" s="103"/>
      <c r="N374" s="103"/>
      <c r="O374" s="103"/>
      <c r="P374" s="103"/>
      <c r="Q374" s="103"/>
      <c r="R374" s="83"/>
      <c r="S374" s="103"/>
      <c r="T374" s="103"/>
      <c r="U374" s="103"/>
    </row>
    <row r="375" customFormat="false" ht="22.5" hidden="false" customHeight="true" outlineLevel="0" collapsed="false">
      <c r="A375" s="99"/>
      <c r="B375" s="99"/>
      <c r="C375" s="99"/>
      <c r="D375" s="121"/>
      <c r="E375" s="99"/>
      <c r="F375" s="124" t="str">
        <f aca="false">IF(E375="CONTADO", 4%, IF(E375="TARJETA / CHEQUE", 3%, IF(OR(E375="FINANCIADO", E375="MCP"), 2.5%, "")))</f>
        <v/>
      </c>
      <c r="G375" s="121" t="str">
        <f aca="false">IF(F375="", "", F375*D375)</f>
        <v/>
      </c>
      <c r="H375" s="132" t="b">
        <f aca="false">FALSE()</f>
        <v>0</v>
      </c>
      <c r="I375" s="132" t="b">
        <f aca="false">FALSE()</f>
        <v>0</v>
      </c>
      <c r="J375" s="126"/>
      <c r="K375" s="99"/>
      <c r="L375" s="83"/>
      <c r="M375" s="103"/>
      <c r="N375" s="103"/>
      <c r="O375" s="103"/>
      <c r="P375" s="103"/>
      <c r="Q375" s="103"/>
      <c r="R375" s="83"/>
      <c r="S375" s="103"/>
      <c r="T375" s="103"/>
      <c r="U375" s="103"/>
    </row>
    <row r="376" customFormat="false" ht="22.5" hidden="false" customHeight="true" outlineLevel="0" collapsed="false">
      <c r="A376" s="110"/>
      <c r="B376" s="110"/>
      <c r="C376" s="110"/>
      <c r="D376" s="122"/>
      <c r="E376" s="110"/>
      <c r="F376" s="128" t="str">
        <f aca="false">IF(E376="CONTADO", 4%, IF(E376="TARJETA / CHEQUE", 3%, IF(OR(E376="FINANCIADO", E376="MCP"), 2.5%, "")))</f>
        <v/>
      </c>
      <c r="G376" s="122" t="str">
        <f aca="false">IF(F376="", "", F376*D376)</f>
        <v/>
      </c>
      <c r="H376" s="131" t="b">
        <f aca="false">FALSE()</f>
        <v>0</v>
      </c>
      <c r="I376" s="131" t="b">
        <f aca="false">FALSE()</f>
        <v>0</v>
      </c>
      <c r="J376" s="130"/>
      <c r="K376" s="110"/>
      <c r="L376" s="83"/>
      <c r="M376" s="103"/>
      <c r="N376" s="103"/>
      <c r="O376" s="103"/>
      <c r="P376" s="103"/>
      <c r="Q376" s="103"/>
      <c r="R376" s="83"/>
      <c r="S376" s="103"/>
      <c r="T376" s="103"/>
      <c r="U376" s="103"/>
    </row>
    <row r="377" customFormat="false" ht="22.5" hidden="false" customHeight="true" outlineLevel="0" collapsed="false">
      <c r="A377" s="99"/>
      <c r="B377" s="99"/>
      <c r="C377" s="99"/>
      <c r="D377" s="121"/>
      <c r="E377" s="99"/>
      <c r="F377" s="124" t="str">
        <f aca="false">IF(E377="CONTADO", 4%, IF(E377="TARJETA / CHEQUE", 3%, IF(OR(E377="FINANCIADO", E377="MCP"), 2.5%, "")))</f>
        <v/>
      </c>
      <c r="G377" s="121" t="str">
        <f aca="false">IF(F377="", "", F377*D377)</f>
        <v/>
      </c>
      <c r="H377" s="132" t="b">
        <f aca="false">FALSE()</f>
        <v>0</v>
      </c>
      <c r="I377" s="132" t="b">
        <f aca="false">FALSE()</f>
        <v>0</v>
      </c>
      <c r="J377" s="126"/>
      <c r="K377" s="99"/>
      <c r="L377" s="83"/>
      <c r="M377" s="103"/>
      <c r="N377" s="103"/>
      <c r="O377" s="103"/>
      <c r="P377" s="103"/>
      <c r="Q377" s="103"/>
      <c r="R377" s="83"/>
      <c r="S377" s="103"/>
      <c r="T377" s="103"/>
      <c r="U377" s="103"/>
    </row>
    <row r="378" customFormat="false" ht="22.5" hidden="false" customHeight="true" outlineLevel="0" collapsed="false">
      <c r="A378" s="110"/>
      <c r="B378" s="110"/>
      <c r="C378" s="110"/>
      <c r="D378" s="122"/>
      <c r="E378" s="110"/>
      <c r="F378" s="128" t="str">
        <f aca="false">IF(E378="CONTADO", 4%, IF(E378="TARJETA / CHEQUE", 3%, IF(OR(E378="FINANCIADO", E378="MCP"), 2.5%, "")))</f>
        <v/>
      </c>
      <c r="G378" s="122" t="str">
        <f aca="false">IF(F378="", "", F378*D378)</f>
        <v/>
      </c>
      <c r="H378" s="131" t="b">
        <f aca="false">FALSE()</f>
        <v>0</v>
      </c>
      <c r="I378" s="131" t="b">
        <f aca="false">FALSE()</f>
        <v>0</v>
      </c>
      <c r="J378" s="130"/>
      <c r="K378" s="110"/>
      <c r="L378" s="83"/>
      <c r="M378" s="103"/>
      <c r="N378" s="103"/>
      <c r="O378" s="103"/>
      <c r="P378" s="103"/>
      <c r="Q378" s="103"/>
      <c r="R378" s="83"/>
      <c r="S378" s="103"/>
      <c r="T378" s="103"/>
      <c r="U378" s="103"/>
    </row>
    <row r="379" customFormat="false" ht="22.5" hidden="false" customHeight="true" outlineLevel="0" collapsed="false">
      <c r="A379" s="99"/>
      <c r="B379" s="99"/>
      <c r="C379" s="99"/>
      <c r="D379" s="121"/>
      <c r="E379" s="99"/>
      <c r="F379" s="124" t="str">
        <f aca="false">IF(E379="CONTADO", 4%, IF(E379="TARJETA / CHEQUE", 3%, IF(OR(E379="FINANCIADO", E379="MCP"), 2.5%, "")))</f>
        <v/>
      </c>
      <c r="G379" s="121" t="str">
        <f aca="false">IF(F379="", "", F379*D379)</f>
        <v/>
      </c>
      <c r="H379" s="132" t="b">
        <f aca="false">FALSE()</f>
        <v>0</v>
      </c>
      <c r="I379" s="132" t="b">
        <f aca="false">FALSE()</f>
        <v>0</v>
      </c>
      <c r="J379" s="126"/>
      <c r="K379" s="99"/>
      <c r="L379" s="83"/>
      <c r="M379" s="103"/>
      <c r="N379" s="103"/>
      <c r="O379" s="103"/>
      <c r="P379" s="103"/>
      <c r="Q379" s="103"/>
      <c r="R379" s="83"/>
      <c r="S379" s="103"/>
      <c r="T379" s="103"/>
      <c r="U379" s="103"/>
    </row>
    <row r="380" customFormat="false" ht="22.5" hidden="false" customHeight="true" outlineLevel="0" collapsed="false">
      <c r="A380" s="110"/>
      <c r="B380" s="110"/>
      <c r="C380" s="110"/>
      <c r="D380" s="122"/>
      <c r="E380" s="110"/>
      <c r="F380" s="128" t="str">
        <f aca="false">IF(E380="CONTADO", 4%, IF(E380="TARJETA / CHEQUE", 3%, IF(OR(E380="FINANCIADO", E380="MCP"), 2.5%, "")))</f>
        <v/>
      </c>
      <c r="G380" s="122" t="str">
        <f aca="false">IF(F380="", "", F380*D380)</f>
        <v/>
      </c>
      <c r="H380" s="131" t="b">
        <f aca="false">FALSE()</f>
        <v>0</v>
      </c>
      <c r="I380" s="131" t="b">
        <f aca="false">FALSE()</f>
        <v>0</v>
      </c>
      <c r="J380" s="130"/>
      <c r="K380" s="110"/>
      <c r="L380" s="83"/>
      <c r="M380" s="103"/>
      <c r="N380" s="103"/>
      <c r="O380" s="103"/>
      <c r="P380" s="103"/>
      <c r="Q380" s="103"/>
      <c r="R380" s="83"/>
      <c r="S380" s="103"/>
      <c r="T380" s="103"/>
      <c r="U380" s="103"/>
    </row>
    <row r="381" customFormat="false" ht="22.5" hidden="false" customHeight="true" outlineLevel="0" collapsed="false">
      <c r="A381" s="99"/>
      <c r="B381" s="99"/>
      <c r="C381" s="99"/>
      <c r="D381" s="121"/>
      <c r="E381" s="99"/>
      <c r="F381" s="124" t="str">
        <f aca="false">IF(E381="CONTADO", 4%, IF(E381="TARJETA / CHEQUE", 3%, IF(OR(E381="FINANCIADO", E381="MCP"), 2.5%, "")))</f>
        <v/>
      </c>
      <c r="G381" s="121" t="str">
        <f aca="false">IF(F381="", "", F381*D381)</f>
        <v/>
      </c>
      <c r="H381" s="132" t="b">
        <f aca="false">FALSE()</f>
        <v>0</v>
      </c>
      <c r="I381" s="132" t="b">
        <f aca="false">FALSE()</f>
        <v>0</v>
      </c>
      <c r="J381" s="126"/>
      <c r="K381" s="99"/>
      <c r="L381" s="83"/>
      <c r="M381" s="103"/>
      <c r="N381" s="103"/>
      <c r="O381" s="103"/>
      <c r="P381" s="103"/>
      <c r="Q381" s="103"/>
      <c r="R381" s="83"/>
      <c r="S381" s="103"/>
      <c r="T381" s="103"/>
      <c r="U381" s="103"/>
    </row>
    <row r="382" customFormat="false" ht="22.5" hidden="false" customHeight="true" outlineLevel="0" collapsed="false">
      <c r="A382" s="110"/>
      <c r="B382" s="110"/>
      <c r="C382" s="110"/>
      <c r="D382" s="122"/>
      <c r="E382" s="110"/>
      <c r="F382" s="128" t="str">
        <f aca="false">IF(E382="CONTADO", 4%, IF(E382="TARJETA / CHEQUE", 3%, IF(OR(E382="FINANCIADO", E382="MCP"), 2.5%, "")))</f>
        <v/>
      </c>
      <c r="G382" s="122" t="str">
        <f aca="false">IF(F382="", "", F382*D382)</f>
        <v/>
      </c>
      <c r="H382" s="131" t="b">
        <f aca="false">FALSE()</f>
        <v>0</v>
      </c>
      <c r="I382" s="131" t="b">
        <f aca="false">FALSE()</f>
        <v>0</v>
      </c>
      <c r="J382" s="130"/>
      <c r="K382" s="110"/>
      <c r="L382" s="83"/>
      <c r="M382" s="103"/>
      <c r="N382" s="103"/>
      <c r="O382" s="103"/>
      <c r="P382" s="103"/>
      <c r="Q382" s="103"/>
      <c r="R382" s="83"/>
      <c r="S382" s="103"/>
      <c r="T382" s="103"/>
      <c r="U382" s="103"/>
    </row>
    <row r="383" customFormat="false" ht="22.5" hidden="false" customHeight="true" outlineLevel="0" collapsed="false">
      <c r="A383" s="99"/>
      <c r="B383" s="99"/>
      <c r="C383" s="99"/>
      <c r="D383" s="121"/>
      <c r="E383" s="99"/>
      <c r="F383" s="124" t="str">
        <f aca="false">IF(E383="CONTADO", 4%, IF(E383="TARJETA / CHEQUE", 3%, IF(OR(E383="FINANCIADO", E383="MCP"), 2.5%, "")))</f>
        <v/>
      </c>
      <c r="G383" s="121" t="str">
        <f aca="false">IF(F383="", "", F383*D383)</f>
        <v/>
      </c>
      <c r="H383" s="132" t="b">
        <f aca="false">FALSE()</f>
        <v>0</v>
      </c>
      <c r="I383" s="132" t="b">
        <f aca="false">FALSE()</f>
        <v>0</v>
      </c>
      <c r="J383" s="126"/>
      <c r="K383" s="99"/>
      <c r="L383" s="83"/>
      <c r="M383" s="103"/>
      <c r="N383" s="103"/>
      <c r="O383" s="103"/>
      <c r="P383" s="103"/>
      <c r="Q383" s="103"/>
      <c r="R383" s="83"/>
      <c r="S383" s="103"/>
      <c r="T383" s="103"/>
      <c r="U383" s="103"/>
    </row>
    <row r="384" customFormat="false" ht="22.5" hidden="false" customHeight="true" outlineLevel="0" collapsed="false">
      <c r="A384" s="110"/>
      <c r="B384" s="110"/>
      <c r="C384" s="110"/>
      <c r="D384" s="122"/>
      <c r="E384" s="110"/>
      <c r="F384" s="128" t="str">
        <f aca="false">IF(E384="CONTADO", 4%, IF(E384="TARJETA / CHEQUE", 3%, IF(OR(E384="FINANCIADO", E384="MCP"), 2.5%, "")))</f>
        <v/>
      </c>
      <c r="G384" s="122" t="str">
        <f aca="false">IF(F384="", "", F384*D384)</f>
        <v/>
      </c>
      <c r="H384" s="131" t="b">
        <f aca="false">FALSE()</f>
        <v>0</v>
      </c>
      <c r="I384" s="131" t="b">
        <f aca="false">FALSE()</f>
        <v>0</v>
      </c>
      <c r="J384" s="130"/>
      <c r="K384" s="110"/>
      <c r="L384" s="83"/>
      <c r="M384" s="103"/>
      <c r="N384" s="103"/>
      <c r="O384" s="103"/>
      <c r="P384" s="103"/>
      <c r="Q384" s="103"/>
      <c r="R384" s="83"/>
      <c r="S384" s="103"/>
      <c r="T384" s="103"/>
      <c r="U384" s="103"/>
    </row>
    <row r="385" customFormat="false" ht="22.5" hidden="false" customHeight="true" outlineLevel="0" collapsed="false">
      <c r="A385" s="99"/>
      <c r="B385" s="99"/>
      <c r="C385" s="99"/>
      <c r="D385" s="121"/>
      <c r="E385" s="99"/>
      <c r="F385" s="124" t="str">
        <f aca="false">IF(E385="CONTADO", 4%, IF(E385="TARJETA / CHEQUE", 3%, IF(OR(E385="FINANCIADO", E385="MCP"), 2.5%, "")))</f>
        <v/>
      </c>
      <c r="G385" s="121" t="str">
        <f aca="false">IF(F385="", "", F385*D385)</f>
        <v/>
      </c>
      <c r="H385" s="132" t="b">
        <f aca="false">FALSE()</f>
        <v>0</v>
      </c>
      <c r="I385" s="132" t="b">
        <f aca="false">FALSE()</f>
        <v>0</v>
      </c>
      <c r="J385" s="126"/>
      <c r="K385" s="99"/>
      <c r="L385" s="83"/>
      <c r="M385" s="103"/>
      <c r="N385" s="103"/>
      <c r="O385" s="103"/>
      <c r="P385" s="103"/>
      <c r="Q385" s="103"/>
      <c r="R385" s="83"/>
      <c r="S385" s="103"/>
      <c r="T385" s="103"/>
      <c r="U385" s="103"/>
    </row>
    <row r="386" customFormat="false" ht="22.5" hidden="false" customHeight="true" outlineLevel="0" collapsed="false">
      <c r="A386" s="110"/>
      <c r="B386" s="110"/>
      <c r="C386" s="110"/>
      <c r="D386" s="122"/>
      <c r="E386" s="110"/>
      <c r="F386" s="128" t="str">
        <f aca="false">IF(E386="CONTADO", 4%, IF(E386="TARJETA / CHEQUE", 3%, IF(OR(E386="FINANCIADO", E386="MCP"), 2.5%, "")))</f>
        <v/>
      </c>
      <c r="G386" s="122" t="str">
        <f aca="false">IF(F386="", "", F386*D386)</f>
        <v/>
      </c>
      <c r="H386" s="131" t="b">
        <f aca="false">FALSE()</f>
        <v>0</v>
      </c>
      <c r="I386" s="131" t="b">
        <f aca="false">FALSE()</f>
        <v>0</v>
      </c>
      <c r="J386" s="130"/>
      <c r="K386" s="110"/>
      <c r="L386" s="83"/>
      <c r="M386" s="103"/>
      <c r="N386" s="103"/>
      <c r="O386" s="103"/>
      <c r="P386" s="103"/>
      <c r="Q386" s="103"/>
      <c r="R386" s="83"/>
      <c r="S386" s="103"/>
      <c r="T386" s="103"/>
      <c r="U386" s="103"/>
    </row>
    <row r="387" customFormat="false" ht="22.5" hidden="false" customHeight="true" outlineLevel="0" collapsed="false">
      <c r="A387" s="99"/>
      <c r="B387" s="99"/>
      <c r="C387" s="99"/>
      <c r="D387" s="121"/>
      <c r="E387" s="99"/>
      <c r="F387" s="124" t="str">
        <f aca="false">IF(E387="CONTADO", 4%, IF(E387="TARJETA / CHEQUE", 3%, IF(OR(E387="FINANCIADO", E387="MCP"), 2.5%, "")))</f>
        <v/>
      </c>
      <c r="G387" s="121" t="str">
        <f aca="false">IF(F387="", "", F387*D387)</f>
        <v/>
      </c>
      <c r="H387" s="132" t="b">
        <f aca="false">FALSE()</f>
        <v>0</v>
      </c>
      <c r="I387" s="132" t="b">
        <f aca="false">FALSE()</f>
        <v>0</v>
      </c>
      <c r="J387" s="126"/>
      <c r="K387" s="99"/>
      <c r="L387" s="83"/>
      <c r="M387" s="103"/>
      <c r="N387" s="103"/>
      <c r="O387" s="103"/>
      <c r="P387" s="103"/>
      <c r="Q387" s="103"/>
      <c r="R387" s="83"/>
      <c r="S387" s="103"/>
      <c r="T387" s="103"/>
      <c r="U387" s="103"/>
    </row>
    <row r="388" customFormat="false" ht="22.5" hidden="false" customHeight="true" outlineLevel="0" collapsed="false">
      <c r="A388" s="110"/>
      <c r="B388" s="110"/>
      <c r="C388" s="110"/>
      <c r="D388" s="122"/>
      <c r="E388" s="110"/>
      <c r="F388" s="128" t="str">
        <f aca="false">IF(E388="CONTADO", 4%, IF(E388="TARJETA / CHEQUE", 3%, IF(OR(E388="FINANCIADO", E388="MCP"), 2.5%, "")))</f>
        <v/>
      </c>
      <c r="G388" s="122" t="str">
        <f aca="false">IF(F388="", "", F388*D388)</f>
        <v/>
      </c>
      <c r="H388" s="131" t="b">
        <f aca="false">FALSE()</f>
        <v>0</v>
      </c>
      <c r="I388" s="131" t="b">
        <f aca="false">FALSE()</f>
        <v>0</v>
      </c>
      <c r="J388" s="130"/>
      <c r="K388" s="110"/>
      <c r="L388" s="83"/>
      <c r="M388" s="103"/>
      <c r="N388" s="103"/>
      <c r="O388" s="103"/>
      <c r="P388" s="103"/>
      <c r="Q388" s="103"/>
      <c r="R388" s="83"/>
      <c r="S388" s="103"/>
      <c r="T388" s="103"/>
      <c r="U388" s="103"/>
    </row>
    <row r="389" customFormat="false" ht="22.5" hidden="false" customHeight="true" outlineLevel="0" collapsed="false">
      <c r="A389" s="99"/>
      <c r="B389" s="99"/>
      <c r="C389" s="99"/>
      <c r="D389" s="121"/>
      <c r="E389" s="99"/>
      <c r="F389" s="124" t="str">
        <f aca="false">IF(E389="CONTADO", 4%, IF(E389="TARJETA / CHEQUE", 3%, IF(OR(E389="FINANCIADO", E389="MCP"), 2.5%, "")))</f>
        <v/>
      </c>
      <c r="G389" s="121" t="str">
        <f aca="false">IF(F389="", "", F389*D389)</f>
        <v/>
      </c>
      <c r="H389" s="132" t="b">
        <f aca="false">FALSE()</f>
        <v>0</v>
      </c>
      <c r="I389" s="132" t="b">
        <f aca="false">FALSE()</f>
        <v>0</v>
      </c>
      <c r="J389" s="126"/>
      <c r="K389" s="99"/>
      <c r="L389" s="83"/>
      <c r="M389" s="103"/>
      <c r="N389" s="103"/>
      <c r="O389" s="103"/>
      <c r="P389" s="103"/>
      <c r="Q389" s="103"/>
      <c r="R389" s="83"/>
      <c r="S389" s="103"/>
      <c r="T389" s="103"/>
      <c r="U389" s="103"/>
    </row>
    <row r="390" customFormat="false" ht="22.5" hidden="false" customHeight="true" outlineLevel="0" collapsed="false">
      <c r="A390" s="110"/>
      <c r="B390" s="110"/>
      <c r="C390" s="110"/>
      <c r="D390" s="122"/>
      <c r="E390" s="110"/>
      <c r="F390" s="128" t="str">
        <f aca="false">IF(E390="CONTADO", 4%, IF(E390="TARJETA / CHEQUE", 3%, IF(OR(E390="FINANCIADO", E390="MCP"), 2.5%, "")))</f>
        <v/>
      </c>
      <c r="G390" s="122" t="str">
        <f aca="false">IF(F390="", "", F390*D390)</f>
        <v/>
      </c>
      <c r="H390" s="131" t="b">
        <f aca="false">FALSE()</f>
        <v>0</v>
      </c>
      <c r="I390" s="131" t="b">
        <f aca="false">FALSE()</f>
        <v>0</v>
      </c>
      <c r="J390" s="130"/>
      <c r="K390" s="110"/>
      <c r="L390" s="83"/>
      <c r="M390" s="103"/>
      <c r="N390" s="103"/>
      <c r="O390" s="103"/>
      <c r="P390" s="103"/>
      <c r="Q390" s="103"/>
      <c r="R390" s="83"/>
      <c r="S390" s="103"/>
      <c r="T390" s="103"/>
      <c r="U390" s="103"/>
    </row>
    <row r="391" customFormat="false" ht="22.5" hidden="false" customHeight="true" outlineLevel="0" collapsed="false">
      <c r="A391" s="99"/>
      <c r="B391" s="99"/>
      <c r="C391" s="99"/>
      <c r="D391" s="121"/>
      <c r="E391" s="99"/>
      <c r="F391" s="124" t="str">
        <f aca="false">IF(E391="CONTADO", 4%, IF(E391="TARJETA / CHEQUE", 3%, IF(OR(E391="FINANCIADO", E391="MCP"), 2.5%, "")))</f>
        <v/>
      </c>
      <c r="G391" s="121" t="str">
        <f aca="false">IF(F391="", "", F391*D391)</f>
        <v/>
      </c>
      <c r="H391" s="132" t="b">
        <f aca="false">FALSE()</f>
        <v>0</v>
      </c>
      <c r="I391" s="132" t="b">
        <f aca="false">FALSE()</f>
        <v>0</v>
      </c>
      <c r="J391" s="126"/>
      <c r="K391" s="99"/>
      <c r="L391" s="83"/>
      <c r="M391" s="103"/>
      <c r="N391" s="103"/>
      <c r="O391" s="103"/>
      <c r="P391" s="103"/>
      <c r="Q391" s="103"/>
      <c r="R391" s="83"/>
      <c r="S391" s="103"/>
      <c r="T391" s="103"/>
      <c r="U391" s="103"/>
    </row>
    <row r="392" customFormat="false" ht="22.5" hidden="false" customHeight="true" outlineLevel="0" collapsed="false">
      <c r="A392" s="110"/>
      <c r="B392" s="110"/>
      <c r="C392" s="110"/>
      <c r="D392" s="122"/>
      <c r="E392" s="110"/>
      <c r="F392" s="128" t="str">
        <f aca="false">IF(E392="CONTADO", 4%, IF(E392="TARJETA / CHEQUE", 3%, IF(OR(E392="FINANCIADO", E392="MCP"), 2.5%, "")))</f>
        <v/>
      </c>
      <c r="G392" s="122" t="str">
        <f aca="false">IF(F392="", "", F392*D392)</f>
        <v/>
      </c>
      <c r="H392" s="131" t="b">
        <f aca="false">FALSE()</f>
        <v>0</v>
      </c>
      <c r="I392" s="131" t="b">
        <f aca="false">FALSE()</f>
        <v>0</v>
      </c>
      <c r="J392" s="130"/>
      <c r="K392" s="110"/>
      <c r="L392" s="83"/>
      <c r="M392" s="103"/>
      <c r="N392" s="103"/>
      <c r="O392" s="103"/>
      <c r="P392" s="103"/>
      <c r="Q392" s="103"/>
      <c r="R392" s="83"/>
      <c r="S392" s="103"/>
      <c r="T392" s="103"/>
      <c r="U392" s="103"/>
    </row>
    <row r="393" customFormat="false" ht="22.5" hidden="false" customHeight="true" outlineLevel="0" collapsed="false">
      <c r="A393" s="99"/>
      <c r="B393" s="99"/>
      <c r="C393" s="99"/>
      <c r="D393" s="121"/>
      <c r="E393" s="99"/>
      <c r="F393" s="124" t="str">
        <f aca="false">IF(E393="CONTADO", 4%, IF(E393="TARJETA / CHEQUE", 3%, IF(OR(E393="FINANCIADO", E393="MCP"), 2.5%, "")))</f>
        <v/>
      </c>
      <c r="G393" s="121" t="str">
        <f aca="false">IF(F393="", "", F393*D393)</f>
        <v/>
      </c>
      <c r="H393" s="132" t="b">
        <f aca="false">FALSE()</f>
        <v>0</v>
      </c>
      <c r="I393" s="132" t="b">
        <f aca="false">FALSE()</f>
        <v>0</v>
      </c>
      <c r="J393" s="126"/>
      <c r="K393" s="99"/>
      <c r="L393" s="83"/>
      <c r="M393" s="103"/>
      <c r="N393" s="103"/>
      <c r="O393" s="103"/>
      <c r="P393" s="103"/>
      <c r="Q393" s="103"/>
      <c r="R393" s="83"/>
      <c r="S393" s="103"/>
      <c r="T393" s="103"/>
      <c r="U393" s="103"/>
    </row>
    <row r="394" customFormat="false" ht="22.5" hidden="false" customHeight="true" outlineLevel="0" collapsed="false">
      <c r="A394" s="110"/>
      <c r="B394" s="110"/>
      <c r="C394" s="110"/>
      <c r="D394" s="122"/>
      <c r="E394" s="110"/>
      <c r="F394" s="128" t="str">
        <f aca="false">IF(E394="CONTADO", 4%, IF(E394="TARJETA / CHEQUE", 3%, IF(OR(E394="FINANCIADO", E394="MCP"), 2.5%, "")))</f>
        <v/>
      </c>
      <c r="G394" s="122" t="str">
        <f aca="false">IF(F394="", "", F394*D394)</f>
        <v/>
      </c>
      <c r="H394" s="131" t="b">
        <f aca="false">FALSE()</f>
        <v>0</v>
      </c>
      <c r="I394" s="131" t="b">
        <f aca="false">FALSE()</f>
        <v>0</v>
      </c>
      <c r="J394" s="130"/>
      <c r="K394" s="110"/>
      <c r="L394" s="83"/>
      <c r="M394" s="103"/>
      <c r="N394" s="103"/>
      <c r="O394" s="103"/>
      <c r="P394" s="103"/>
      <c r="Q394" s="103"/>
      <c r="R394" s="83"/>
      <c r="S394" s="103"/>
      <c r="T394" s="103"/>
      <c r="U394" s="103"/>
    </row>
    <row r="395" customFormat="false" ht="22.5" hidden="false" customHeight="true" outlineLevel="0" collapsed="false">
      <c r="A395" s="99"/>
      <c r="B395" s="99"/>
      <c r="C395" s="99"/>
      <c r="D395" s="121"/>
      <c r="E395" s="99"/>
      <c r="F395" s="124" t="str">
        <f aca="false">IF(E395="CONTADO", 4%, IF(E395="TARJETA / CHEQUE", 3%, IF(OR(E395="FINANCIADO", E395="MCP"), 2.5%, "")))</f>
        <v/>
      </c>
      <c r="G395" s="121" t="str">
        <f aca="false">IF(F395="", "", F395*D395)</f>
        <v/>
      </c>
      <c r="H395" s="132" t="b">
        <f aca="false">FALSE()</f>
        <v>0</v>
      </c>
      <c r="I395" s="132" t="b">
        <f aca="false">FALSE()</f>
        <v>0</v>
      </c>
      <c r="J395" s="126"/>
      <c r="K395" s="99"/>
      <c r="L395" s="83"/>
      <c r="M395" s="103"/>
      <c r="N395" s="103"/>
      <c r="O395" s="103"/>
      <c r="P395" s="103"/>
      <c r="Q395" s="103"/>
      <c r="R395" s="83"/>
      <c r="S395" s="103"/>
      <c r="T395" s="103"/>
      <c r="U395" s="103"/>
    </row>
    <row r="396" customFormat="false" ht="22.5" hidden="false" customHeight="true" outlineLevel="0" collapsed="false">
      <c r="A396" s="110"/>
      <c r="B396" s="110"/>
      <c r="C396" s="110"/>
      <c r="D396" s="122"/>
      <c r="E396" s="110"/>
      <c r="F396" s="128" t="str">
        <f aca="false">IF(E396="CONTADO", 4%, IF(E396="TARJETA / CHEQUE", 3%, IF(OR(E396="FINANCIADO", E396="MCP"), 2.5%, "")))</f>
        <v/>
      </c>
      <c r="G396" s="122" t="str">
        <f aca="false">IF(F396="", "", F396*D396)</f>
        <v/>
      </c>
      <c r="H396" s="131" t="b">
        <f aca="false">FALSE()</f>
        <v>0</v>
      </c>
      <c r="I396" s="131" t="b">
        <f aca="false">FALSE()</f>
        <v>0</v>
      </c>
      <c r="J396" s="130"/>
      <c r="K396" s="110"/>
      <c r="L396" s="83"/>
      <c r="M396" s="103"/>
      <c r="N396" s="103"/>
      <c r="O396" s="103"/>
      <c r="P396" s="103"/>
      <c r="Q396" s="103"/>
      <c r="R396" s="83"/>
      <c r="S396" s="103"/>
      <c r="T396" s="103"/>
      <c r="U396" s="103"/>
    </row>
    <row r="397" customFormat="false" ht="22.5" hidden="false" customHeight="true" outlineLevel="0" collapsed="false">
      <c r="A397" s="99"/>
      <c r="B397" s="99"/>
      <c r="C397" s="99"/>
      <c r="D397" s="121"/>
      <c r="E397" s="99"/>
      <c r="F397" s="124" t="str">
        <f aca="false">IF(E397="CONTADO", 4%, IF(E397="TARJETA / CHEQUE", 3%, IF(OR(E397="FINANCIADO", E397="MCP"), 2.5%, "")))</f>
        <v/>
      </c>
      <c r="G397" s="121" t="str">
        <f aca="false">IF(F397="", "", F397*D397)</f>
        <v/>
      </c>
      <c r="H397" s="132" t="b">
        <f aca="false">FALSE()</f>
        <v>0</v>
      </c>
      <c r="I397" s="132" t="b">
        <f aca="false">FALSE()</f>
        <v>0</v>
      </c>
      <c r="J397" s="126"/>
      <c r="K397" s="99"/>
      <c r="L397" s="83"/>
      <c r="M397" s="103"/>
      <c r="N397" s="103"/>
      <c r="O397" s="103"/>
      <c r="P397" s="103"/>
      <c r="Q397" s="103"/>
      <c r="R397" s="83"/>
      <c r="S397" s="103"/>
      <c r="T397" s="103"/>
      <c r="U397" s="103"/>
    </row>
    <row r="398" customFormat="false" ht="22.5" hidden="false" customHeight="true" outlineLevel="0" collapsed="false">
      <c r="A398" s="110"/>
      <c r="B398" s="110"/>
      <c r="C398" s="110"/>
      <c r="D398" s="122"/>
      <c r="E398" s="110"/>
      <c r="F398" s="128" t="str">
        <f aca="false">IF(E398="CONTADO", 4%, IF(E398="TARJETA / CHEQUE", 3%, IF(OR(E398="FINANCIADO", E398="MCP"), 2.5%, "")))</f>
        <v/>
      </c>
      <c r="G398" s="122" t="str">
        <f aca="false">IF(F398="", "", F398*D398)</f>
        <v/>
      </c>
      <c r="H398" s="131" t="b">
        <f aca="false">FALSE()</f>
        <v>0</v>
      </c>
      <c r="I398" s="131" t="b">
        <f aca="false">FALSE()</f>
        <v>0</v>
      </c>
      <c r="J398" s="130"/>
      <c r="K398" s="110"/>
      <c r="L398" s="83"/>
      <c r="M398" s="103"/>
      <c r="N398" s="103"/>
      <c r="O398" s="103"/>
      <c r="P398" s="103"/>
      <c r="Q398" s="103"/>
      <c r="R398" s="83"/>
      <c r="S398" s="103"/>
      <c r="T398" s="103"/>
      <c r="U398" s="103"/>
    </row>
    <row r="399" customFormat="false" ht="22.5" hidden="false" customHeight="true" outlineLevel="0" collapsed="false">
      <c r="A399" s="99"/>
      <c r="B399" s="99"/>
      <c r="C399" s="99"/>
      <c r="D399" s="121"/>
      <c r="E399" s="99"/>
      <c r="F399" s="124" t="str">
        <f aca="false">IF(E399="CONTADO", 4%, IF(E399="TARJETA / CHEQUE", 3%, IF(OR(E399="FINANCIADO", E399="MCP"), 2.5%, "")))</f>
        <v/>
      </c>
      <c r="G399" s="121" t="str">
        <f aca="false">IF(F399="", "", F399*D399)</f>
        <v/>
      </c>
      <c r="H399" s="132" t="b">
        <f aca="false">FALSE()</f>
        <v>0</v>
      </c>
      <c r="I399" s="132" t="b">
        <f aca="false">FALSE()</f>
        <v>0</v>
      </c>
      <c r="J399" s="126"/>
      <c r="K399" s="99"/>
      <c r="L399" s="83"/>
      <c r="M399" s="103"/>
      <c r="N399" s="103"/>
      <c r="O399" s="103"/>
      <c r="P399" s="103"/>
      <c r="Q399" s="103"/>
      <c r="R399" s="83"/>
      <c r="S399" s="103"/>
      <c r="T399" s="103"/>
      <c r="U399" s="103"/>
    </row>
    <row r="400" customFormat="false" ht="22.5" hidden="false" customHeight="true" outlineLevel="0" collapsed="false">
      <c r="A400" s="110"/>
      <c r="B400" s="110"/>
      <c r="C400" s="110"/>
      <c r="D400" s="122"/>
      <c r="E400" s="110"/>
      <c r="F400" s="128" t="str">
        <f aca="false">IF(E400="CONTADO", 4%, IF(E400="TARJETA / CHEQUE", 3%, IF(OR(E400="FINANCIADO", E400="MCP"), 2.5%, "")))</f>
        <v/>
      </c>
      <c r="G400" s="122" t="str">
        <f aca="false">IF(F400="", "", F400*D400)</f>
        <v/>
      </c>
      <c r="H400" s="131" t="b">
        <f aca="false">FALSE()</f>
        <v>0</v>
      </c>
      <c r="I400" s="131" t="b">
        <f aca="false">FALSE()</f>
        <v>0</v>
      </c>
      <c r="J400" s="130"/>
      <c r="K400" s="110"/>
      <c r="L400" s="83"/>
      <c r="M400" s="103"/>
      <c r="N400" s="103"/>
      <c r="O400" s="103"/>
      <c r="P400" s="103"/>
      <c r="Q400" s="103"/>
      <c r="R400" s="83"/>
      <c r="S400" s="103"/>
      <c r="T400" s="103"/>
      <c r="U400" s="103"/>
    </row>
    <row r="401" customFormat="false" ht="22.5" hidden="false" customHeight="true" outlineLevel="0" collapsed="false">
      <c r="A401" s="99"/>
      <c r="B401" s="99"/>
      <c r="C401" s="99"/>
      <c r="D401" s="121"/>
      <c r="E401" s="99"/>
      <c r="F401" s="124" t="str">
        <f aca="false">IF(E401="CONTADO", 4%, IF(E401="TARJETA / CHEQUE", 3%, IF(OR(E401="FINANCIADO", E401="MCP"), 2.5%, "")))</f>
        <v/>
      </c>
      <c r="G401" s="121" t="str">
        <f aca="false">IF(F401="", "", F401*D401)</f>
        <v/>
      </c>
      <c r="H401" s="132" t="b">
        <f aca="false">FALSE()</f>
        <v>0</v>
      </c>
      <c r="I401" s="132" t="b">
        <f aca="false">FALSE()</f>
        <v>0</v>
      </c>
      <c r="J401" s="126"/>
      <c r="K401" s="99"/>
      <c r="L401" s="83"/>
      <c r="M401" s="103"/>
      <c r="N401" s="103"/>
      <c r="O401" s="103"/>
      <c r="P401" s="103"/>
      <c r="Q401" s="103"/>
      <c r="R401" s="83"/>
      <c r="S401" s="103"/>
      <c r="T401" s="103"/>
      <c r="U401" s="103"/>
    </row>
    <row r="402" customFormat="false" ht="22.5" hidden="false" customHeight="true" outlineLevel="0" collapsed="false">
      <c r="A402" s="110"/>
      <c r="B402" s="110"/>
      <c r="C402" s="110"/>
      <c r="D402" s="122"/>
      <c r="E402" s="110"/>
      <c r="F402" s="128" t="str">
        <f aca="false">IF(E402="CONTADO", 4%, IF(E402="TARJETA / CHEQUE", 3%, IF(OR(E402="FINANCIADO", E402="MCP"), 2.5%, "")))</f>
        <v/>
      </c>
      <c r="G402" s="122" t="str">
        <f aca="false">IF(F402="", "", F402*D402)</f>
        <v/>
      </c>
      <c r="H402" s="131" t="b">
        <f aca="false">FALSE()</f>
        <v>0</v>
      </c>
      <c r="I402" s="131" t="b">
        <f aca="false">FALSE()</f>
        <v>0</v>
      </c>
      <c r="J402" s="130"/>
      <c r="K402" s="110"/>
      <c r="L402" s="83"/>
      <c r="M402" s="103"/>
      <c r="N402" s="103"/>
      <c r="O402" s="103"/>
      <c r="P402" s="103"/>
      <c r="Q402" s="103"/>
      <c r="R402" s="83"/>
      <c r="S402" s="103"/>
      <c r="T402" s="103"/>
      <c r="U402" s="103"/>
    </row>
    <row r="403" customFormat="false" ht="22.5" hidden="false" customHeight="true" outlineLevel="0" collapsed="false">
      <c r="A403" s="99"/>
      <c r="B403" s="99"/>
      <c r="C403" s="99"/>
      <c r="D403" s="121"/>
      <c r="E403" s="99"/>
      <c r="F403" s="124" t="str">
        <f aca="false">IF(E403="CONTADO", 4%, IF(E403="TARJETA / CHEQUE", 3%, IF(OR(E403="FINANCIADO", E403="MCP"), 2.5%, "")))</f>
        <v/>
      </c>
      <c r="G403" s="121" t="str">
        <f aca="false">IF(F403="", "", F403*D403)</f>
        <v/>
      </c>
      <c r="H403" s="132" t="b">
        <f aca="false">FALSE()</f>
        <v>0</v>
      </c>
      <c r="I403" s="132" t="b">
        <f aca="false">FALSE()</f>
        <v>0</v>
      </c>
      <c r="J403" s="126"/>
      <c r="K403" s="99"/>
      <c r="L403" s="83"/>
      <c r="M403" s="103"/>
      <c r="N403" s="103"/>
      <c r="O403" s="103"/>
      <c r="P403" s="103"/>
      <c r="Q403" s="103"/>
      <c r="R403" s="83"/>
      <c r="S403" s="103"/>
      <c r="T403" s="103"/>
      <c r="U403" s="103"/>
    </row>
    <row r="404" customFormat="false" ht="22.5" hidden="false" customHeight="true" outlineLevel="0" collapsed="false">
      <c r="A404" s="110"/>
      <c r="B404" s="110"/>
      <c r="C404" s="110"/>
      <c r="D404" s="122"/>
      <c r="E404" s="110"/>
      <c r="F404" s="128" t="str">
        <f aca="false">IF(E404="CONTADO", 4%, IF(E404="TARJETA / CHEQUE", 3%, IF(OR(E404="FINANCIADO", E404="MCP"), 2.5%, "")))</f>
        <v/>
      </c>
      <c r="G404" s="122" t="str">
        <f aca="false">IF(F404="", "", F404*D404)</f>
        <v/>
      </c>
      <c r="H404" s="131" t="b">
        <f aca="false">FALSE()</f>
        <v>0</v>
      </c>
      <c r="I404" s="131" t="b">
        <f aca="false">FALSE()</f>
        <v>0</v>
      </c>
      <c r="J404" s="130"/>
      <c r="K404" s="110"/>
      <c r="L404" s="83"/>
      <c r="M404" s="103"/>
      <c r="N404" s="103"/>
      <c r="O404" s="103"/>
      <c r="P404" s="103"/>
      <c r="Q404" s="103"/>
      <c r="R404" s="83"/>
      <c r="S404" s="103"/>
      <c r="T404" s="103"/>
      <c r="U404" s="103"/>
    </row>
    <row r="405" customFormat="false" ht="22.5" hidden="false" customHeight="true" outlineLevel="0" collapsed="false">
      <c r="A405" s="99"/>
      <c r="B405" s="99"/>
      <c r="C405" s="99"/>
      <c r="D405" s="121"/>
      <c r="E405" s="99"/>
      <c r="F405" s="124" t="str">
        <f aca="false">IF(E405="CONTADO", 4%, IF(E405="TARJETA / CHEQUE", 3%, IF(OR(E405="FINANCIADO", E405="MCP"), 2.5%, "")))</f>
        <v/>
      </c>
      <c r="G405" s="121" t="str">
        <f aca="false">IF(F405="", "", F405*D405)</f>
        <v/>
      </c>
      <c r="H405" s="132" t="b">
        <f aca="false">FALSE()</f>
        <v>0</v>
      </c>
      <c r="I405" s="132" t="b">
        <f aca="false">FALSE()</f>
        <v>0</v>
      </c>
      <c r="J405" s="126"/>
      <c r="K405" s="99"/>
      <c r="L405" s="83"/>
      <c r="M405" s="103"/>
      <c r="N405" s="103"/>
      <c r="O405" s="103"/>
      <c r="P405" s="103"/>
      <c r="Q405" s="103"/>
      <c r="R405" s="83"/>
      <c r="S405" s="103"/>
      <c r="T405" s="103"/>
      <c r="U405" s="103"/>
    </row>
    <row r="406" customFormat="false" ht="22.5" hidden="false" customHeight="true" outlineLevel="0" collapsed="false">
      <c r="A406" s="110"/>
      <c r="B406" s="110"/>
      <c r="C406" s="110"/>
      <c r="D406" s="122"/>
      <c r="E406" s="110"/>
      <c r="F406" s="128" t="str">
        <f aca="false">IF(E406="CONTADO", 4%, IF(E406="TARJETA / CHEQUE", 3%, IF(OR(E406="FINANCIADO", E406="MCP"), 2.5%, "")))</f>
        <v/>
      </c>
      <c r="G406" s="122" t="str">
        <f aca="false">IF(F406="", "", F406*D406)</f>
        <v/>
      </c>
      <c r="H406" s="131" t="b">
        <f aca="false">FALSE()</f>
        <v>0</v>
      </c>
      <c r="I406" s="131" t="b">
        <f aca="false">FALSE()</f>
        <v>0</v>
      </c>
      <c r="J406" s="130"/>
      <c r="K406" s="110"/>
      <c r="L406" s="83"/>
      <c r="M406" s="103"/>
      <c r="N406" s="103"/>
      <c r="O406" s="103"/>
      <c r="P406" s="103"/>
      <c r="Q406" s="103"/>
      <c r="R406" s="83"/>
      <c r="S406" s="103"/>
      <c r="T406" s="103"/>
      <c r="U406" s="103"/>
    </row>
    <row r="407" customFormat="false" ht="22.5" hidden="false" customHeight="true" outlineLevel="0" collapsed="false">
      <c r="A407" s="99"/>
      <c r="B407" s="99"/>
      <c r="C407" s="99"/>
      <c r="D407" s="121"/>
      <c r="E407" s="99"/>
      <c r="F407" s="124" t="str">
        <f aca="false">IF(E407="CONTADO", 4%, IF(E407="TARJETA / CHEQUE", 3%, IF(OR(E407="FINANCIADO", E407="MCP"), 2.5%, "")))</f>
        <v/>
      </c>
      <c r="G407" s="121" t="str">
        <f aca="false">IF(F407="", "", F407*D407)</f>
        <v/>
      </c>
      <c r="H407" s="132" t="b">
        <f aca="false">FALSE()</f>
        <v>0</v>
      </c>
      <c r="I407" s="132" t="b">
        <f aca="false">FALSE()</f>
        <v>0</v>
      </c>
      <c r="J407" s="126"/>
      <c r="K407" s="99"/>
      <c r="L407" s="83"/>
      <c r="M407" s="103"/>
      <c r="N407" s="103"/>
      <c r="O407" s="103"/>
      <c r="P407" s="103"/>
      <c r="Q407" s="103"/>
      <c r="R407" s="83"/>
      <c r="S407" s="103"/>
      <c r="T407" s="103"/>
      <c r="U407" s="103"/>
    </row>
    <row r="408" customFormat="false" ht="22.5" hidden="false" customHeight="true" outlineLevel="0" collapsed="false">
      <c r="A408" s="110"/>
      <c r="B408" s="110"/>
      <c r="C408" s="110"/>
      <c r="D408" s="122"/>
      <c r="E408" s="110"/>
      <c r="F408" s="128" t="str">
        <f aca="false">IF(E408="CONTADO", 4%, IF(E408="TARJETA / CHEQUE", 3%, IF(OR(E408="FINANCIADO", E408="MCP"), 2.5%, "")))</f>
        <v/>
      </c>
      <c r="G408" s="122" t="str">
        <f aca="false">IF(F408="", "", F408*D408)</f>
        <v/>
      </c>
      <c r="H408" s="131" t="b">
        <f aca="false">FALSE()</f>
        <v>0</v>
      </c>
      <c r="I408" s="131" t="b">
        <f aca="false">FALSE()</f>
        <v>0</v>
      </c>
      <c r="J408" s="130"/>
      <c r="K408" s="110"/>
      <c r="L408" s="83"/>
      <c r="M408" s="103"/>
      <c r="N408" s="103"/>
      <c r="O408" s="103"/>
      <c r="P408" s="103"/>
      <c r="Q408" s="103"/>
      <c r="R408" s="83"/>
      <c r="S408" s="103"/>
      <c r="T408" s="103"/>
      <c r="U408" s="103"/>
    </row>
    <row r="409" customFormat="false" ht="22.5" hidden="false" customHeight="true" outlineLevel="0" collapsed="false">
      <c r="A409" s="99"/>
      <c r="B409" s="99"/>
      <c r="C409" s="99"/>
      <c r="D409" s="121"/>
      <c r="E409" s="99"/>
      <c r="F409" s="124" t="str">
        <f aca="false">IF(E409="CONTADO", 4%, IF(E409="TARJETA / CHEQUE", 3%, IF(OR(E409="FINANCIADO", E409="MCP"), 2.5%, "")))</f>
        <v/>
      </c>
      <c r="G409" s="121" t="str">
        <f aca="false">IF(F409="", "", F409*D409)</f>
        <v/>
      </c>
      <c r="H409" s="132" t="b">
        <f aca="false">FALSE()</f>
        <v>0</v>
      </c>
      <c r="I409" s="132" t="b">
        <f aca="false">FALSE()</f>
        <v>0</v>
      </c>
      <c r="J409" s="126"/>
      <c r="K409" s="99"/>
      <c r="L409" s="83"/>
      <c r="M409" s="103"/>
      <c r="N409" s="103"/>
      <c r="O409" s="103"/>
      <c r="P409" s="103"/>
      <c r="Q409" s="103"/>
      <c r="R409" s="83"/>
      <c r="S409" s="103"/>
      <c r="T409" s="103"/>
      <c r="U409" s="103"/>
    </row>
    <row r="410" customFormat="false" ht="22.5" hidden="false" customHeight="true" outlineLevel="0" collapsed="false">
      <c r="A410" s="110"/>
      <c r="B410" s="110"/>
      <c r="C410" s="110"/>
      <c r="D410" s="122"/>
      <c r="E410" s="110"/>
      <c r="F410" s="128" t="str">
        <f aca="false">IF(E410="CONTADO", 4%, IF(E410="TARJETA / CHEQUE", 3%, IF(OR(E410="FINANCIADO", E410="MCP"), 2.5%, "")))</f>
        <v/>
      </c>
      <c r="G410" s="122" t="str">
        <f aca="false">IF(F410="", "", F410*D410)</f>
        <v/>
      </c>
      <c r="H410" s="131" t="b">
        <f aca="false">FALSE()</f>
        <v>0</v>
      </c>
      <c r="I410" s="131" t="b">
        <f aca="false">FALSE()</f>
        <v>0</v>
      </c>
      <c r="J410" s="130"/>
      <c r="K410" s="110"/>
      <c r="L410" s="83"/>
      <c r="M410" s="103"/>
      <c r="N410" s="103"/>
      <c r="O410" s="103"/>
      <c r="P410" s="103"/>
      <c r="Q410" s="103"/>
      <c r="R410" s="83"/>
      <c r="S410" s="103"/>
      <c r="T410" s="103"/>
      <c r="U410" s="103"/>
    </row>
    <row r="411" customFormat="false" ht="22.5" hidden="false" customHeight="true" outlineLevel="0" collapsed="false">
      <c r="A411" s="99"/>
      <c r="B411" s="99"/>
      <c r="C411" s="99"/>
      <c r="D411" s="121"/>
      <c r="E411" s="99"/>
      <c r="F411" s="124" t="str">
        <f aca="false">IF(E411="CONTADO", 4%, IF(E411="TARJETA / CHEQUE", 3%, IF(OR(E411="FINANCIADO", E411="MCP"), 2.5%, "")))</f>
        <v/>
      </c>
      <c r="G411" s="121" t="str">
        <f aca="false">IF(F411="", "", F411*D411)</f>
        <v/>
      </c>
      <c r="H411" s="132" t="b">
        <f aca="false">FALSE()</f>
        <v>0</v>
      </c>
      <c r="I411" s="132" t="b">
        <f aca="false">FALSE()</f>
        <v>0</v>
      </c>
      <c r="J411" s="126"/>
      <c r="K411" s="99"/>
      <c r="L411" s="83"/>
      <c r="M411" s="103"/>
      <c r="N411" s="103"/>
      <c r="O411" s="103"/>
      <c r="P411" s="103"/>
      <c r="Q411" s="103"/>
      <c r="R411" s="83"/>
      <c r="S411" s="103"/>
      <c r="T411" s="103"/>
      <c r="U411" s="103"/>
    </row>
    <row r="412" customFormat="false" ht="22.5" hidden="false" customHeight="true" outlineLevel="0" collapsed="false">
      <c r="A412" s="110"/>
      <c r="B412" s="110"/>
      <c r="C412" s="110"/>
      <c r="D412" s="122"/>
      <c r="E412" s="110"/>
      <c r="F412" s="128" t="str">
        <f aca="false">IF(E412="CONTADO", 4%, IF(E412="TARJETA / CHEQUE", 3%, IF(OR(E412="FINANCIADO", E412="MCP"), 2.5%, "")))</f>
        <v/>
      </c>
      <c r="G412" s="122" t="str">
        <f aca="false">IF(F412="", "", F412*D412)</f>
        <v/>
      </c>
      <c r="H412" s="131" t="b">
        <f aca="false">FALSE()</f>
        <v>0</v>
      </c>
      <c r="I412" s="131" t="b">
        <f aca="false">FALSE()</f>
        <v>0</v>
      </c>
      <c r="J412" s="130"/>
      <c r="K412" s="110"/>
      <c r="L412" s="83"/>
      <c r="M412" s="103"/>
      <c r="N412" s="103"/>
      <c r="O412" s="103"/>
      <c r="P412" s="103"/>
      <c r="Q412" s="103"/>
      <c r="R412" s="83"/>
      <c r="S412" s="103"/>
      <c r="T412" s="103"/>
      <c r="U412" s="103"/>
    </row>
    <row r="413" customFormat="false" ht="22.5" hidden="false" customHeight="true" outlineLevel="0" collapsed="false">
      <c r="A413" s="99"/>
      <c r="B413" s="99"/>
      <c r="C413" s="99"/>
      <c r="D413" s="121"/>
      <c r="E413" s="99"/>
      <c r="F413" s="124" t="str">
        <f aca="false">IF(E413="CONTADO", 4%, IF(E413="TARJETA / CHEQUE", 3%, IF(OR(E413="FINANCIADO", E413="MCP"), 2.5%, "")))</f>
        <v/>
      </c>
      <c r="G413" s="121" t="str">
        <f aca="false">IF(F413="", "", F413*D413)</f>
        <v/>
      </c>
      <c r="H413" s="132" t="b">
        <f aca="false">FALSE()</f>
        <v>0</v>
      </c>
      <c r="I413" s="132" t="b">
        <f aca="false">FALSE()</f>
        <v>0</v>
      </c>
      <c r="J413" s="126"/>
      <c r="K413" s="99"/>
      <c r="L413" s="83"/>
      <c r="M413" s="103"/>
      <c r="N413" s="103"/>
      <c r="O413" s="103"/>
      <c r="P413" s="103"/>
      <c r="Q413" s="103"/>
      <c r="R413" s="83"/>
      <c r="S413" s="103"/>
      <c r="T413" s="103"/>
      <c r="U413" s="103"/>
    </row>
    <row r="414" customFormat="false" ht="22.5" hidden="false" customHeight="true" outlineLevel="0" collapsed="false">
      <c r="A414" s="110"/>
      <c r="B414" s="110"/>
      <c r="C414" s="110"/>
      <c r="D414" s="122"/>
      <c r="E414" s="110"/>
      <c r="F414" s="128" t="str">
        <f aca="false">IF(E414="CONTADO", 4%, IF(E414="TARJETA / CHEQUE", 3%, IF(OR(E414="FINANCIADO", E414="MCP"), 2.5%, "")))</f>
        <v/>
      </c>
      <c r="G414" s="122" t="str">
        <f aca="false">IF(F414="", "", F414*D414)</f>
        <v/>
      </c>
      <c r="H414" s="131" t="b">
        <f aca="false">FALSE()</f>
        <v>0</v>
      </c>
      <c r="I414" s="131" t="b">
        <f aca="false">FALSE()</f>
        <v>0</v>
      </c>
      <c r="J414" s="130"/>
      <c r="K414" s="110"/>
      <c r="L414" s="83"/>
      <c r="M414" s="103"/>
      <c r="N414" s="103"/>
      <c r="O414" s="103"/>
      <c r="P414" s="103"/>
      <c r="Q414" s="103"/>
      <c r="R414" s="83"/>
      <c r="S414" s="103"/>
      <c r="T414" s="103"/>
      <c r="U414" s="103"/>
    </row>
    <row r="415" customFormat="false" ht="22.5" hidden="false" customHeight="true" outlineLevel="0" collapsed="false">
      <c r="A415" s="99"/>
      <c r="B415" s="99"/>
      <c r="C415" s="99"/>
      <c r="D415" s="121"/>
      <c r="E415" s="99"/>
      <c r="F415" s="124" t="str">
        <f aca="false">IF(E415="CONTADO", 4%, IF(E415="TARJETA / CHEQUE", 3%, IF(OR(E415="FINANCIADO", E415="MCP"), 2.5%, "")))</f>
        <v/>
      </c>
      <c r="G415" s="121" t="str">
        <f aca="false">IF(F415="", "", F415*D415)</f>
        <v/>
      </c>
      <c r="H415" s="132" t="b">
        <f aca="false">FALSE()</f>
        <v>0</v>
      </c>
      <c r="I415" s="132" t="b">
        <f aca="false">FALSE()</f>
        <v>0</v>
      </c>
      <c r="J415" s="126"/>
      <c r="K415" s="99"/>
      <c r="L415" s="83"/>
      <c r="M415" s="103"/>
      <c r="N415" s="103"/>
      <c r="O415" s="103"/>
      <c r="P415" s="103"/>
      <c r="Q415" s="103"/>
      <c r="R415" s="83"/>
      <c r="S415" s="103"/>
      <c r="T415" s="103"/>
      <c r="U415" s="103"/>
    </row>
    <row r="416" customFormat="false" ht="22.5" hidden="false" customHeight="true" outlineLevel="0" collapsed="false">
      <c r="A416" s="110"/>
      <c r="B416" s="110"/>
      <c r="C416" s="110"/>
      <c r="D416" s="122"/>
      <c r="E416" s="110"/>
      <c r="F416" s="128" t="str">
        <f aca="false">IF(E416="CONTADO", 4%, IF(E416="TARJETA / CHEQUE", 3%, IF(OR(E416="FINANCIADO", E416="MCP"), 2.5%, "")))</f>
        <v/>
      </c>
      <c r="G416" s="122" t="str">
        <f aca="false">IF(F416="", "", F416*D416)</f>
        <v/>
      </c>
      <c r="H416" s="131" t="b">
        <f aca="false">FALSE()</f>
        <v>0</v>
      </c>
      <c r="I416" s="131" t="b">
        <f aca="false">FALSE()</f>
        <v>0</v>
      </c>
      <c r="J416" s="130"/>
      <c r="K416" s="110"/>
      <c r="L416" s="83"/>
      <c r="M416" s="103"/>
      <c r="N416" s="103"/>
      <c r="O416" s="103"/>
      <c r="P416" s="103"/>
      <c r="Q416" s="103"/>
      <c r="R416" s="83"/>
      <c r="S416" s="103"/>
      <c r="T416" s="103"/>
      <c r="U416" s="103"/>
    </row>
    <row r="417" customFormat="false" ht="22.5" hidden="false" customHeight="true" outlineLevel="0" collapsed="false">
      <c r="A417" s="99"/>
      <c r="B417" s="99"/>
      <c r="C417" s="99"/>
      <c r="D417" s="121"/>
      <c r="E417" s="99"/>
      <c r="F417" s="124" t="str">
        <f aca="false">IF(E417="CONTADO", 4%, IF(E417="TARJETA / CHEQUE", 3%, IF(OR(E417="FINANCIADO", E417="MCP"), 2.5%, "")))</f>
        <v/>
      </c>
      <c r="G417" s="121" t="str">
        <f aca="false">IF(F417="", "", F417*D417)</f>
        <v/>
      </c>
      <c r="H417" s="132" t="b">
        <f aca="false">FALSE()</f>
        <v>0</v>
      </c>
      <c r="I417" s="132" t="b">
        <f aca="false">FALSE()</f>
        <v>0</v>
      </c>
      <c r="J417" s="126"/>
      <c r="K417" s="99"/>
      <c r="L417" s="83"/>
      <c r="M417" s="103"/>
      <c r="N417" s="103"/>
      <c r="O417" s="103"/>
      <c r="P417" s="103"/>
      <c r="Q417" s="103"/>
      <c r="R417" s="83"/>
      <c r="S417" s="103"/>
      <c r="T417" s="103"/>
      <c r="U417" s="103"/>
    </row>
    <row r="418" customFormat="false" ht="22.5" hidden="false" customHeight="true" outlineLevel="0" collapsed="false">
      <c r="A418" s="110"/>
      <c r="B418" s="110"/>
      <c r="C418" s="110"/>
      <c r="D418" s="122"/>
      <c r="E418" s="110"/>
      <c r="F418" s="128" t="str">
        <f aca="false">IF(E418="CONTADO", 4%, IF(E418="TARJETA / CHEQUE", 3%, IF(OR(E418="FINANCIADO", E418="MCP"), 2.5%, "")))</f>
        <v/>
      </c>
      <c r="G418" s="122" t="str">
        <f aca="false">IF(F418="", "", F418*D418)</f>
        <v/>
      </c>
      <c r="H418" s="131" t="b">
        <f aca="false">FALSE()</f>
        <v>0</v>
      </c>
      <c r="I418" s="131" t="b">
        <f aca="false">FALSE()</f>
        <v>0</v>
      </c>
      <c r="J418" s="130"/>
      <c r="K418" s="110"/>
      <c r="L418" s="83"/>
      <c r="M418" s="103"/>
      <c r="N418" s="103"/>
      <c r="O418" s="103"/>
      <c r="P418" s="103"/>
      <c r="Q418" s="103"/>
      <c r="R418" s="83"/>
      <c r="S418" s="103"/>
      <c r="T418" s="103"/>
      <c r="U418" s="103"/>
    </row>
    <row r="419" customFormat="false" ht="22.5" hidden="false" customHeight="true" outlineLevel="0" collapsed="false">
      <c r="A419" s="99"/>
      <c r="B419" s="99"/>
      <c r="C419" s="99"/>
      <c r="D419" s="121"/>
      <c r="E419" s="99"/>
      <c r="F419" s="124" t="str">
        <f aca="false">IF(E419="CONTADO", 4%, IF(E419="TARJETA / CHEQUE", 3%, IF(OR(E419="FINANCIADO", E419="MCP"), 2.5%, "")))</f>
        <v/>
      </c>
      <c r="G419" s="121" t="str">
        <f aca="false">IF(F419="", "", F419*D419)</f>
        <v/>
      </c>
      <c r="H419" s="132" t="b">
        <f aca="false">FALSE()</f>
        <v>0</v>
      </c>
      <c r="I419" s="132" t="b">
        <f aca="false">FALSE()</f>
        <v>0</v>
      </c>
      <c r="J419" s="126"/>
      <c r="K419" s="99"/>
      <c r="L419" s="83"/>
      <c r="M419" s="103"/>
      <c r="N419" s="103"/>
      <c r="O419" s="103"/>
      <c r="P419" s="103"/>
      <c r="Q419" s="103"/>
      <c r="R419" s="83"/>
      <c r="S419" s="103"/>
      <c r="T419" s="103"/>
      <c r="U419" s="103"/>
    </row>
    <row r="420" customFormat="false" ht="22.5" hidden="false" customHeight="true" outlineLevel="0" collapsed="false">
      <c r="A420" s="110"/>
      <c r="B420" s="110"/>
      <c r="C420" s="110"/>
      <c r="D420" s="122"/>
      <c r="E420" s="110"/>
      <c r="F420" s="128" t="str">
        <f aca="false">IF(E420="CONTADO", 4%, IF(E420="TARJETA / CHEQUE", 3%, IF(OR(E420="FINANCIADO", E420="MCP"), 2.5%, "")))</f>
        <v/>
      </c>
      <c r="G420" s="122" t="str">
        <f aca="false">IF(F420="", "", F420*D420)</f>
        <v/>
      </c>
      <c r="H420" s="131" t="b">
        <f aca="false">FALSE()</f>
        <v>0</v>
      </c>
      <c r="I420" s="131" t="b">
        <f aca="false">FALSE()</f>
        <v>0</v>
      </c>
      <c r="J420" s="130"/>
      <c r="K420" s="110"/>
      <c r="L420" s="83"/>
      <c r="M420" s="103"/>
      <c r="N420" s="103"/>
      <c r="O420" s="103"/>
      <c r="P420" s="103"/>
      <c r="Q420" s="103"/>
      <c r="R420" s="83"/>
      <c r="S420" s="103"/>
      <c r="T420" s="103"/>
      <c r="U420" s="103"/>
    </row>
    <row r="421" customFormat="false" ht="22.5" hidden="false" customHeight="true" outlineLevel="0" collapsed="false">
      <c r="A421" s="99"/>
      <c r="B421" s="99"/>
      <c r="C421" s="99"/>
      <c r="D421" s="121"/>
      <c r="E421" s="99"/>
      <c r="F421" s="124" t="str">
        <f aca="false">IF(E421="CONTADO", 4%, IF(E421="TARJETA / CHEQUE", 3%, IF(OR(E421="FINANCIADO", E421="MCP"), 2.5%, "")))</f>
        <v/>
      </c>
      <c r="G421" s="121" t="str">
        <f aca="false">IF(F421="", "", F421*D421)</f>
        <v/>
      </c>
      <c r="H421" s="132" t="b">
        <f aca="false">FALSE()</f>
        <v>0</v>
      </c>
      <c r="I421" s="132" t="b">
        <f aca="false">FALSE()</f>
        <v>0</v>
      </c>
      <c r="J421" s="126"/>
      <c r="K421" s="99"/>
      <c r="L421" s="83"/>
      <c r="M421" s="103"/>
      <c r="N421" s="103"/>
      <c r="O421" s="103"/>
      <c r="P421" s="103"/>
      <c r="Q421" s="103"/>
      <c r="R421" s="83"/>
      <c r="S421" s="103"/>
      <c r="T421" s="103"/>
      <c r="U421" s="103"/>
    </row>
    <row r="422" customFormat="false" ht="22.5" hidden="false" customHeight="true" outlineLevel="0" collapsed="false">
      <c r="A422" s="110"/>
      <c r="B422" s="110"/>
      <c r="C422" s="110"/>
      <c r="D422" s="122"/>
      <c r="E422" s="110"/>
      <c r="F422" s="128" t="str">
        <f aca="false">IF(E422="CONTADO", 4%, IF(E422="TARJETA / CHEQUE", 3%, IF(OR(E422="FINANCIADO", E422="MCP"), 2.5%, "")))</f>
        <v/>
      </c>
      <c r="G422" s="122" t="str">
        <f aca="false">IF(F422="", "", F422*D422)</f>
        <v/>
      </c>
      <c r="H422" s="131" t="b">
        <f aca="false">FALSE()</f>
        <v>0</v>
      </c>
      <c r="I422" s="131" t="b">
        <f aca="false">FALSE()</f>
        <v>0</v>
      </c>
      <c r="J422" s="130"/>
      <c r="K422" s="110"/>
      <c r="L422" s="83"/>
      <c r="M422" s="103"/>
      <c r="N422" s="103"/>
      <c r="O422" s="103"/>
      <c r="P422" s="103"/>
      <c r="Q422" s="103"/>
      <c r="R422" s="83"/>
      <c r="S422" s="103"/>
      <c r="T422" s="103"/>
      <c r="U422" s="103"/>
    </row>
    <row r="423" customFormat="false" ht="22.5" hidden="false" customHeight="true" outlineLevel="0" collapsed="false">
      <c r="A423" s="99"/>
      <c r="B423" s="99"/>
      <c r="C423" s="99"/>
      <c r="D423" s="121"/>
      <c r="E423" s="99"/>
      <c r="F423" s="124" t="str">
        <f aca="false">IF(E423="CONTADO", 4%, IF(E423="TARJETA / CHEQUE", 3%, IF(OR(E423="FINANCIADO", E423="MCP"), 2.5%, "")))</f>
        <v/>
      </c>
      <c r="G423" s="121" t="str">
        <f aca="false">IF(F423="", "", F423*D423)</f>
        <v/>
      </c>
      <c r="H423" s="132" t="b">
        <f aca="false">FALSE()</f>
        <v>0</v>
      </c>
      <c r="I423" s="132" t="b">
        <f aca="false">FALSE()</f>
        <v>0</v>
      </c>
      <c r="J423" s="126"/>
      <c r="K423" s="99"/>
      <c r="L423" s="83"/>
      <c r="M423" s="103"/>
      <c r="N423" s="103"/>
      <c r="O423" s="103"/>
      <c r="P423" s="103"/>
      <c r="Q423" s="103"/>
      <c r="R423" s="83"/>
      <c r="S423" s="103"/>
      <c r="T423" s="103"/>
      <c r="U423" s="103"/>
    </row>
    <row r="424" customFormat="false" ht="22.5" hidden="false" customHeight="true" outlineLevel="0" collapsed="false">
      <c r="A424" s="110"/>
      <c r="B424" s="110"/>
      <c r="C424" s="110"/>
      <c r="D424" s="122"/>
      <c r="E424" s="110"/>
      <c r="F424" s="128" t="str">
        <f aca="false">IF(E424="CONTADO", 4%, IF(E424="TARJETA / CHEQUE", 3%, IF(OR(E424="FINANCIADO", E424="MCP"), 2.5%, "")))</f>
        <v/>
      </c>
      <c r="G424" s="122" t="str">
        <f aca="false">IF(F424="", "", F424*D424)</f>
        <v/>
      </c>
      <c r="H424" s="131" t="b">
        <f aca="false">FALSE()</f>
        <v>0</v>
      </c>
      <c r="I424" s="131" t="b">
        <f aca="false">FALSE()</f>
        <v>0</v>
      </c>
      <c r="J424" s="130"/>
      <c r="K424" s="110"/>
      <c r="L424" s="83"/>
      <c r="M424" s="103"/>
      <c r="N424" s="103"/>
      <c r="O424" s="103"/>
      <c r="P424" s="103"/>
      <c r="Q424" s="103"/>
      <c r="R424" s="83"/>
      <c r="S424" s="103"/>
      <c r="T424" s="103"/>
      <c r="U424" s="103"/>
    </row>
    <row r="425" customFormat="false" ht="22.5" hidden="false" customHeight="true" outlineLevel="0" collapsed="false">
      <c r="A425" s="99"/>
      <c r="B425" s="99"/>
      <c r="C425" s="99"/>
      <c r="D425" s="121"/>
      <c r="E425" s="99"/>
      <c r="F425" s="124" t="str">
        <f aca="false">IF(E425="CONTADO", 4%, IF(E425="TARJETA / CHEQUE", 3%, IF(OR(E425="FINANCIADO", E425="MCP"), 2.5%, "")))</f>
        <v/>
      </c>
      <c r="G425" s="121" t="str">
        <f aca="false">IF(F425="", "", F425*D425)</f>
        <v/>
      </c>
      <c r="H425" s="132" t="b">
        <f aca="false">FALSE()</f>
        <v>0</v>
      </c>
      <c r="I425" s="132" t="b">
        <f aca="false">FALSE()</f>
        <v>0</v>
      </c>
      <c r="J425" s="126"/>
      <c r="K425" s="99"/>
      <c r="L425" s="83"/>
      <c r="M425" s="103"/>
      <c r="N425" s="103"/>
      <c r="O425" s="103"/>
      <c r="P425" s="103"/>
      <c r="Q425" s="103"/>
      <c r="R425" s="83"/>
      <c r="S425" s="103"/>
      <c r="T425" s="103"/>
      <c r="U425" s="103"/>
    </row>
    <row r="426" customFormat="false" ht="22.5" hidden="false" customHeight="true" outlineLevel="0" collapsed="false">
      <c r="A426" s="110"/>
      <c r="B426" s="110"/>
      <c r="C426" s="110"/>
      <c r="D426" s="122"/>
      <c r="E426" s="110"/>
      <c r="F426" s="128" t="str">
        <f aca="false">IF(E426="CONTADO", 4%, IF(E426="TARJETA / CHEQUE", 3%, IF(OR(E426="FINANCIADO", E426="MCP"), 2.5%, "")))</f>
        <v/>
      </c>
      <c r="G426" s="122" t="str">
        <f aca="false">IF(F426="", "", F426*D426)</f>
        <v/>
      </c>
      <c r="H426" s="131" t="b">
        <f aca="false">FALSE()</f>
        <v>0</v>
      </c>
      <c r="I426" s="131" t="b">
        <f aca="false">FALSE()</f>
        <v>0</v>
      </c>
      <c r="J426" s="130"/>
      <c r="K426" s="110"/>
      <c r="L426" s="83"/>
      <c r="M426" s="103"/>
      <c r="N426" s="103"/>
      <c r="O426" s="103"/>
      <c r="P426" s="103"/>
      <c r="Q426" s="103"/>
      <c r="R426" s="83"/>
      <c r="S426" s="103"/>
      <c r="T426" s="103"/>
      <c r="U426" s="103"/>
    </row>
    <row r="427" customFormat="false" ht="22.5" hidden="false" customHeight="true" outlineLevel="0" collapsed="false">
      <c r="A427" s="99"/>
      <c r="B427" s="99"/>
      <c r="C427" s="99"/>
      <c r="D427" s="121"/>
      <c r="E427" s="99"/>
      <c r="F427" s="124" t="str">
        <f aca="false">IF(E427="CONTADO", 4%, IF(E427="TARJETA / CHEQUE", 3%, IF(OR(E427="FINANCIADO", E427="MCP"), 2.5%, "")))</f>
        <v/>
      </c>
      <c r="G427" s="121" t="str">
        <f aca="false">IF(F427="", "", F427*D427)</f>
        <v/>
      </c>
      <c r="H427" s="132" t="b">
        <f aca="false">FALSE()</f>
        <v>0</v>
      </c>
      <c r="I427" s="132" t="b">
        <f aca="false">FALSE()</f>
        <v>0</v>
      </c>
      <c r="J427" s="126"/>
      <c r="K427" s="99"/>
      <c r="L427" s="83"/>
      <c r="M427" s="103"/>
      <c r="N427" s="103"/>
      <c r="O427" s="103"/>
      <c r="P427" s="103"/>
      <c r="Q427" s="103"/>
      <c r="R427" s="83"/>
      <c r="S427" s="103"/>
      <c r="T427" s="103"/>
      <c r="U427" s="103"/>
    </row>
    <row r="428" customFormat="false" ht="22.5" hidden="false" customHeight="true" outlineLevel="0" collapsed="false">
      <c r="A428" s="110"/>
      <c r="B428" s="110"/>
      <c r="C428" s="110"/>
      <c r="D428" s="122"/>
      <c r="E428" s="110"/>
      <c r="F428" s="128" t="str">
        <f aca="false">IF(E428="CONTADO", 4%, IF(E428="TARJETA / CHEQUE", 3%, IF(OR(E428="FINANCIADO", E428="MCP"), 2.5%, "")))</f>
        <v/>
      </c>
      <c r="G428" s="122" t="str">
        <f aca="false">IF(F428="", "", F428*D428)</f>
        <v/>
      </c>
      <c r="H428" s="131" t="b">
        <f aca="false">FALSE()</f>
        <v>0</v>
      </c>
      <c r="I428" s="131" t="b">
        <f aca="false">FALSE()</f>
        <v>0</v>
      </c>
      <c r="J428" s="130"/>
      <c r="K428" s="110"/>
      <c r="L428" s="83"/>
      <c r="M428" s="103"/>
      <c r="N428" s="103"/>
      <c r="O428" s="103"/>
      <c r="P428" s="103"/>
      <c r="Q428" s="103"/>
      <c r="R428" s="83"/>
      <c r="S428" s="103"/>
      <c r="T428" s="103"/>
      <c r="U428" s="103"/>
    </row>
    <row r="429" customFormat="false" ht="22.5" hidden="false" customHeight="true" outlineLevel="0" collapsed="false">
      <c r="A429" s="99"/>
      <c r="B429" s="99"/>
      <c r="C429" s="99"/>
      <c r="D429" s="121"/>
      <c r="E429" s="99"/>
      <c r="F429" s="124" t="str">
        <f aca="false">IF(E429="CONTADO", 4%, IF(E429="TARJETA / CHEQUE", 3%, IF(OR(E429="FINANCIADO", E429="MCP"), 2.5%, "")))</f>
        <v/>
      </c>
      <c r="G429" s="121" t="str">
        <f aca="false">IF(F429="", "", F429*D429)</f>
        <v/>
      </c>
      <c r="H429" s="132" t="b">
        <f aca="false">FALSE()</f>
        <v>0</v>
      </c>
      <c r="I429" s="132" t="b">
        <f aca="false">FALSE()</f>
        <v>0</v>
      </c>
      <c r="J429" s="126"/>
      <c r="K429" s="99"/>
      <c r="L429" s="83"/>
      <c r="M429" s="103"/>
      <c r="N429" s="103"/>
      <c r="O429" s="103"/>
      <c r="P429" s="103"/>
      <c r="Q429" s="103"/>
      <c r="R429" s="83"/>
      <c r="S429" s="103"/>
      <c r="T429" s="103"/>
      <c r="U429" s="103"/>
    </row>
    <row r="430" customFormat="false" ht="22.5" hidden="false" customHeight="true" outlineLevel="0" collapsed="false">
      <c r="A430" s="110"/>
      <c r="B430" s="110"/>
      <c r="C430" s="110"/>
      <c r="D430" s="122"/>
      <c r="E430" s="110"/>
      <c r="F430" s="128" t="str">
        <f aca="false">IF(E430="CONTADO", 4%, IF(E430="TARJETA / CHEQUE", 3%, IF(OR(E430="FINANCIADO", E430="MCP"), 2.5%, "")))</f>
        <v/>
      </c>
      <c r="G430" s="122" t="str">
        <f aca="false">IF(F430="", "", F430*D430)</f>
        <v/>
      </c>
      <c r="H430" s="131" t="b">
        <f aca="false">FALSE()</f>
        <v>0</v>
      </c>
      <c r="I430" s="131" t="b">
        <f aca="false">FALSE()</f>
        <v>0</v>
      </c>
      <c r="J430" s="130"/>
      <c r="K430" s="110"/>
      <c r="L430" s="83"/>
      <c r="M430" s="103"/>
      <c r="N430" s="103"/>
      <c r="O430" s="103"/>
      <c r="P430" s="103"/>
      <c r="Q430" s="103"/>
      <c r="R430" s="83"/>
      <c r="S430" s="103"/>
      <c r="T430" s="103"/>
      <c r="U430" s="103"/>
    </row>
    <row r="431" customFormat="false" ht="22.5" hidden="false" customHeight="true" outlineLevel="0" collapsed="false">
      <c r="A431" s="99"/>
      <c r="B431" s="99"/>
      <c r="C431" s="99"/>
      <c r="D431" s="121"/>
      <c r="E431" s="99"/>
      <c r="F431" s="124" t="str">
        <f aca="false">IF(E431="CONTADO", 4%, IF(E431="TARJETA / CHEQUE", 3%, IF(OR(E431="FINANCIADO", E431="MCP"), 2.5%, "")))</f>
        <v/>
      </c>
      <c r="G431" s="121" t="str">
        <f aca="false">IF(F431="", "", F431*D431)</f>
        <v/>
      </c>
      <c r="H431" s="132" t="b">
        <f aca="false">FALSE()</f>
        <v>0</v>
      </c>
      <c r="I431" s="132" t="b">
        <f aca="false">FALSE()</f>
        <v>0</v>
      </c>
      <c r="J431" s="126"/>
      <c r="K431" s="99"/>
      <c r="L431" s="83"/>
      <c r="M431" s="103"/>
      <c r="N431" s="103"/>
      <c r="O431" s="103"/>
      <c r="P431" s="103"/>
      <c r="Q431" s="103"/>
      <c r="R431" s="83"/>
      <c r="S431" s="103"/>
      <c r="T431" s="103"/>
      <c r="U431" s="103"/>
    </row>
    <row r="432" customFormat="false" ht="22.5" hidden="false" customHeight="true" outlineLevel="0" collapsed="false">
      <c r="A432" s="110"/>
      <c r="B432" s="110"/>
      <c r="C432" s="110"/>
      <c r="D432" s="122"/>
      <c r="E432" s="110"/>
      <c r="F432" s="128" t="str">
        <f aca="false">IF(E432="CONTADO", 4%, IF(E432="TARJETA / CHEQUE", 3%, IF(OR(E432="FINANCIADO", E432="MCP"), 2.5%, "")))</f>
        <v/>
      </c>
      <c r="G432" s="122" t="str">
        <f aca="false">IF(F432="", "", F432*D432)</f>
        <v/>
      </c>
      <c r="H432" s="131" t="b">
        <f aca="false">FALSE()</f>
        <v>0</v>
      </c>
      <c r="I432" s="131" t="b">
        <f aca="false">FALSE()</f>
        <v>0</v>
      </c>
      <c r="J432" s="130"/>
      <c r="K432" s="110"/>
      <c r="L432" s="83"/>
      <c r="M432" s="103"/>
      <c r="N432" s="103"/>
      <c r="O432" s="103"/>
      <c r="P432" s="103"/>
      <c r="Q432" s="103"/>
      <c r="R432" s="83"/>
      <c r="S432" s="103"/>
      <c r="T432" s="103"/>
      <c r="U432" s="103"/>
    </row>
    <row r="433" customFormat="false" ht="22.5" hidden="false" customHeight="true" outlineLevel="0" collapsed="false">
      <c r="A433" s="99"/>
      <c r="B433" s="99"/>
      <c r="C433" s="99"/>
      <c r="D433" s="121"/>
      <c r="E433" s="99"/>
      <c r="F433" s="124" t="str">
        <f aca="false">IF(E433="CONTADO", 4%, IF(E433="TARJETA / CHEQUE", 3%, IF(OR(E433="FINANCIADO", E433="MCP"), 2.5%, "")))</f>
        <v/>
      </c>
      <c r="G433" s="121" t="str">
        <f aca="false">IF(F433="", "", F433*D433)</f>
        <v/>
      </c>
      <c r="H433" s="132" t="b">
        <f aca="false">FALSE()</f>
        <v>0</v>
      </c>
      <c r="I433" s="132" t="b">
        <f aca="false">FALSE()</f>
        <v>0</v>
      </c>
      <c r="J433" s="126"/>
      <c r="K433" s="99"/>
      <c r="L433" s="83"/>
      <c r="M433" s="103"/>
      <c r="N433" s="103"/>
      <c r="O433" s="103"/>
      <c r="P433" s="103"/>
      <c r="Q433" s="103"/>
      <c r="R433" s="83"/>
      <c r="S433" s="103"/>
      <c r="T433" s="103"/>
      <c r="U433" s="103"/>
    </row>
    <row r="434" customFormat="false" ht="22.5" hidden="false" customHeight="true" outlineLevel="0" collapsed="false">
      <c r="A434" s="110"/>
      <c r="B434" s="110"/>
      <c r="C434" s="110"/>
      <c r="D434" s="122"/>
      <c r="E434" s="110"/>
      <c r="F434" s="128" t="str">
        <f aca="false">IF(E434="CONTADO", 4%, IF(E434="TARJETA / CHEQUE", 3%, IF(OR(E434="FINANCIADO", E434="MCP"), 2.5%, "")))</f>
        <v/>
      </c>
      <c r="G434" s="122" t="str">
        <f aca="false">IF(F434="", "", F434*D434)</f>
        <v/>
      </c>
      <c r="H434" s="131" t="b">
        <f aca="false">FALSE()</f>
        <v>0</v>
      </c>
      <c r="I434" s="131" t="b">
        <f aca="false">FALSE()</f>
        <v>0</v>
      </c>
      <c r="J434" s="130"/>
      <c r="K434" s="110"/>
      <c r="L434" s="83"/>
      <c r="M434" s="103"/>
      <c r="N434" s="103"/>
      <c r="O434" s="103"/>
      <c r="P434" s="103"/>
      <c r="Q434" s="103"/>
      <c r="R434" s="83"/>
      <c r="S434" s="103"/>
      <c r="T434" s="103"/>
      <c r="U434" s="103"/>
    </row>
    <row r="435" customFormat="false" ht="22.5" hidden="false" customHeight="true" outlineLevel="0" collapsed="false">
      <c r="A435" s="99"/>
      <c r="B435" s="99"/>
      <c r="C435" s="99"/>
      <c r="D435" s="121"/>
      <c r="E435" s="99"/>
      <c r="F435" s="124" t="str">
        <f aca="false">IF(E435="CONTADO", 4%, IF(E435="TARJETA / CHEQUE", 3%, IF(OR(E435="FINANCIADO", E435="MCP"), 2.5%, "")))</f>
        <v/>
      </c>
      <c r="G435" s="121" t="str">
        <f aca="false">IF(F435="", "", F435*D435)</f>
        <v/>
      </c>
      <c r="H435" s="132" t="b">
        <f aca="false">FALSE()</f>
        <v>0</v>
      </c>
      <c r="I435" s="132" t="b">
        <f aca="false">FALSE()</f>
        <v>0</v>
      </c>
      <c r="J435" s="126"/>
      <c r="K435" s="99"/>
      <c r="L435" s="83"/>
      <c r="M435" s="103"/>
      <c r="N435" s="103"/>
      <c r="O435" s="103"/>
      <c r="P435" s="103"/>
      <c r="Q435" s="103"/>
      <c r="R435" s="83"/>
      <c r="S435" s="103"/>
      <c r="T435" s="103"/>
      <c r="U435" s="103"/>
    </row>
    <row r="436" customFormat="false" ht="22.5" hidden="false" customHeight="true" outlineLevel="0" collapsed="false">
      <c r="A436" s="110"/>
      <c r="B436" s="110"/>
      <c r="C436" s="110"/>
      <c r="D436" s="122"/>
      <c r="E436" s="110"/>
      <c r="F436" s="128" t="str">
        <f aca="false">IF(E436="CONTADO", 4%, IF(E436="TARJETA / CHEQUE", 3%, IF(OR(E436="FINANCIADO", E436="MCP"), 2.5%, "")))</f>
        <v/>
      </c>
      <c r="G436" s="122" t="str">
        <f aca="false">IF(F436="", "", F436*D436)</f>
        <v/>
      </c>
      <c r="H436" s="131" t="b">
        <f aca="false">FALSE()</f>
        <v>0</v>
      </c>
      <c r="I436" s="131" t="b">
        <f aca="false">FALSE()</f>
        <v>0</v>
      </c>
      <c r="J436" s="130"/>
      <c r="K436" s="110"/>
      <c r="L436" s="83"/>
      <c r="M436" s="103"/>
      <c r="N436" s="103"/>
      <c r="O436" s="103"/>
      <c r="P436" s="103"/>
      <c r="Q436" s="103"/>
      <c r="R436" s="83"/>
      <c r="S436" s="103"/>
      <c r="T436" s="103"/>
      <c r="U436" s="103"/>
    </row>
    <row r="437" customFormat="false" ht="22.5" hidden="false" customHeight="true" outlineLevel="0" collapsed="false">
      <c r="A437" s="99"/>
      <c r="B437" s="99"/>
      <c r="C437" s="99"/>
      <c r="D437" s="121"/>
      <c r="E437" s="99"/>
      <c r="F437" s="124" t="str">
        <f aca="false">IF(E437="CONTADO", 4%, IF(E437="TARJETA / CHEQUE", 3%, IF(OR(E437="FINANCIADO", E437="MCP"), 2.5%, "")))</f>
        <v/>
      </c>
      <c r="G437" s="121" t="str">
        <f aca="false">IF(F437="", "", F437*D437)</f>
        <v/>
      </c>
      <c r="H437" s="132" t="b">
        <f aca="false">FALSE()</f>
        <v>0</v>
      </c>
      <c r="I437" s="132" t="b">
        <f aca="false">FALSE()</f>
        <v>0</v>
      </c>
      <c r="J437" s="126"/>
      <c r="K437" s="99"/>
      <c r="L437" s="83"/>
      <c r="M437" s="103"/>
      <c r="N437" s="103"/>
      <c r="O437" s="103"/>
      <c r="P437" s="103"/>
      <c r="Q437" s="103"/>
      <c r="R437" s="83"/>
      <c r="S437" s="103"/>
      <c r="T437" s="103"/>
      <c r="U437" s="103"/>
    </row>
    <row r="438" customFormat="false" ht="22.5" hidden="false" customHeight="true" outlineLevel="0" collapsed="false">
      <c r="A438" s="110"/>
      <c r="B438" s="110"/>
      <c r="C438" s="110"/>
      <c r="D438" s="122"/>
      <c r="E438" s="110"/>
      <c r="F438" s="128" t="str">
        <f aca="false">IF(E438="CONTADO", 4%, IF(E438="TARJETA / CHEQUE", 3%, IF(OR(E438="FINANCIADO", E438="MCP"), 2.5%, "")))</f>
        <v/>
      </c>
      <c r="G438" s="122" t="str">
        <f aca="false">IF(F438="", "", F438*D438)</f>
        <v/>
      </c>
      <c r="H438" s="131" t="b">
        <f aca="false">FALSE()</f>
        <v>0</v>
      </c>
      <c r="I438" s="131" t="b">
        <f aca="false">FALSE()</f>
        <v>0</v>
      </c>
      <c r="J438" s="130"/>
      <c r="K438" s="110"/>
      <c r="L438" s="83"/>
      <c r="M438" s="103"/>
      <c r="N438" s="103"/>
      <c r="O438" s="103"/>
      <c r="P438" s="103"/>
      <c r="Q438" s="103"/>
      <c r="R438" s="83"/>
      <c r="S438" s="103"/>
      <c r="T438" s="103"/>
      <c r="U438" s="103"/>
    </row>
    <row r="439" customFormat="false" ht="22.5" hidden="false" customHeight="true" outlineLevel="0" collapsed="false">
      <c r="A439" s="99"/>
      <c r="B439" s="99"/>
      <c r="C439" s="99"/>
      <c r="D439" s="121"/>
      <c r="E439" s="99"/>
      <c r="F439" s="124" t="str">
        <f aca="false">IF(E439="CONTADO", 4%, IF(E439="TARJETA / CHEQUE", 3%, IF(OR(E439="FINANCIADO", E439="MCP"), 2.5%, "")))</f>
        <v/>
      </c>
      <c r="G439" s="121" t="str">
        <f aca="false">IF(F439="", "", F439*D439)</f>
        <v/>
      </c>
      <c r="H439" s="132" t="b">
        <f aca="false">FALSE()</f>
        <v>0</v>
      </c>
      <c r="I439" s="132" t="b">
        <f aca="false">FALSE()</f>
        <v>0</v>
      </c>
      <c r="J439" s="126"/>
      <c r="K439" s="99"/>
      <c r="L439" s="83"/>
      <c r="M439" s="103"/>
      <c r="N439" s="103"/>
      <c r="O439" s="103"/>
      <c r="P439" s="103"/>
      <c r="Q439" s="103"/>
      <c r="R439" s="83"/>
      <c r="S439" s="103"/>
      <c r="T439" s="103"/>
      <c r="U439" s="103"/>
    </row>
    <row r="440" customFormat="false" ht="22.5" hidden="false" customHeight="true" outlineLevel="0" collapsed="false">
      <c r="A440" s="110"/>
      <c r="B440" s="110"/>
      <c r="C440" s="110"/>
      <c r="D440" s="122"/>
      <c r="E440" s="110"/>
      <c r="F440" s="128" t="str">
        <f aca="false">IF(E440="CONTADO", 4%, IF(E440="TARJETA / CHEQUE", 3%, IF(OR(E440="FINANCIADO", E440="MCP"), 2.5%, "")))</f>
        <v/>
      </c>
      <c r="G440" s="122" t="str">
        <f aca="false">IF(F440="", "", F440*D440)</f>
        <v/>
      </c>
      <c r="H440" s="131" t="b">
        <f aca="false">FALSE()</f>
        <v>0</v>
      </c>
      <c r="I440" s="131" t="b">
        <f aca="false">FALSE()</f>
        <v>0</v>
      </c>
      <c r="J440" s="130"/>
      <c r="K440" s="110"/>
      <c r="L440" s="83"/>
      <c r="M440" s="103"/>
      <c r="N440" s="103"/>
      <c r="O440" s="103"/>
      <c r="P440" s="103"/>
      <c r="Q440" s="103"/>
      <c r="R440" s="83"/>
      <c r="S440" s="103"/>
      <c r="T440" s="103"/>
      <c r="U440" s="103"/>
    </row>
    <row r="441" customFormat="false" ht="22.5" hidden="false" customHeight="true" outlineLevel="0" collapsed="false">
      <c r="A441" s="99"/>
      <c r="B441" s="99"/>
      <c r="C441" s="99"/>
      <c r="D441" s="121"/>
      <c r="E441" s="99"/>
      <c r="F441" s="124" t="str">
        <f aca="false">IF(E441="CONTADO", 4%, IF(E441="TARJETA / CHEQUE", 3%, IF(OR(E441="FINANCIADO", E441="MCP"), 2.5%, "")))</f>
        <v/>
      </c>
      <c r="G441" s="121" t="str">
        <f aca="false">IF(F441="", "", F441*D441)</f>
        <v/>
      </c>
      <c r="H441" s="132" t="b">
        <f aca="false">FALSE()</f>
        <v>0</v>
      </c>
      <c r="I441" s="132" t="b">
        <f aca="false">FALSE()</f>
        <v>0</v>
      </c>
      <c r="J441" s="126"/>
      <c r="K441" s="99"/>
      <c r="L441" s="83"/>
      <c r="M441" s="103"/>
      <c r="N441" s="103"/>
      <c r="O441" s="103"/>
      <c r="P441" s="103"/>
      <c r="Q441" s="103"/>
      <c r="R441" s="83"/>
      <c r="S441" s="103"/>
      <c r="T441" s="103"/>
      <c r="U441" s="103"/>
    </row>
    <row r="442" customFormat="false" ht="22.5" hidden="false" customHeight="true" outlineLevel="0" collapsed="false">
      <c r="A442" s="110"/>
      <c r="B442" s="110"/>
      <c r="C442" s="110"/>
      <c r="D442" s="122"/>
      <c r="E442" s="110"/>
      <c r="F442" s="128" t="str">
        <f aca="false">IF(E442="CONTADO", 4%, IF(E442="TARJETA / CHEQUE", 3%, IF(OR(E442="FINANCIADO", E442="MCP"), 2.5%, "")))</f>
        <v/>
      </c>
      <c r="G442" s="122" t="str">
        <f aca="false">IF(F442="", "", F442*D442)</f>
        <v/>
      </c>
      <c r="H442" s="131" t="b">
        <f aca="false">FALSE()</f>
        <v>0</v>
      </c>
      <c r="I442" s="131" t="b">
        <f aca="false">FALSE()</f>
        <v>0</v>
      </c>
      <c r="J442" s="130"/>
      <c r="K442" s="110"/>
      <c r="L442" s="83"/>
      <c r="M442" s="103"/>
      <c r="N442" s="103"/>
      <c r="O442" s="103"/>
      <c r="P442" s="103"/>
      <c r="Q442" s="103"/>
      <c r="R442" s="83"/>
      <c r="S442" s="103"/>
      <c r="T442" s="103"/>
      <c r="U442" s="103"/>
    </row>
    <row r="443" customFormat="false" ht="22.5" hidden="false" customHeight="true" outlineLevel="0" collapsed="false">
      <c r="A443" s="99"/>
      <c r="B443" s="99"/>
      <c r="C443" s="99"/>
      <c r="D443" s="121"/>
      <c r="E443" s="99"/>
      <c r="F443" s="124" t="str">
        <f aca="false">IF(E443="CONTADO", 4%, IF(E443="TARJETA / CHEQUE", 3%, IF(OR(E443="FINANCIADO", E443="MCP"), 2.5%, "")))</f>
        <v/>
      </c>
      <c r="G443" s="121" t="str">
        <f aca="false">IF(F443="", "", F443*D443)</f>
        <v/>
      </c>
      <c r="H443" s="132" t="b">
        <f aca="false">FALSE()</f>
        <v>0</v>
      </c>
      <c r="I443" s="132" t="b">
        <f aca="false">FALSE()</f>
        <v>0</v>
      </c>
      <c r="J443" s="126"/>
      <c r="K443" s="99"/>
      <c r="L443" s="83"/>
      <c r="M443" s="103"/>
      <c r="N443" s="103"/>
      <c r="O443" s="103"/>
      <c r="P443" s="103"/>
      <c r="Q443" s="103"/>
      <c r="R443" s="83"/>
      <c r="S443" s="103"/>
      <c r="T443" s="103"/>
      <c r="U443" s="103"/>
    </row>
    <row r="444" customFormat="false" ht="22.5" hidden="false" customHeight="true" outlineLevel="0" collapsed="false">
      <c r="A444" s="110"/>
      <c r="B444" s="110"/>
      <c r="C444" s="110"/>
      <c r="D444" s="122"/>
      <c r="E444" s="110"/>
      <c r="F444" s="128" t="str">
        <f aca="false">IF(E444="CONTADO", 4%, IF(E444="TARJETA / CHEQUE", 3%, IF(OR(E444="FINANCIADO", E444="MCP"), 2.5%, "")))</f>
        <v/>
      </c>
      <c r="G444" s="122" t="str">
        <f aca="false">IF(F444="", "", F444*D444)</f>
        <v/>
      </c>
      <c r="H444" s="131" t="b">
        <f aca="false">FALSE()</f>
        <v>0</v>
      </c>
      <c r="I444" s="131" t="b">
        <f aca="false">FALSE()</f>
        <v>0</v>
      </c>
      <c r="J444" s="130"/>
      <c r="K444" s="110"/>
      <c r="L444" s="83"/>
      <c r="M444" s="103"/>
      <c r="N444" s="103"/>
      <c r="O444" s="103"/>
      <c r="P444" s="103"/>
      <c r="Q444" s="103"/>
      <c r="R444" s="83"/>
      <c r="S444" s="103"/>
      <c r="T444" s="103"/>
      <c r="U444" s="103"/>
    </row>
    <row r="445" customFormat="false" ht="22.5" hidden="false" customHeight="true" outlineLevel="0" collapsed="false">
      <c r="A445" s="99"/>
      <c r="B445" s="99"/>
      <c r="C445" s="99"/>
      <c r="D445" s="121"/>
      <c r="E445" s="99"/>
      <c r="F445" s="124" t="str">
        <f aca="false">IF(E445="CONTADO", 4%, IF(E445="TARJETA / CHEQUE", 3%, IF(OR(E445="FINANCIADO", E445="MCP"), 2.5%, "")))</f>
        <v/>
      </c>
      <c r="G445" s="121" t="str">
        <f aca="false">IF(F445="", "", F445*D445)</f>
        <v/>
      </c>
      <c r="H445" s="132" t="b">
        <f aca="false">FALSE()</f>
        <v>0</v>
      </c>
      <c r="I445" s="132" t="b">
        <f aca="false">FALSE()</f>
        <v>0</v>
      </c>
      <c r="J445" s="126"/>
      <c r="K445" s="99"/>
      <c r="L445" s="83"/>
      <c r="M445" s="103"/>
      <c r="N445" s="103"/>
      <c r="O445" s="103"/>
      <c r="P445" s="103"/>
      <c r="Q445" s="103"/>
      <c r="R445" s="83"/>
      <c r="S445" s="103"/>
      <c r="T445" s="103"/>
      <c r="U445" s="103"/>
    </row>
    <row r="446" customFormat="false" ht="22.5" hidden="false" customHeight="true" outlineLevel="0" collapsed="false">
      <c r="A446" s="110"/>
      <c r="B446" s="110"/>
      <c r="C446" s="110"/>
      <c r="D446" s="122"/>
      <c r="E446" s="110"/>
      <c r="F446" s="128" t="str">
        <f aca="false">IF(E446="CONTADO", 4%, IF(E446="TARJETA / CHEQUE", 3%, IF(OR(E446="FINANCIADO", E446="MCP"), 2.5%, "")))</f>
        <v/>
      </c>
      <c r="G446" s="122" t="str">
        <f aca="false">IF(F446="", "", F446*D446)</f>
        <v/>
      </c>
      <c r="H446" s="131" t="b">
        <f aca="false">FALSE()</f>
        <v>0</v>
      </c>
      <c r="I446" s="131" t="b">
        <f aca="false">FALSE()</f>
        <v>0</v>
      </c>
      <c r="J446" s="130"/>
      <c r="K446" s="110"/>
      <c r="L446" s="83"/>
      <c r="M446" s="103"/>
      <c r="N446" s="103"/>
      <c r="O446" s="103"/>
      <c r="P446" s="103"/>
      <c r="Q446" s="103"/>
      <c r="R446" s="83"/>
      <c r="S446" s="103"/>
      <c r="T446" s="103"/>
      <c r="U446" s="103"/>
    </row>
    <row r="447" customFormat="false" ht="22.5" hidden="false" customHeight="true" outlineLevel="0" collapsed="false">
      <c r="A447" s="99"/>
      <c r="B447" s="99"/>
      <c r="C447" s="99"/>
      <c r="D447" s="121"/>
      <c r="E447" s="99"/>
      <c r="F447" s="124" t="str">
        <f aca="false">IF(E447="CONTADO", 4%, IF(E447="TARJETA / CHEQUE", 3%, IF(OR(E447="FINANCIADO", E447="MCP"), 2.5%, "")))</f>
        <v/>
      </c>
      <c r="G447" s="121" t="str">
        <f aca="false">IF(F447="", "", F447*D447)</f>
        <v/>
      </c>
      <c r="H447" s="132" t="b">
        <f aca="false">FALSE()</f>
        <v>0</v>
      </c>
      <c r="I447" s="132" t="b">
        <f aca="false">FALSE()</f>
        <v>0</v>
      </c>
      <c r="J447" s="126"/>
      <c r="K447" s="99"/>
      <c r="L447" s="83"/>
      <c r="M447" s="103"/>
      <c r="N447" s="103"/>
      <c r="O447" s="103"/>
      <c r="P447" s="103"/>
      <c r="Q447" s="103"/>
      <c r="R447" s="83"/>
      <c r="S447" s="103"/>
      <c r="T447" s="103"/>
      <c r="U447" s="103"/>
    </row>
    <row r="448" customFormat="false" ht="22.5" hidden="false" customHeight="true" outlineLevel="0" collapsed="false">
      <c r="A448" s="110"/>
      <c r="B448" s="110"/>
      <c r="C448" s="110"/>
      <c r="D448" s="122"/>
      <c r="E448" s="110"/>
      <c r="F448" s="128" t="str">
        <f aca="false">IF(E448="CONTADO", 4%, IF(E448="TARJETA / CHEQUE", 3%, IF(OR(E448="FINANCIADO", E448="MCP"), 2.5%, "")))</f>
        <v/>
      </c>
      <c r="G448" s="122" t="str">
        <f aca="false">IF(F448="", "", F448*D448)</f>
        <v/>
      </c>
      <c r="H448" s="131" t="b">
        <f aca="false">FALSE()</f>
        <v>0</v>
      </c>
      <c r="I448" s="131" t="b">
        <f aca="false">FALSE()</f>
        <v>0</v>
      </c>
      <c r="J448" s="130"/>
      <c r="K448" s="110"/>
      <c r="L448" s="83"/>
      <c r="M448" s="103"/>
      <c r="N448" s="103"/>
      <c r="O448" s="103"/>
      <c r="P448" s="103"/>
      <c r="Q448" s="103"/>
      <c r="R448" s="83"/>
      <c r="S448" s="103"/>
      <c r="T448" s="103"/>
      <c r="U448" s="103"/>
    </row>
    <row r="449" customFormat="false" ht="22.5" hidden="false" customHeight="true" outlineLevel="0" collapsed="false">
      <c r="A449" s="99"/>
      <c r="B449" s="99"/>
      <c r="C449" s="99"/>
      <c r="D449" s="121"/>
      <c r="E449" s="99"/>
      <c r="F449" s="124" t="str">
        <f aca="false">IF(E449="CONTADO", 4%, IF(E449="TARJETA / CHEQUE", 3%, IF(OR(E449="FINANCIADO", E449="MCP"), 2.5%, "")))</f>
        <v/>
      </c>
      <c r="G449" s="121" t="str">
        <f aca="false">IF(F449="", "", F449*D449)</f>
        <v/>
      </c>
      <c r="H449" s="132" t="b">
        <f aca="false">FALSE()</f>
        <v>0</v>
      </c>
      <c r="I449" s="132" t="b">
        <f aca="false">FALSE()</f>
        <v>0</v>
      </c>
      <c r="J449" s="126"/>
      <c r="K449" s="99"/>
      <c r="L449" s="83"/>
      <c r="M449" s="103"/>
      <c r="N449" s="103"/>
      <c r="O449" s="103"/>
      <c r="P449" s="103"/>
      <c r="Q449" s="103"/>
      <c r="R449" s="83"/>
      <c r="S449" s="103"/>
      <c r="T449" s="103"/>
      <c r="U449" s="103"/>
    </row>
    <row r="450" customFormat="false" ht="22.5" hidden="false" customHeight="true" outlineLevel="0" collapsed="false">
      <c r="A450" s="110"/>
      <c r="B450" s="110"/>
      <c r="C450" s="110"/>
      <c r="D450" s="122"/>
      <c r="E450" s="110"/>
      <c r="F450" s="128" t="str">
        <f aca="false">IF(E450="CONTADO", 4%, IF(E450="TARJETA / CHEQUE", 3%, IF(OR(E450="FINANCIADO", E450="MCP"), 2.5%, "")))</f>
        <v/>
      </c>
      <c r="G450" s="122" t="str">
        <f aca="false">IF(F450="", "", F450*D450)</f>
        <v/>
      </c>
      <c r="H450" s="131" t="b">
        <f aca="false">FALSE()</f>
        <v>0</v>
      </c>
      <c r="I450" s="131" t="b">
        <f aca="false">FALSE()</f>
        <v>0</v>
      </c>
      <c r="J450" s="130"/>
      <c r="K450" s="110"/>
      <c r="L450" s="83"/>
      <c r="M450" s="103"/>
      <c r="N450" s="103"/>
      <c r="O450" s="103"/>
      <c r="P450" s="103"/>
      <c r="Q450" s="103"/>
      <c r="R450" s="83"/>
      <c r="S450" s="103"/>
      <c r="T450" s="103"/>
      <c r="U450" s="103"/>
    </row>
    <row r="451" customFormat="false" ht="22.5" hidden="false" customHeight="true" outlineLevel="0" collapsed="false">
      <c r="A451" s="99"/>
      <c r="B451" s="99"/>
      <c r="C451" s="99"/>
      <c r="D451" s="121"/>
      <c r="E451" s="99"/>
      <c r="F451" s="124" t="str">
        <f aca="false">IF(E451="CONTADO", 4%, IF(E451="TARJETA / CHEQUE", 3%, IF(OR(E451="FINANCIADO", E451="MCP"), 2.5%, "")))</f>
        <v/>
      </c>
      <c r="G451" s="121" t="str">
        <f aca="false">IF(F451="", "", F451*D451)</f>
        <v/>
      </c>
      <c r="H451" s="132" t="b">
        <f aca="false">FALSE()</f>
        <v>0</v>
      </c>
      <c r="I451" s="132" t="b">
        <f aca="false">FALSE()</f>
        <v>0</v>
      </c>
      <c r="J451" s="126"/>
      <c r="K451" s="99"/>
      <c r="L451" s="83"/>
      <c r="M451" s="103"/>
      <c r="N451" s="103"/>
      <c r="O451" s="103"/>
      <c r="P451" s="103"/>
      <c r="Q451" s="103"/>
      <c r="R451" s="83"/>
      <c r="S451" s="103"/>
      <c r="T451" s="103"/>
      <c r="U451" s="103"/>
    </row>
    <row r="452" customFormat="false" ht="22.5" hidden="false" customHeight="true" outlineLevel="0" collapsed="false">
      <c r="A452" s="110"/>
      <c r="B452" s="110"/>
      <c r="C452" s="110"/>
      <c r="D452" s="122"/>
      <c r="E452" s="110"/>
      <c r="F452" s="128" t="str">
        <f aca="false">IF(E452="CONTADO", 4%, IF(E452="TARJETA / CHEQUE", 3%, IF(OR(E452="FINANCIADO", E452="MCP"), 2.5%, "")))</f>
        <v/>
      </c>
      <c r="G452" s="122" t="str">
        <f aca="false">IF(F452="", "", F452*D452)</f>
        <v/>
      </c>
      <c r="H452" s="131" t="b">
        <f aca="false">FALSE()</f>
        <v>0</v>
      </c>
      <c r="I452" s="131" t="b">
        <f aca="false">FALSE()</f>
        <v>0</v>
      </c>
      <c r="J452" s="130"/>
      <c r="K452" s="110"/>
      <c r="L452" s="83"/>
      <c r="M452" s="103"/>
      <c r="N452" s="103"/>
      <c r="O452" s="103"/>
      <c r="P452" s="103"/>
      <c r="Q452" s="103"/>
      <c r="R452" s="83"/>
      <c r="S452" s="103"/>
      <c r="T452" s="103"/>
      <c r="U452" s="103"/>
    </row>
    <row r="453" customFormat="false" ht="22.5" hidden="false" customHeight="true" outlineLevel="0" collapsed="false">
      <c r="A453" s="99"/>
      <c r="B453" s="99"/>
      <c r="C453" s="99"/>
      <c r="D453" s="121"/>
      <c r="E453" s="99"/>
      <c r="F453" s="124" t="str">
        <f aca="false">IF(E453="CONTADO", 4%, IF(E453="TARJETA / CHEQUE", 3%, IF(OR(E453="FINANCIADO", E453="MCP"), 2.5%, "")))</f>
        <v/>
      </c>
      <c r="G453" s="121" t="str">
        <f aca="false">IF(F453="", "", F453*D453)</f>
        <v/>
      </c>
      <c r="H453" s="132" t="b">
        <f aca="false">FALSE()</f>
        <v>0</v>
      </c>
      <c r="I453" s="132" t="b">
        <f aca="false">FALSE()</f>
        <v>0</v>
      </c>
      <c r="J453" s="126"/>
      <c r="K453" s="99"/>
      <c r="L453" s="83"/>
      <c r="M453" s="103"/>
      <c r="N453" s="103"/>
      <c r="O453" s="103"/>
      <c r="P453" s="103"/>
      <c r="Q453" s="103"/>
      <c r="R453" s="83"/>
      <c r="S453" s="103"/>
      <c r="T453" s="103"/>
      <c r="U453" s="103"/>
    </row>
    <row r="454" customFormat="false" ht="22.5" hidden="false" customHeight="true" outlineLevel="0" collapsed="false">
      <c r="A454" s="110"/>
      <c r="B454" s="110"/>
      <c r="C454" s="110"/>
      <c r="D454" s="122"/>
      <c r="E454" s="110"/>
      <c r="F454" s="128" t="str">
        <f aca="false">IF(E454="CONTADO", 4%, IF(E454="TARJETA / CHEQUE", 3%, IF(OR(E454="FINANCIADO", E454="MCP"), 2.5%, "")))</f>
        <v/>
      </c>
      <c r="G454" s="122" t="str">
        <f aca="false">IF(F454="", "", F454*D454)</f>
        <v/>
      </c>
      <c r="H454" s="131" t="b">
        <f aca="false">FALSE()</f>
        <v>0</v>
      </c>
      <c r="I454" s="131" t="b">
        <f aca="false">FALSE()</f>
        <v>0</v>
      </c>
      <c r="J454" s="130"/>
      <c r="K454" s="110"/>
      <c r="L454" s="83"/>
      <c r="M454" s="103"/>
      <c r="N454" s="103"/>
      <c r="O454" s="103"/>
      <c r="P454" s="103"/>
      <c r="Q454" s="103"/>
      <c r="R454" s="83"/>
      <c r="S454" s="103"/>
      <c r="T454" s="103"/>
      <c r="U454" s="103"/>
    </row>
    <row r="455" customFormat="false" ht="22.5" hidden="false" customHeight="true" outlineLevel="0" collapsed="false">
      <c r="A455" s="99"/>
      <c r="B455" s="99"/>
      <c r="C455" s="99"/>
      <c r="D455" s="121"/>
      <c r="E455" s="99"/>
      <c r="F455" s="124" t="str">
        <f aca="false">IF(E455="CONTADO", 4%, IF(E455="TARJETA / CHEQUE", 3%, IF(OR(E455="FINANCIADO", E455="MCP"), 2.5%, "")))</f>
        <v/>
      </c>
      <c r="G455" s="121" t="str">
        <f aca="false">IF(F455="", "", F455*D455)</f>
        <v/>
      </c>
      <c r="H455" s="132" t="b">
        <f aca="false">FALSE()</f>
        <v>0</v>
      </c>
      <c r="I455" s="132" t="b">
        <f aca="false">FALSE()</f>
        <v>0</v>
      </c>
      <c r="J455" s="126"/>
      <c r="K455" s="99"/>
      <c r="L455" s="83"/>
      <c r="M455" s="103"/>
      <c r="N455" s="103"/>
      <c r="O455" s="103"/>
      <c r="P455" s="103"/>
      <c r="Q455" s="103"/>
      <c r="R455" s="83"/>
      <c r="S455" s="103"/>
      <c r="T455" s="103"/>
      <c r="U455" s="103"/>
    </row>
    <row r="456" customFormat="false" ht="22.5" hidden="false" customHeight="true" outlineLevel="0" collapsed="false">
      <c r="A456" s="110"/>
      <c r="B456" s="110"/>
      <c r="C456" s="110"/>
      <c r="D456" s="122"/>
      <c r="E456" s="110"/>
      <c r="F456" s="128" t="str">
        <f aca="false">IF(E456="CONTADO", 4%, IF(E456="TARJETA / CHEQUE", 3%, IF(OR(E456="FINANCIADO", E456="MCP"), 2.5%, "")))</f>
        <v/>
      </c>
      <c r="G456" s="122" t="str">
        <f aca="false">IF(F456="", "", F456*D456)</f>
        <v/>
      </c>
      <c r="H456" s="131" t="b">
        <f aca="false">FALSE()</f>
        <v>0</v>
      </c>
      <c r="I456" s="131" t="b">
        <f aca="false">FALSE()</f>
        <v>0</v>
      </c>
      <c r="J456" s="130"/>
      <c r="K456" s="110"/>
      <c r="L456" s="83"/>
      <c r="M456" s="103"/>
      <c r="N456" s="103"/>
      <c r="O456" s="103"/>
      <c r="P456" s="103"/>
      <c r="Q456" s="103"/>
      <c r="R456" s="83"/>
      <c r="S456" s="103"/>
      <c r="T456" s="103"/>
      <c r="U456" s="103"/>
    </row>
    <row r="457" customFormat="false" ht="22.5" hidden="false" customHeight="true" outlineLevel="0" collapsed="false">
      <c r="A457" s="99"/>
      <c r="B457" s="99"/>
      <c r="C457" s="99"/>
      <c r="D457" s="121"/>
      <c r="E457" s="99"/>
      <c r="F457" s="124" t="str">
        <f aca="false">IF(E457="CONTADO", 4%, IF(E457="TARJETA / CHEQUE", 3%, IF(OR(E457="FINANCIADO", E457="MCP"), 2.5%, "")))</f>
        <v/>
      </c>
      <c r="G457" s="121" t="str">
        <f aca="false">IF(F457="", "", F457*D457)</f>
        <v/>
      </c>
      <c r="H457" s="132" t="b">
        <f aca="false">FALSE()</f>
        <v>0</v>
      </c>
      <c r="I457" s="132" t="b">
        <f aca="false">FALSE()</f>
        <v>0</v>
      </c>
      <c r="J457" s="126"/>
      <c r="K457" s="99"/>
      <c r="L457" s="83"/>
      <c r="M457" s="103"/>
      <c r="N457" s="103"/>
      <c r="O457" s="103"/>
      <c r="P457" s="103"/>
      <c r="Q457" s="103"/>
      <c r="R457" s="83"/>
      <c r="S457" s="103"/>
      <c r="T457" s="103"/>
      <c r="U457" s="103"/>
    </row>
    <row r="458" customFormat="false" ht="22.5" hidden="false" customHeight="true" outlineLevel="0" collapsed="false">
      <c r="A458" s="110"/>
      <c r="B458" s="110"/>
      <c r="C458" s="110"/>
      <c r="D458" s="122"/>
      <c r="E458" s="110"/>
      <c r="F458" s="128" t="str">
        <f aca="false">IF(E458="CONTADO", 4%, IF(E458="TARJETA / CHEQUE", 3%, IF(OR(E458="FINANCIADO", E458="MCP"), 2.5%, "")))</f>
        <v/>
      </c>
      <c r="G458" s="122" t="str">
        <f aca="false">IF(F458="", "", F458*D458)</f>
        <v/>
      </c>
      <c r="H458" s="131" t="b">
        <f aca="false">FALSE()</f>
        <v>0</v>
      </c>
      <c r="I458" s="131" t="b">
        <f aca="false">FALSE()</f>
        <v>0</v>
      </c>
      <c r="J458" s="130"/>
      <c r="K458" s="110"/>
      <c r="L458" s="83"/>
      <c r="M458" s="103"/>
      <c r="N458" s="103"/>
      <c r="O458" s="103"/>
      <c r="P458" s="103"/>
      <c r="Q458" s="103"/>
      <c r="R458" s="83"/>
      <c r="S458" s="103"/>
      <c r="T458" s="103"/>
      <c r="U458" s="103"/>
    </row>
    <row r="459" customFormat="false" ht="22.5" hidden="false" customHeight="true" outlineLevel="0" collapsed="false">
      <c r="A459" s="99"/>
      <c r="B459" s="99"/>
      <c r="C459" s="99"/>
      <c r="D459" s="121"/>
      <c r="E459" s="99"/>
      <c r="F459" s="124" t="str">
        <f aca="false">IF(E459="CONTADO", 4%, IF(E459="TARJETA / CHEQUE", 3%, IF(OR(E459="FINANCIADO", E459="MCP"), 2.5%, "")))</f>
        <v/>
      </c>
      <c r="G459" s="121" t="str">
        <f aca="false">IF(F459="", "", F459*D459)</f>
        <v/>
      </c>
      <c r="H459" s="132" t="b">
        <f aca="false">FALSE()</f>
        <v>0</v>
      </c>
      <c r="I459" s="132" t="b">
        <f aca="false">FALSE()</f>
        <v>0</v>
      </c>
      <c r="J459" s="126"/>
      <c r="K459" s="99"/>
      <c r="L459" s="83"/>
      <c r="M459" s="103"/>
      <c r="N459" s="103"/>
      <c r="O459" s="103"/>
      <c r="P459" s="103"/>
      <c r="Q459" s="103"/>
      <c r="R459" s="83"/>
      <c r="S459" s="103"/>
      <c r="T459" s="103"/>
      <c r="U459" s="103"/>
    </row>
    <row r="460" customFormat="false" ht="22.5" hidden="false" customHeight="true" outlineLevel="0" collapsed="false">
      <c r="A460" s="110"/>
      <c r="B460" s="110"/>
      <c r="C460" s="110"/>
      <c r="D460" s="122"/>
      <c r="E460" s="110"/>
      <c r="F460" s="128" t="str">
        <f aca="false">IF(E460="CONTADO", 4%, IF(E460="TARJETA / CHEQUE", 3%, IF(OR(E460="FINANCIADO", E460="MCP"), 2.5%, "")))</f>
        <v/>
      </c>
      <c r="G460" s="122" t="str">
        <f aca="false">IF(F460="", "", F460*D460)</f>
        <v/>
      </c>
      <c r="H460" s="131" t="b">
        <f aca="false">FALSE()</f>
        <v>0</v>
      </c>
      <c r="I460" s="131" t="b">
        <f aca="false">FALSE()</f>
        <v>0</v>
      </c>
      <c r="J460" s="130"/>
      <c r="K460" s="110"/>
      <c r="L460" s="83"/>
      <c r="M460" s="103"/>
      <c r="N460" s="103"/>
      <c r="O460" s="103"/>
      <c r="P460" s="103"/>
      <c r="Q460" s="103"/>
      <c r="R460" s="83"/>
      <c r="S460" s="103"/>
      <c r="T460" s="103"/>
      <c r="U460" s="103"/>
    </row>
    <row r="461" customFormat="false" ht="22.5" hidden="false" customHeight="true" outlineLevel="0" collapsed="false">
      <c r="A461" s="99"/>
      <c r="B461" s="99"/>
      <c r="C461" s="99"/>
      <c r="D461" s="121"/>
      <c r="E461" s="99"/>
      <c r="F461" s="124" t="str">
        <f aca="false">IF(E461="CONTADO", 4%, IF(E461="TARJETA / CHEQUE", 3%, IF(OR(E461="FINANCIADO", E461="MCP"), 2.5%, "")))</f>
        <v/>
      </c>
      <c r="G461" s="121" t="str">
        <f aca="false">IF(F461="", "", F461*D461)</f>
        <v/>
      </c>
      <c r="H461" s="132" t="b">
        <f aca="false">FALSE()</f>
        <v>0</v>
      </c>
      <c r="I461" s="132" t="b">
        <f aca="false">FALSE()</f>
        <v>0</v>
      </c>
      <c r="J461" s="126"/>
      <c r="K461" s="99"/>
      <c r="L461" s="83"/>
      <c r="M461" s="103"/>
      <c r="N461" s="103"/>
      <c r="O461" s="103"/>
      <c r="P461" s="103"/>
      <c r="Q461" s="103"/>
      <c r="R461" s="83"/>
      <c r="S461" s="103"/>
      <c r="T461" s="103"/>
      <c r="U461" s="103"/>
    </row>
    <row r="462" customFormat="false" ht="22.5" hidden="false" customHeight="true" outlineLevel="0" collapsed="false">
      <c r="A462" s="110"/>
      <c r="B462" s="110"/>
      <c r="C462" s="110"/>
      <c r="D462" s="122"/>
      <c r="E462" s="110"/>
      <c r="F462" s="128" t="str">
        <f aca="false">IF(E462="CONTADO", 4%, IF(E462="TARJETA / CHEQUE", 3%, IF(OR(E462="FINANCIADO", E462="MCP"), 2.5%, "")))</f>
        <v/>
      </c>
      <c r="G462" s="122" t="str">
        <f aca="false">IF(F462="", "", F462*D462)</f>
        <v/>
      </c>
      <c r="H462" s="131" t="b">
        <f aca="false">FALSE()</f>
        <v>0</v>
      </c>
      <c r="I462" s="131" t="b">
        <f aca="false">FALSE()</f>
        <v>0</v>
      </c>
      <c r="J462" s="130"/>
      <c r="K462" s="110"/>
      <c r="L462" s="83"/>
      <c r="M462" s="103"/>
      <c r="N462" s="103"/>
      <c r="O462" s="103"/>
      <c r="P462" s="103"/>
      <c r="Q462" s="103"/>
      <c r="R462" s="83"/>
      <c r="S462" s="103"/>
      <c r="T462" s="103"/>
      <c r="U462" s="103"/>
    </row>
    <row r="463" customFormat="false" ht="22.5" hidden="false" customHeight="true" outlineLevel="0" collapsed="false">
      <c r="A463" s="99"/>
      <c r="B463" s="99"/>
      <c r="C463" s="99"/>
      <c r="D463" s="121"/>
      <c r="E463" s="99"/>
      <c r="F463" s="124" t="str">
        <f aca="false">IF(E463="CONTADO", 4%, IF(E463="TARJETA / CHEQUE", 3%, IF(OR(E463="FINANCIADO", E463="MCP"), 2.5%, "")))</f>
        <v/>
      </c>
      <c r="G463" s="121" t="str">
        <f aca="false">IF(F463="", "", F463*D463)</f>
        <v/>
      </c>
      <c r="H463" s="132" t="b">
        <f aca="false">FALSE()</f>
        <v>0</v>
      </c>
      <c r="I463" s="132" t="b">
        <f aca="false">FALSE()</f>
        <v>0</v>
      </c>
      <c r="J463" s="126"/>
      <c r="K463" s="99"/>
      <c r="L463" s="83"/>
      <c r="M463" s="103"/>
      <c r="N463" s="103"/>
      <c r="O463" s="103"/>
      <c r="P463" s="103"/>
      <c r="Q463" s="103"/>
      <c r="R463" s="83"/>
      <c r="S463" s="103"/>
      <c r="T463" s="103"/>
      <c r="U463" s="103"/>
    </row>
    <row r="464" customFormat="false" ht="22.5" hidden="false" customHeight="true" outlineLevel="0" collapsed="false">
      <c r="A464" s="110"/>
      <c r="B464" s="110"/>
      <c r="C464" s="110"/>
      <c r="D464" s="122"/>
      <c r="E464" s="110"/>
      <c r="F464" s="128" t="str">
        <f aca="false">IF(E464="CONTADO", 4%, IF(E464="TARJETA / CHEQUE", 3%, IF(OR(E464="FINANCIADO", E464="MCP"), 2.5%, "")))</f>
        <v/>
      </c>
      <c r="G464" s="122" t="str">
        <f aca="false">IF(F464="", "", F464*D464)</f>
        <v/>
      </c>
      <c r="H464" s="131" t="b">
        <f aca="false">FALSE()</f>
        <v>0</v>
      </c>
      <c r="I464" s="131" t="b">
        <f aca="false">FALSE()</f>
        <v>0</v>
      </c>
      <c r="J464" s="130"/>
      <c r="K464" s="110"/>
      <c r="L464" s="83"/>
      <c r="M464" s="103"/>
      <c r="N464" s="103"/>
      <c r="O464" s="103"/>
      <c r="P464" s="103"/>
      <c r="Q464" s="103"/>
      <c r="R464" s="83"/>
      <c r="S464" s="103"/>
      <c r="T464" s="103"/>
      <c r="U464" s="103"/>
    </row>
    <row r="465" customFormat="false" ht="22.5" hidden="false" customHeight="true" outlineLevel="0" collapsed="false">
      <c r="A465" s="99"/>
      <c r="B465" s="99"/>
      <c r="C465" s="99"/>
      <c r="D465" s="121"/>
      <c r="E465" s="99"/>
      <c r="F465" s="124" t="str">
        <f aca="false">IF(E465="CONTADO", 4%, IF(E465="TARJETA / CHEQUE", 3%, IF(OR(E465="FINANCIADO", E465="MCP"), 2.5%, "")))</f>
        <v/>
      </c>
      <c r="G465" s="121" t="str">
        <f aca="false">IF(F465="", "", F465*D465)</f>
        <v/>
      </c>
      <c r="H465" s="132" t="b">
        <f aca="false">FALSE()</f>
        <v>0</v>
      </c>
      <c r="I465" s="132" t="b">
        <f aca="false">FALSE()</f>
        <v>0</v>
      </c>
      <c r="J465" s="126"/>
      <c r="K465" s="99"/>
      <c r="L465" s="83"/>
      <c r="M465" s="103"/>
      <c r="N465" s="103"/>
      <c r="O465" s="103"/>
      <c r="P465" s="103"/>
      <c r="Q465" s="103"/>
      <c r="R465" s="83"/>
      <c r="S465" s="103"/>
      <c r="T465" s="103"/>
      <c r="U465" s="103"/>
    </row>
    <row r="466" customFormat="false" ht="22.5" hidden="false" customHeight="true" outlineLevel="0" collapsed="false">
      <c r="A466" s="110"/>
      <c r="B466" s="110"/>
      <c r="C466" s="110"/>
      <c r="D466" s="122"/>
      <c r="E466" s="110"/>
      <c r="F466" s="128" t="str">
        <f aca="false">IF(E466="CONTADO", 4%, IF(E466="TARJETA / CHEQUE", 3%, IF(OR(E466="FINANCIADO", E466="MCP"), 2.5%, "")))</f>
        <v/>
      </c>
      <c r="G466" s="122" t="str">
        <f aca="false">IF(F466="", "", F466*D466)</f>
        <v/>
      </c>
      <c r="H466" s="131" t="b">
        <f aca="false">FALSE()</f>
        <v>0</v>
      </c>
      <c r="I466" s="131" t="b">
        <f aca="false">FALSE()</f>
        <v>0</v>
      </c>
      <c r="J466" s="130"/>
      <c r="K466" s="110"/>
      <c r="L466" s="83"/>
      <c r="M466" s="103"/>
      <c r="N466" s="103"/>
      <c r="O466" s="103"/>
      <c r="P466" s="103"/>
      <c r="Q466" s="103"/>
      <c r="R466" s="83"/>
      <c r="S466" s="103"/>
      <c r="T466" s="103"/>
      <c r="U466" s="103"/>
    </row>
    <row r="467" customFormat="false" ht="22.5" hidden="false" customHeight="true" outlineLevel="0" collapsed="false">
      <c r="A467" s="99"/>
      <c r="B467" s="99"/>
      <c r="C467" s="99"/>
      <c r="D467" s="121"/>
      <c r="E467" s="99"/>
      <c r="F467" s="124" t="str">
        <f aca="false">IF(E467="CONTADO", 4%, IF(E467="TARJETA / CHEQUE", 3%, IF(OR(E467="FINANCIADO", E467="MCP"), 2.5%, "")))</f>
        <v/>
      </c>
      <c r="G467" s="121" t="str">
        <f aca="false">IF(F467="", "", F467*D467)</f>
        <v/>
      </c>
      <c r="H467" s="132" t="b">
        <f aca="false">FALSE()</f>
        <v>0</v>
      </c>
      <c r="I467" s="132" t="b">
        <f aca="false">FALSE()</f>
        <v>0</v>
      </c>
      <c r="J467" s="126"/>
      <c r="K467" s="99"/>
      <c r="L467" s="83"/>
      <c r="M467" s="103"/>
      <c r="N467" s="103"/>
      <c r="O467" s="103"/>
      <c r="P467" s="103"/>
      <c r="Q467" s="103"/>
      <c r="R467" s="83"/>
      <c r="S467" s="103"/>
      <c r="T467" s="103"/>
      <c r="U467" s="103"/>
    </row>
    <row r="468" customFormat="false" ht="22.5" hidden="false" customHeight="true" outlineLevel="0" collapsed="false">
      <c r="A468" s="110"/>
      <c r="B468" s="110"/>
      <c r="C468" s="110"/>
      <c r="D468" s="122"/>
      <c r="E468" s="110"/>
      <c r="F468" s="128" t="str">
        <f aca="false">IF(E468="CONTADO", 4%, IF(E468="TARJETA / CHEQUE", 3%, IF(OR(E468="FINANCIADO", E468="MCP"), 2.5%, "")))</f>
        <v/>
      </c>
      <c r="G468" s="122" t="str">
        <f aca="false">IF(F468="", "", F468*D468)</f>
        <v/>
      </c>
      <c r="H468" s="131" t="b">
        <f aca="false">FALSE()</f>
        <v>0</v>
      </c>
      <c r="I468" s="131" t="b">
        <f aca="false">FALSE()</f>
        <v>0</v>
      </c>
      <c r="J468" s="130"/>
      <c r="K468" s="110"/>
      <c r="L468" s="83"/>
      <c r="M468" s="103"/>
      <c r="N468" s="103"/>
      <c r="O468" s="103"/>
      <c r="P468" s="103"/>
      <c r="Q468" s="103"/>
      <c r="R468" s="83"/>
      <c r="S468" s="103"/>
      <c r="T468" s="103"/>
      <c r="U468" s="103"/>
    </row>
    <row r="469" customFormat="false" ht="22.5" hidden="false" customHeight="true" outlineLevel="0" collapsed="false">
      <c r="A469" s="99"/>
      <c r="B469" s="99"/>
      <c r="C469" s="99"/>
      <c r="D469" s="121"/>
      <c r="E469" s="99"/>
      <c r="F469" s="124" t="str">
        <f aca="false">IF(E469="CONTADO", 4%, IF(E469="TARJETA / CHEQUE", 3%, IF(OR(E469="FINANCIADO", E469="MCP"), 2.5%, "")))</f>
        <v/>
      </c>
      <c r="G469" s="121" t="str">
        <f aca="false">IF(F469="", "", F469*D469)</f>
        <v/>
      </c>
      <c r="H469" s="132" t="b">
        <f aca="false">FALSE()</f>
        <v>0</v>
      </c>
      <c r="I469" s="132" t="b">
        <f aca="false">FALSE()</f>
        <v>0</v>
      </c>
      <c r="J469" s="126"/>
      <c r="K469" s="99"/>
      <c r="L469" s="83"/>
      <c r="M469" s="103"/>
      <c r="N469" s="103"/>
      <c r="O469" s="103"/>
      <c r="P469" s="103"/>
      <c r="Q469" s="103"/>
      <c r="R469" s="83"/>
      <c r="S469" s="103"/>
      <c r="T469" s="103"/>
      <c r="U469" s="103"/>
    </row>
    <row r="470" customFormat="false" ht="22.5" hidden="false" customHeight="true" outlineLevel="0" collapsed="false">
      <c r="A470" s="110"/>
      <c r="B470" s="110"/>
      <c r="C470" s="110"/>
      <c r="D470" s="122"/>
      <c r="E470" s="110"/>
      <c r="F470" s="128" t="str">
        <f aca="false">IF(E470="CONTADO", 4%, IF(E470="TARJETA / CHEQUE", 3%, IF(OR(E470="FINANCIADO", E470="MCP"), 2.5%, "")))</f>
        <v/>
      </c>
      <c r="G470" s="122" t="str">
        <f aca="false">IF(F470="", "", F470*D470)</f>
        <v/>
      </c>
      <c r="H470" s="131" t="b">
        <f aca="false">FALSE()</f>
        <v>0</v>
      </c>
      <c r="I470" s="131" t="b">
        <f aca="false">FALSE()</f>
        <v>0</v>
      </c>
      <c r="J470" s="130"/>
      <c r="K470" s="110"/>
      <c r="L470" s="83"/>
      <c r="M470" s="103"/>
      <c r="N470" s="103"/>
      <c r="O470" s="103"/>
      <c r="P470" s="103"/>
      <c r="Q470" s="103"/>
      <c r="R470" s="83"/>
      <c r="S470" s="103"/>
      <c r="T470" s="103"/>
      <c r="U470" s="103"/>
    </row>
    <row r="471" customFormat="false" ht="22.5" hidden="false" customHeight="true" outlineLevel="0" collapsed="false">
      <c r="A471" s="99"/>
      <c r="B471" s="99"/>
      <c r="C471" s="99"/>
      <c r="D471" s="121"/>
      <c r="E471" s="99"/>
      <c r="F471" s="124" t="str">
        <f aca="false">IF(E471="CONTADO", 4%, IF(E471="TARJETA / CHEQUE", 3%, IF(OR(E471="FINANCIADO", E471="MCP"), 2.5%, "")))</f>
        <v/>
      </c>
      <c r="G471" s="121" t="str">
        <f aca="false">IF(F471="", "", F471*D471)</f>
        <v/>
      </c>
      <c r="H471" s="132" t="b">
        <f aca="false">FALSE()</f>
        <v>0</v>
      </c>
      <c r="I471" s="132" t="b">
        <f aca="false">FALSE()</f>
        <v>0</v>
      </c>
      <c r="J471" s="126"/>
      <c r="K471" s="99"/>
      <c r="L471" s="83"/>
      <c r="M471" s="103"/>
      <c r="N471" s="103"/>
      <c r="O471" s="103"/>
      <c r="P471" s="103"/>
      <c r="Q471" s="103"/>
      <c r="R471" s="83"/>
      <c r="S471" s="103"/>
      <c r="T471" s="103"/>
      <c r="U471" s="103"/>
    </row>
    <row r="472" customFormat="false" ht="22.5" hidden="false" customHeight="true" outlineLevel="0" collapsed="false">
      <c r="A472" s="110"/>
      <c r="B472" s="110"/>
      <c r="C472" s="110"/>
      <c r="D472" s="122"/>
      <c r="E472" s="110"/>
      <c r="F472" s="128" t="str">
        <f aca="false">IF(E472="CONTADO", 4%, IF(E472="TARJETA / CHEQUE", 3%, IF(OR(E472="FINANCIADO", E472="MCP"), 2.5%, "")))</f>
        <v/>
      </c>
      <c r="G472" s="122" t="str">
        <f aca="false">IF(F472="", "", F472*D472)</f>
        <v/>
      </c>
      <c r="H472" s="131" t="b">
        <f aca="false">FALSE()</f>
        <v>0</v>
      </c>
      <c r="I472" s="131" t="b">
        <f aca="false">FALSE()</f>
        <v>0</v>
      </c>
      <c r="J472" s="130"/>
      <c r="K472" s="110"/>
      <c r="L472" s="83"/>
      <c r="M472" s="103"/>
      <c r="N472" s="103"/>
      <c r="O472" s="103"/>
      <c r="P472" s="103"/>
      <c r="Q472" s="103"/>
      <c r="R472" s="83"/>
      <c r="S472" s="103"/>
      <c r="T472" s="103"/>
      <c r="U472" s="103"/>
    </row>
    <row r="473" customFormat="false" ht="22.5" hidden="false" customHeight="true" outlineLevel="0" collapsed="false">
      <c r="A473" s="99"/>
      <c r="B473" s="99"/>
      <c r="C473" s="99"/>
      <c r="D473" s="121"/>
      <c r="E473" s="99"/>
      <c r="F473" s="124" t="str">
        <f aca="false">IF(E473="CONTADO", 4%, IF(E473="TARJETA / CHEQUE", 3%, IF(OR(E473="FINANCIADO", E473="MCP"), 2.5%, "")))</f>
        <v/>
      </c>
      <c r="G473" s="121" t="str">
        <f aca="false">IF(F473="", "", F473*D473)</f>
        <v/>
      </c>
      <c r="H473" s="132" t="b">
        <f aca="false">FALSE()</f>
        <v>0</v>
      </c>
      <c r="I473" s="132" t="b">
        <f aca="false">FALSE()</f>
        <v>0</v>
      </c>
      <c r="J473" s="126"/>
      <c r="K473" s="99"/>
      <c r="L473" s="83"/>
      <c r="M473" s="103"/>
      <c r="N473" s="103"/>
      <c r="O473" s="103"/>
      <c r="P473" s="103"/>
      <c r="Q473" s="103"/>
      <c r="R473" s="83"/>
      <c r="S473" s="103"/>
      <c r="T473" s="103"/>
      <c r="U473" s="103"/>
    </row>
    <row r="474" customFormat="false" ht="22.5" hidden="false" customHeight="true" outlineLevel="0" collapsed="false">
      <c r="A474" s="110"/>
      <c r="B474" s="110"/>
      <c r="C474" s="110"/>
      <c r="D474" s="122"/>
      <c r="E474" s="110"/>
      <c r="F474" s="128" t="str">
        <f aca="false">IF(E474="CONTADO", 4%, IF(E474="TARJETA / CHEQUE", 3%, IF(OR(E474="FINANCIADO", E474="MCP"), 2.5%, "")))</f>
        <v/>
      </c>
      <c r="G474" s="122" t="str">
        <f aca="false">IF(F474="", "", F474*D474)</f>
        <v/>
      </c>
      <c r="H474" s="131" t="b">
        <f aca="false">FALSE()</f>
        <v>0</v>
      </c>
      <c r="I474" s="131" t="b">
        <f aca="false">FALSE()</f>
        <v>0</v>
      </c>
      <c r="J474" s="130"/>
      <c r="K474" s="110"/>
      <c r="L474" s="83"/>
      <c r="M474" s="103"/>
      <c r="N474" s="103"/>
      <c r="O474" s="103"/>
      <c r="P474" s="103"/>
      <c r="Q474" s="103"/>
      <c r="R474" s="83"/>
      <c r="S474" s="103"/>
      <c r="T474" s="103"/>
      <c r="U474" s="103"/>
    </row>
    <row r="475" customFormat="false" ht="22.5" hidden="false" customHeight="true" outlineLevel="0" collapsed="false">
      <c r="A475" s="99"/>
      <c r="B475" s="99"/>
      <c r="C475" s="99"/>
      <c r="D475" s="121"/>
      <c r="E475" s="99"/>
      <c r="F475" s="124" t="str">
        <f aca="false">IF(E475="CONTADO", 4%, IF(E475="TARJETA / CHEQUE", 3%, IF(OR(E475="FINANCIADO", E475="MCP"), 2.5%, "")))</f>
        <v/>
      </c>
      <c r="G475" s="121" t="str">
        <f aca="false">IF(F475="", "", F475*D475)</f>
        <v/>
      </c>
      <c r="H475" s="132" t="b">
        <f aca="false">FALSE()</f>
        <v>0</v>
      </c>
      <c r="I475" s="132" t="b">
        <f aca="false">FALSE()</f>
        <v>0</v>
      </c>
      <c r="J475" s="126"/>
      <c r="K475" s="99"/>
      <c r="L475" s="83"/>
      <c r="M475" s="103"/>
      <c r="N475" s="103"/>
      <c r="O475" s="103"/>
      <c r="P475" s="103"/>
      <c r="Q475" s="103"/>
      <c r="R475" s="83"/>
      <c r="S475" s="103"/>
      <c r="T475" s="103"/>
      <c r="U475" s="103"/>
    </row>
    <row r="476" customFormat="false" ht="22.5" hidden="false" customHeight="true" outlineLevel="0" collapsed="false">
      <c r="A476" s="110"/>
      <c r="B476" s="110"/>
      <c r="C476" s="110"/>
      <c r="D476" s="122"/>
      <c r="E476" s="110"/>
      <c r="F476" s="128" t="str">
        <f aca="false">IF(E476="CONTADO", 4%, IF(E476="TARJETA / CHEQUE", 3%, IF(OR(E476="FINANCIADO", E476="MCP"), 2.5%, "")))</f>
        <v/>
      </c>
      <c r="G476" s="122" t="str">
        <f aca="false">IF(F476="", "", F476*D476)</f>
        <v/>
      </c>
      <c r="H476" s="131" t="b">
        <f aca="false">FALSE()</f>
        <v>0</v>
      </c>
      <c r="I476" s="131" t="b">
        <f aca="false">FALSE()</f>
        <v>0</v>
      </c>
      <c r="J476" s="130"/>
      <c r="K476" s="110"/>
      <c r="L476" s="83"/>
      <c r="M476" s="103"/>
      <c r="N476" s="103"/>
      <c r="O476" s="103"/>
      <c r="P476" s="103"/>
      <c r="Q476" s="103"/>
      <c r="R476" s="83"/>
      <c r="S476" s="103"/>
      <c r="T476" s="103"/>
      <c r="U476" s="103"/>
    </row>
    <row r="477" customFormat="false" ht="22.5" hidden="false" customHeight="true" outlineLevel="0" collapsed="false">
      <c r="A477" s="99"/>
      <c r="B477" s="99"/>
      <c r="C477" s="99"/>
      <c r="D477" s="121"/>
      <c r="E477" s="99"/>
      <c r="F477" s="124" t="str">
        <f aca="false">IF(E477="CONTADO", 4%, IF(E477="TARJETA / CHEQUE", 3%, IF(OR(E477="FINANCIADO", E477="MCP"), 2.5%, "")))</f>
        <v/>
      </c>
      <c r="G477" s="121" t="str">
        <f aca="false">IF(F477="", "", F477*D477)</f>
        <v/>
      </c>
      <c r="H477" s="132" t="b">
        <f aca="false">FALSE()</f>
        <v>0</v>
      </c>
      <c r="I477" s="132" t="b">
        <f aca="false">FALSE()</f>
        <v>0</v>
      </c>
      <c r="J477" s="126"/>
      <c r="K477" s="99"/>
      <c r="L477" s="83"/>
      <c r="M477" s="103"/>
      <c r="N477" s="103"/>
      <c r="O477" s="103"/>
      <c r="P477" s="103"/>
      <c r="Q477" s="103"/>
      <c r="R477" s="83"/>
      <c r="S477" s="103"/>
      <c r="T477" s="103"/>
      <c r="U477" s="103"/>
    </row>
    <row r="478" customFormat="false" ht="22.5" hidden="false" customHeight="true" outlineLevel="0" collapsed="false">
      <c r="A478" s="110"/>
      <c r="B478" s="110"/>
      <c r="C478" s="110"/>
      <c r="D478" s="122"/>
      <c r="E478" s="110"/>
      <c r="F478" s="128" t="str">
        <f aca="false">IF(E478="CONTADO", 4%, IF(E478="TARJETA / CHEQUE", 3%, IF(OR(E478="FINANCIADO", E478="MCP"), 2.5%, "")))</f>
        <v/>
      </c>
      <c r="G478" s="122" t="str">
        <f aca="false">IF(F478="", "", F478*D478)</f>
        <v/>
      </c>
      <c r="H478" s="131" t="b">
        <f aca="false">FALSE()</f>
        <v>0</v>
      </c>
      <c r="I478" s="131" t="b">
        <f aca="false">FALSE()</f>
        <v>0</v>
      </c>
      <c r="J478" s="130"/>
      <c r="K478" s="110"/>
      <c r="L478" s="83"/>
      <c r="M478" s="103"/>
      <c r="N478" s="103"/>
      <c r="O478" s="103"/>
      <c r="P478" s="103"/>
      <c r="Q478" s="103"/>
      <c r="R478" s="83"/>
      <c r="S478" s="103"/>
      <c r="T478" s="103"/>
      <c r="U478" s="103"/>
    </row>
    <row r="479" customFormat="false" ht="22.5" hidden="false" customHeight="true" outlineLevel="0" collapsed="false">
      <c r="A479" s="99"/>
      <c r="B479" s="99"/>
      <c r="C479" s="99"/>
      <c r="D479" s="121"/>
      <c r="E479" s="99"/>
      <c r="F479" s="124" t="str">
        <f aca="false">IF(E479="CONTADO", 4%, IF(E479="TARJETA / CHEQUE", 3%, IF(OR(E479="FINANCIADO", E479="MCP"), 2.5%, "")))</f>
        <v/>
      </c>
      <c r="G479" s="121" t="str">
        <f aca="false">IF(F479="", "", F479*D479)</f>
        <v/>
      </c>
      <c r="H479" s="132" t="b">
        <f aca="false">FALSE()</f>
        <v>0</v>
      </c>
      <c r="I479" s="132" t="b">
        <f aca="false">FALSE()</f>
        <v>0</v>
      </c>
      <c r="J479" s="126"/>
      <c r="K479" s="99"/>
      <c r="L479" s="83"/>
      <c r="M479" s="103"/>
      <c r="N479" s="103"/>
      <c r="O479" s="103"/>
      <c r="P479" s="103"/>
      <c r="Q479" s="103"/>
      <c r="R479" s="83"/>
      <c r="S479" s="103"/>
      <c r="T479" s="103"/>
      <c r="U479" s="103"/>
    </row>
    <row r="480" customFormat="false" ht="22.5" hidden="false" customHeight="true" outlineLevel="0" collapsed="false">
      <c r="A480" s="110"/>
      <c r="B480" s="110"/>
      <c r="C480" s="110"/>
      <c r="D480" s="122"/>
      <c r="E480" s="110"/>
      <c r="F480" s="128" t="str">
        <f aca="false">IF(E480="CONTADO", 4%, IF(E480="TARJETA / CHEQUE", 3%, IF(OR(E480="FINANCIADO", E480="MCP"), 2.5%, "")))</f>
        <v/>
      </c>
      <c r="G480" s="122" t="str">
        <f aca="false">IF(F480="", "", F480*D480)</f>
        <v/>
      </c>
      <c r="H480" s="131" t="b">
        <f aca="false">FALSE()</f>
        <v>0</v>
      </c>
      <c r="I480" s="131" t="b">
        <f aca="false">FALSE()</f>
        <v>0</v>
      </c>
      <c r="J480" s="130"/>
      <c r="K480" s="110"/>
      <c r="L480" s="83"/>
      <c r="M480" s="103"/>
      <c r="N480" s="103"/>
      <c r="O480" s="103"/>
      <c r="P480" s="103"/>
      <c r="Q480" s="103"/>
      <c r="R480" s="83"/>
      <c r="S480" s="103"/>
      <c r="T480" s="103"/>
      <c r="U480" s="103"/>
    </row>
    <row r="481" customFormat="false" ht="22.5" hidden="false" customHeight="true" outlineLevel="0" collapsed="false">
      <c r="A481" s="99"/>
      <c r="B481" s="99"/>
      <c r="C481" s="99"/>
      <c r="D481" s="121"/>
      <c r="E481" s="99"/>
      <c r="F481" s="124" t="str">
        <f aca="false">IF(E481="CONTADO", 4%, IF(E481="TARJETA / CHEQUE", 3%, IF(OR(E481="FINANCIADO", E481="MCP"), 2.5%, "")))</f>
        <v/>
      </c>
      <c r="G481" s="121" t="str">
        <f aca="false">IF(F481="", "", F481*D481)</f>
        <v/>
      </c>
      <c r="H481" s="132" t="b">
        <f aca="false">FALSE()</f>
        <v>0</v>
      </c>
      <c r="I481" s="132" t="b">
        <f aca="false">FALSE()</f>
        <v>0</v>
      </c>
      <c r="J481" s="126"/>
      <c r="K481" s="99"/>
      <c r="L481" s="83"/>
      <c r="M481" s="103"/>
      <c r="N481" s="103"/>
      <c r="O481" s="103"/>
      <c r="P481" s="103"/>
      <c r="Q481" s="103"/>
      <c r="R481" s="83"/>
      <c r="S481" s="103"/>
      <c r="T481" s="103"/>
      <c r="U481" s="103"/>
    </row>
    <row r="482" customFormat="false" ht="22.5" hidden="false" customHeight="true" outlineLevel="0" collapsed="false">
      <c r="A482" s="110"/>
      <c r="B482" s="110"/>
      <c r="C482" s="110"/>
      <c r="D482" s="122"/>
      <c r="E482" s="110"/>
      <c r="F482" s="128" t="str">
        <f aca="false">IF(E482="CONTADO", 4%, IF(E482="TARJETA / CHEQUE", 3%, IF(OR(E482="FINANCIADO", E482="MCP"), 2.5%, "")))</f>
        <v/>
      </c>
      <c r="G482" s="122" t="str">
        <f aca="false">IF(F482="", "", F482*D482)</f>
        <v/>
      </c>
      <c r="H482" s="131" t="b">
        <f aca="false">FALSE()</f>
        <v>0</v>
      </c>
      <c r="I482" s="131" t="b">
        <f aca="false">FALSE()</f>
        <v>0</v>
      </c>
      <c r="J482" s="130"/>
      <c r="K482" s="110"/>
      <c r="L482" s="83"/>
      <c r="M482" s="103"/>
      <c r="N482" s="103"/>
      <c r="O482" s="103"/>
      <c r="P482" s="103"/>
      <c r="Q482" s="103"/>
      <c r="R482" s="83"/>
      <c r="S482" s="103"/>
      <c r="T482" s="103"/>
      <c r="U482" s="103"/>
    </row>
    <row r="483" customFormat="false" ht="22.5" hidden="false" customHeight="true" outlineLevel="0" collapsed="false">
      <c r="A483" s="99"/>
      <c r="B483" s="99"/>
      <c r="C483" s="99"/>
      <c r="D483" s="121"/>
      <c r="E483" s="99"/>
      <c r="F483" s="124" t="str">
        <f aca="false">IF(E483="CONTADO", 4%, IF(E483="TARJETA / CHEQUE", 3%, IF(OR(E483="FINANCIADO", E483="MCP"), 2.5%, "")))</f>
        <v/>
      </c>
      <c r="G483" s="121" t="str">
        <f aca="false">IF(F483="", "", F483*D483)</f>
        <v/>
      </c>
      <c r="H483" s="132" t="b">
        <f aca="false">FALSE()</f>
        <v>0</v>
      </c>
      <c r="I483" s="132" t="b">
        <f aca="false">FALSE()</f>
        <v>0</v>
      </c>
      <c r="J483" s="126"/>
      <c r="K483" s="99"/>
      <c r="L483" s="83"/>
      <c r="M483" s="103"/>
      <c r="N483" s="103"/>
      <c r="O483" s="103"/>
      <c r="P483" s="103"/>
      <c r="Q483" s="103"/>
      <c r="R483" s="83"/>
      <c r="S483" s="103"/>
      <c r="T483" s="103"/>
      <c r="U483" s="103"/>
    </row>
    <row r="484" customFormat="false" ht="22.5" hidden="false" customHeight="true" outlineLevel="0" collapsed="false">
      <c r="A484" s="110"/>
      <c r="B484" s="110"/>
      <c r="C484" s="110"/>
      <c r="D484" s="122"/>
      <c r="E484" s="110"/>
      <c r="F484" s="128" t="str">
        <f aca="false">IF(E484="CONTADO", 4%, IF(E484="TARJETA / CHEQUE", 3%, IF(OR(E484="FINANCIADO", E484="MCP"), 2.5%, "")))</f>
        <v/>
      </c>
      <c r="G484" s="122" t="str">
        <f aca="false">IF(F484="", "", F484*D484)</f>
        <v/>
      </c>
      <c r="H484" s="131" t="b">
        <f aca="false">FALSE()</f>
        <v>0</v>
      </c>
      <c r="I484" s="131" t="b">
        <f aca="false">FALSE()</f>
        <v>0</v>
      </c>
      <c r="J484" s="130"/>
      <c r="K484" s="110"/>
      <c r="L484" s="83"/>
      <c r="M484" s="103"/>
      <c r="N484" s="103"/>
      <c r="O484" s="103"/>
      <c r="P484" s="103"/>
      <c r="Q484" s="103"/>
      <c r="R484" s="83"/>
      <c r="S484" s="103"/>
      <c r="T484" s="103"/>
      <c r="U484" s="103"/>
    </row>
    <row r="485" customFormat="false" ht="22.5" hidden="false" customHeight="true" outlineLevel="0" collapsed="false">
      <c r="A485" s="99"/>
      <c r="B485" s="99"/>
      <c r="C485" s="99"/>
      <c r="D485" s="121"/>
      <c r="E485" s="99"/>
      <c r="F485" s="124" t="str">
        <f aca="false">IF(E485="CONTADO", 4%, IF(E485="TARJETA / CHEQUE", 3%, IF(OR(E485="FINANCIADO", E485="MCP"), 2.5%, "")))</f>
        <v/>
      </c>
      <c r="G485" s="121" t="str">
        <f aca="false">IF(F485="", "", F485*D485)</f>
        <v/>
      </c>
      <c r="H485" s="132" t="b">
        <f aca="false">FALSE()</f>
        <v>0</v>
      </c>
      <c r="I485" s="132" t="b">
        <f aca="false">FALSE()</f>
        <v>0</v>
      </c>
      <c r="J485" s="126"/>
      <c r="K485" s="99"/>
      <c r="L485" s="83"/>
      <c r="M485" s="103"/>
      <c r="N485" s="103"/>
      <c r="O485" s="103"/>
      <c r="P485" s="103"/>
      <c r="Q485" s="103"/>
      <c r="R485" s="83"/>
      <c r="S485" s="103"/>
      <c r="T485" s="103"/>
      <c r="U485" s="103"/>
    </row>
    <row r="486" customFormat="false" ht="22.5" hidden="false" customHeight="true" outlineLevel="0" collapsed="false">
      <c r="A486" s="110"/>
      <c r="B486" s="110"/>
      <c r="C486" s="110"/>
      <c r="D486" s="122"/>
      <c r="E486" s="110"/>
      <c r="F486" s="128" t="str">
        <f aca="false">IF(E486="CONTADO", 4%, IF(E486="TARJETA / CHEQUE", 3%, IF(OR(E486="FINANCIADO", E486="MCP"), 2.5%, "")))</f>
        <v/>
      </c>
      <c r="G486" s="122" t="str">
        <f aca="false">IF(F486="", "", F486*D486)</f>
        <v/>
      </c>
      <c r="H486" s="131" t="b">
        <f aca="false">FALSE()</f>
        <v>0</v>
      </c>
      <c r="I486" s="131" t="b">
        <f aca="false">FALSE()</f>
        <v>0</v>
      </c>
      <c r="J486" s="130"/>
      <c r="K486" s="110"/>
      <c r="L486" s="83"/>
      <c r="M486" s="103"/>
      <c r="N486" s="103"/>
      <c r="O486" s="103"/>
      <c r="P486" s="103"/>
      <c r="Q486" s="103"/>
      <c r="R486" s="83"/>
      <c r="S486" s="103"/>
      <c r="T486" s="103"/>
      <c r="U486" s="103"/>
    </row>
    <row r="487" customFormat="false" ht="22.5" hidden="false" customHeight="true" outlineLevel="0" collapsed="false">
      <c r="A487" s="99"/>
      <c r="B487" s="99"/>
      <c r="C487" s="99"/>
      <c r="D487" s="121"/>
      <c r="E487" s="99"/>
      <c r="F487" s="124" t="str">
        <f aca="false">IF(E487="CONTADO", 4%, IF(E487="TARJETA / CHEQUE", 3%, IF(OR(E487="FINANCIADO", E487="MCP"), 2.5%, "")))</f>
        <v/>
      </c>
      <c r="G487" s="121" t="str">
        <f aca="false">IF(F487="", "", F487*D487)</f>
        <v/>
      </c>
      <c r="H487" s="132" t="b">
        <f aca="false">FALSE()</f>
        <v>0</v>
      </c>
      <c r="I487" s="132" t="b">
        <f aca="false">FALSE()</f>
        <v>0</v>
      </c>
      <c r="J487" s="126"/>
      <c r="K487" s="99"/>
      <c r="L487" s="83"/>
      <c r="M487" s="103"/>
      <c r="N487" s="103"/>
      <c r="O487" s="103"/>
      <c r="P487" s="103"/>
      <c r="Q487" s="103"/>
      <c r="R487" s="83"/>
      <c r="S487" s="103"/>
      <c r="T487" s="103"/>
      <c r="U487" s="103"/>
    </row>
    <row r="488" customFormat="false" ht="22.5" hidden="false" customHeight="true" outlineLevel="0" collapsed="false">
      <c r="A488" s="110"/>
      <c r="B488" s="110"/>
      <c r="C488" s="110"/>
      <c r="D488" s="122"/>
      <c r="E488" s="110"/>
      <c r="F488" s="128" t="str">
        <f aca="false">IF(E488="CONTADO", 4%, IF(E488="TARJETA / CHEQUE", 3%, IF(OR(E488="FINANCIADO", E488="MCP"), 2.5%, "")))</f>
        <v/>
      </c>
      <c r="G488" s="122" t="str">
        <f aca="false">IF(F488="", "", F488*D488)</f>
        <v/>
      </c>
      <c r="H488" s="131" t="b">
        <f aca="false">FALSE()</f>
        <v>0</v>
      </c>
      <c r="I488" s="131" t="b">
        <f aca="false">FALSE()</f>
        <v>0</v>
      </c>
      <c r="J488" s="130"/>
      <c r="K488" s="110"/>
      <c r="L488" s="83"/>
      <c r="M488" s="103"/>
      <c r="N488" s="103"/>
      <c r="O488" s="103"/>
      <c r="P488" s="103"/>
      <c r="Q488" s="103"/>
      <c r="R488" s="83"/>
      <c r="S488" s="103"/>
      <c r="T488" s="103"/>
      <c r="U488" s="103"/>
    </row>
    <row r="489" customFormat="false" ht="22.5" hidden="false" customHeight="true" outlineLevel="0" collapsed="false">
      <c r="A489" s="99"/>
      <c r="B489" s="99"/>
      <c r="C489" s="99"/>
      <c r="D489" s="121"/>
      <c r="E489" s="99"/>
      <c r="F489" s="124" t="str">
        <f aca="false">IF(E489="CONTADO", 4%, IF(E489="TARJETA / CHEQUE", 3%, IF(OR(E489="FINANCIADO", E489="MCP"), 2.5%, "")))</f>
        <v/>
      </c>
      <c r="G489" s="121" t="str">
        <f aca="false">IF(F489="", "", F489*D489)</f>
        <v/>
      </c>
      <c r="H489" s="132" t="b">
        <f aca="false">FALSE()</f>
        <v>0</v>
      </c>
      <c r="I489" s="132" t="b">
        <f aca="false">FALSE()</f>
        <v>0</v>
      </c>
      <c r="J489" s="126"/>
      <c r="K489" s="99"/>
      <c r="L489" s="83"/>
      <c r="M489" s="103"/>
      <c r="N489" s="103"/>
      <c r="O489" s="103"/>
      <c r="P489" s="103"/>
      <c r="Q489" s="103"/>
      <c r="R489" s="83"/>
      <c r="S489" s="103"/>
      <c r="T489" s="103"/>
      <c r="U489" s="103"/>
    </row>
    <row r="490" customFormat="false" ht="22.5" hidden="false" customHeight="true" outlineLevel="0" collapsed="false">
      <c r="A490" s="110"/>
      <c r="B490" s="110"/>
      <c r="C490" s="110"/>
      <c r="D490" s="122"/>
      <c r="E490" s="110"/>
      <c r="F490" s="128" t="str">
        <f aca="false">IF(E490="CONTADO", 4%, IF(E490="TARJETA / CHEQUE", 3%, IF(OR(E490="FINANCIADO", E490="MCP"), 2.5%, "")))</f>
        <v/>
      </c>
      <c r="G490" s="122" t="str">
        <f aca="false">IF(F490="", "", F490*D490)</f>
        <v/>
      </c>
      <c r="H490" s="131" t="b">
        <f aca="false">FALSE()</f>
        <v>0</v>
      </c>
      <c r="I490" s="131" t="b">
        <f aca="false">FALSE()</f>
        <v>0</v>
      </c>
      <c r="J490" s="130"/>
      <c r="K490" s="110"/>
      <c r="L490" s="83"/>
      <c r="M490" s="103"/>
      <c r="N490" s="103"/>
      <c r="O490" s="103"/>
      <c r="P490" s="103"/>
      <c r="Q490" s="103"/>
      <c r="R490" s="83"/>
      <c r="S490" s="103"/>
      <c r="T490" s="103"/>
      <c r="U490" s="103"/>
    </row>
    <row r="491" customFormat="false" ht="22.5" hidden="false" customHeight="true" outlineLevel="0" collapsed="false">
      <c r="A491" s="99"/>
      <c r="B491" s="99"/>
      <c r="C491" s="99"/>
      <c r="D491" s="121"/>
      <c r="E491" s="99"/>
      <c r="F491" s="124" t="str">
        <f aca="false">IF(E491="CONTADO", 4%, IF(E491="TARJETA / CHEQUE", 3%, IF(OR(E491="FINANCIADO", E491="MCP"), 2.5%, "")))</f>
        <v/>
      </c>
      <c r="G491" s="121" t="str">
        <f aca="false">IF(F491="", "", F491*D491)</f>
        <v/>
      </c>
      <c r="H491" s="132" t="b">
        <f aca="false">FALSE()</f>
        <v>0</v>
      </c>
      <c r="I491" s="132" t="b">
        <f aca="false">FALSE()</f>
        <v>0</v>
      </c>
      <c r="J491" s="126"/>
      <c r="K491" s="99"/>
      <c r="L491" s="83"/>
      <c r="M491" s="103"/>
      <c r="N491" s="103"/>
      <c r="O491" s="103"/>
      <c r="P491" s="103"/>
      <c r="Q491" s="103"/>
      <c r="R491" s="83"/>
      <c r="S491" s="103"/>
      <c r="T491" s="103"/>
      <c r="U491" s="103"/>
    </row>
    <row r="492" customFormat="false" ht="22.5" hidden="false" customHeight="true" outlineLevel="0" collapsed="false">
      <c r="A492" s="110"/>
      <c r="B492" s="110"/>
      <c r="C492" s="110"/>
      <c r="D492" s="122"/>
      <c r="E492" s="110"/>
      <c r="F492" s="128" t="str">
        <f aca="false">IF(E492="CONTADO", 4%, IF(E492="TARJETA / CHEQUE", 3%, IF(OR(E492="FINANCIADO", E492="MCP"), 2.5%, "")))</f>
        <v/>
      </c>
      <c r="G492" s="122" t="str">
        <f aca="false">IF(F492="", "", F492*D492)</f>
        <v/>
      </c>
      <c r="H492" s="131" t="b">
        <f aca="false">FALSE()</f>
        <v>0</v>
      </c>
      <c r="I492" s="131" t="b">
        <f aca="false">FALSE()</f>
        <v>0</v>
      </c>
      <c r="J492" s="130"/>
      <c r="K492" s="110"/>
      <c r="L492" s="83"/>
      <c r="M492" s="103"/>
      <c r="N492" s="103"/>
      <c r="O492" s="103"/>
      <c r="P492" s="103"/>
      <c r="Q492" s="103"/>
      <c r="R492" s="83"/>
      <c r="S492" s="103"/>
      <c r="T492" s="103"/>
      <c r="U492" s="103"/>
    </row>
    <row r="493" customFormat="false" ht="22.5" hidden="false" customHeight="true" outlineLevel="0" collapsed="false">
      <c r="A493" s="99"/>
      <c r="B493" s="99"/>
      <c r="C493" s="99"/>
      <c r="D493" s="121"/>
      <c r="E493" s="99"/>
      <c r="F493" s="124" t="str">
        <f aca="false">IF(E493="CONTADO", 4%, IF(E493="TARJETA / CHEQUE", 3%, IF(OR(E493="FINANCIADO", E493="MCP"), 2.5%, "")))</f>
        <v/>
      </c>
      <c r="G493" s="121" t="str">
        <f aca="false">IF(F493="", "", F493*D493)</f>
        <v/>
      </c>
      <c r="H493" s="132" t="b">
        <f aca="false">FALSE()</f>
        <v>0</v>
      </c>
      <c r="I493" s="132" t="b">
        <f aca="false">FALSE()</f>
        <v>0</v>
      </c>
      <c r="J493" s="126"/>
      <c r="K493" s="99"/>
      <c r="L493" s="83"/>
      <c r="M493" s="103"/>
      <c r="N493" s="103"/>
      <c r="O493" s="103"/>
      <c r="P493" s="103"/>
      <c r="Q493" s="103"/>
      <c r="R493" s="83"/>
      <c r="S493" s="103"/>
      <c r="T493" s="103"/>
      <c r="U493" s="103"/>
    </row>
    <row r="494" customFormat="false" ht="22.5" hidden="false" customHeight="true" outlineLevel="0" collapsed="false">
      <c r="A494" s="110"/>
      <c r="B494" s="110"/>
      <c r="C494" s="110"/>
      <c r="D494" s="122"/>
      <c r="E494" s="110"/>
      <c r="F494" s="128" t="str">
        <f aca="false">IF(E494="CONTADO", 4%, IF(E494="TARJETA / CHEQUE", 3%, IF(OR(E494="FINANCIADO", E494="MCP"), 2.5%, "")))</f>
        <v/>
      </c>
      <c r="G494" s="122" t="str">
        <f aca="false">IF(F494="", "", F494*D494)</f>
        <v/>
      </c>
      <c r="H494" s="131" t="b">
        <f aca="false">FALSE()</f>
        <v>0</v>
      </c>
      <c r="I494" s="131" t="b">
        <f aca="false">FALSE()</f>
        <v>0</v>
      </c>
      <c r="J494" s="130"/>
      <c r="K494" s="110"/>
      <c r="L494" s="83"/>
      <c r="M494" s="103"/>
      <c r="N494" s="103"/>
      <c r="O494" s="103"/>
      <c r="P494" s="103"/>
      <c r="Q494" s="103"/>
      <c r="R494" s="83"/>
      <c r="S494" s="103"/>
      <c r="T494" s="103"/>
      <c r="U494" s="103"/>
    </row>
    <row r="495" customFormat="false" ht="22.5" hidden="false" customHeight="true" outlineLevel="0" collapsed="false">
      <c r="A495" s="99"/>
      <c r="B495" s="99"/>
      <c r="C495" s="99"/>
      <c r="D495" s="121"/>
      <c r="E495" s="99"/>
      <c r="F495" s="124" t="str">
        <f aca="false">IF(E495="CONTADO", 4%, IF(E495="TARJETA / CHEQUE", 3%, IF(OR(E495="FINANCIADO", E495="MCP"), 2.5%, "")))</f>
        <v/>
      </c>
      <c r="G495" s="121" t="str">
        <f aca="false">IF(F495="", "", F495*D495)</f>
        <v/>
      </c>
      <c r="H495" s="132" t="b">
        <f aca="false">FALSE()</f>
        <v>0</v>
      </c>
      <c r="I495" s="132" t="b">
        <f aca="false">FALSE()</f>
        <v>0</v>
      </c>
      <c r="J495" s="126"/>
      <c r="K495" s="99"/>
      <c r="L495" s="83"/>
      <c r="M495" s="103"/>
      <c r="N495" s="103"/>
      <c r="O495" s="103"/>
      <c r="P495" s="103"/>
      <c r="Q495" s="103"/>
      <c r="R495" s="83"/>
      <c r="S495" s="103"/>
      <c r="T495" s="103"/>
      <c r="U495" s="103"/>
    </row>
    <row r="496" customFormat="false" ht="22.5" hidden="false" customHeight="true" outlineLevel="0" collapsed="false">
      <c r="A496" s="110"/>
      <c r="B496" s="110"/>
      <c r="C496" s="110"/>
      <c r="D496" s="122"/>
      <c r="E496" s="110"/>
      <c r="F496" s="128" t="str">
        <f aca="false">IF(E496="CONTADO", 4%, IF(E496="TARJETA / CHEQUE", 3%, IF(OR(E496="FINANCIADO", E496="MCP"), 2.5%, "")))</f>
        <v/>
      </c>
      <c r="G496" s="122" t="str">
        <f aca="false">IF(F496="", "", F496*D496)</f>
        <v/>
      </c>
      <c r="H496" s="131" t="b">
        <f aca="false">FALSE()</f>
        <v>0</v>
      </c>
      <c r="I496" s="131" t="b">
        <f aca="false">FALSE()</f>
        <v>0</v>
      </c>
      <c r="J496" s="130"/>
      <c r="K496" s="110"/>
      <c r="L496" s="83"/>
      <c r="M496" s="103"/>
      <c r="N496" s="103"/>
      <c r="O496" s="103"/>
      <c r="P496" s="103"/>
      <c r="Q496" s="103"/>
      <c r="R496" s="83"/>
      <c r="S496" s="103"/>
      <c r="T496" s="103"/>
      <c r="U496" s="103"/>
    </row>
    <row r="497" customFormat="false" ht="22.5" hidden="false" customHeight="true" outlineLevel="0" collapsed="false">
      <c r="A497" s="99"/>
      <c r="B497" s="99"/>
      <c r="C497" s="99"/>
      <c r="D497" s="121"/>
      <c r="E497" s="99"/>
      <c r="F497" s="124" t="str">
        <f aca="false">IF(E497="CONTADO", 4%, IF(E497="TARJETA / CHEQUE", 3%, IF(OR(E497="FINANCIADO", E497="MCP"), 2.5%, "")))</f>
        <v/>
      </c>
      <c r="G497" s="121" t="str">
        <f aca="false">IF(F497="", "", F497*D497)</f>
        <v/>
      </c>
      <c r="H497" s="132" t="b">
        <f aca="false">FALSE()</f>
        <v>0</v>
      </c>
      <c r="I497" s="132" t="b">
        <f aca="false">FALSE()</f>
        <v>0</v>
      </c>
      <c r="J497" s="126"/>
      <c r="K497" s="99"/>
      <c r="L497" s="83"/>
      <c r="M497" s="103"/>
      <c r="N497" s="103"/>
      <c r="O497" s="103"/>
      <c r="P497" s="103"/>
      <c r="Q497" s="103"/>
      <c r="R497" s="83"/>
      <c r="S497" s="103"/>
      <c r="T497" s="103"/>
      <c r="U497" s="103"/>
    </row>
    <row r="498" customFormat="false" ht="22.5" hidden="false" customHeight="true" outlineLevel="0" collapsed="false">
      <c r="A498" s="110"/>
      <c r="B498" s="110"/>
      <c r="C498" s="110"/>
      <c r="D498" s="122"/>
      <c r="E498" s="110"/>
      <c r="F498" s="128" t="str">
        <f aca="false">IF(E498="CONTADO", 4%, IF(E498="TARJETA / CHEQUE", 3%, IF(OR(E498="FINANCIADO", E498="MCP"), 2.5%, "")))</f>
        <v/>
      </c>
      <c r="G498" s="122" t="str">
        <f aca="false">IF(F498="", "", F498*D498)</f>
        <v/>
      </c>
      <c r="H498" s="131" t="b">
        <f aca="false">FALSE()</f>
        <v>0</v>
      </c>
      <c r="I498" s="131" t="b">
        <f aca="false">FALSE()</f>
        <v>0</v>
      </c>
      <c r="J498" s="130"/>
      <c r="K498" s="110"/>
      <c r="L498" s="83"/>
      <c r="M498" s="103"/>
      <c r="N498" s="103"/>
      <c r="O498" s="103"/>
      <c r="P498" s="103"/>
      <c r="Q498" s="103"/>
      <c r="R498" s="83"/>
      <c r="S498" s="103"/>
      <c r="T498" s="103"/>
      <c r="U498" s="103"/>
    </row>
    <row r="499" customFormat="false" ht="22.5" hidden="false" customHeight="true" outlineLevel="0" collapsed="false">
      <c r="A499" s="99"/>
      <c r="B499" s="99"/>
      <c r="C499" s="99"/>
      <c r="D499" s="121"/>
      <c r="E499" s="99"/>
      <c r="F499" s="124" t="str">
        <f aca="false">IF(E499="CONTADO", 4%, IF(E499="TARJETA / CHEQUE", 3%, IF(OR(E499="FINANCIADO", E499="MCP"), 2.5%, "")))</f>
        <v/>
      </c>
      <c r="G499" s="121" t="str">
        <f aca="false">IF(F499="", "", F499*D499)</f>
        <v/>
      </c>
      <c r="H499" s="132" t="b">
        <f aca="false">FALSE()</f>
        <v>0</v>
      </c>
      <c r="I499" s="132" t="b">
        <f aca="false">FALSE()</f>
        <v>0</v>
      </c>
      <c r="J499" s="126"/>
      <c r="K499" s="99"/>
      <c r="L499" s="83"/>
      <c r="M499" s="103"/>
      <c r="N499" s="103"/>
      <c r="O499" s="103"/>
      <c r="P499" s="103"/>
      <c r="Q499" s="103"/>
      <c r="R499" s="83"/>
      <c r="S499" s="103"/>
      <c r="T499" s="103"/>
      <c r="U499" s="103"/>
    </row>
    <row r="500" customFormat="false" ht="22.5" hidden="false" customHeight="true" outlineLevel="0" collapsed="false">
      <c r="A500" s="110"/>
      <c r="B500" s="110"/>
      <c r="C500" s="110"/>
      <c r="D500" s="122"/>
      <c r="E500" s="110"/>
      <c r="F500" s="128" t="str">
        <f aca="false">IF(E500="CONTADO", 4%, IF(E500="TARJETA / CHEQUE", 3%, IF(OR(E500="FINANCIADO", E500="MCP"), 2.5%, "")))</f>
        <v/>
      </c>
      <c r="G500" s="122" t="str">
        <f aca="false">IF(F500="", "", F500*D500)</f>
        <v/>
      </c>
      <c r="H500" s="131" t="b">
        <f aca="false">FALSE()</f>
        <v>0</v>
      </c>
      <c r="I500" s="131" t="b">
        <f aca="false">FALSE()</f>
        <v>0</v>
      </c>
      <c r="J500" s="130"/>
      <c r="K500" s="110"/>
      <c r="L500" s="83"/>
      <c r="M500" s="103"/>
      <c r="N500" s="103"/>
      <c r="O500" s="103"/>
      <c r="P500" s="103"/>
      <c r="Q500" s="103"/>
      <c r="R500" s="83"/>
      <c r="S500" s="103"/>
      <c r="T500" s="103"/>
      <c r="U500" s="103"/>
    </row>
    <row r="501" customFormat="false" ht="22.5" hidden="false" customHeight="true" outlineLevel="0" collapsed="false">
      <c r="A501" s="99"/>
      <c r="B501" s="99"/>
      <c r="C501" s="99"/>
      <c r="D501" s="121"/>
      <c r="E501" s="99"/>
      <c r="F501" s="124" t="str">
        <f aca="false">IF(E501="CONTADO", 4%, IF(E501="TARJETA / CHEQUE", 3%, IF(OR(E501="FINANCIADO", E501="MCP"), 2.5%, "")))</f>
        <v/>
      </c>
      <c r="G501" s="121" t="str">
        <f aca="false">IF(F501="", "", F501*D501)</f>
        <v/>
      </c>
      <c r="H501" s="132" t="b">
        <f aca="false">FALSE()</f>
        <v>0</v>
      </c>
      <c r="I501" s="132" t="b">
        <f aca="false">FALSE()</f>
        <v>0</v>
      </c>
      <c r="J501" s="126"/>
      <c r="K501" s="99"/>
      <c r="L501" s="83"/>
      <c r="M501" s="103"/>
      <c r="N501" s="103"/>
      <c r="O501" s="103"/>
      <c r="P501" s="103"/>
      <c r="Q501" s="103"/>
      <c r="R501" s="83"/>
      <c r="S501" s="103"/>
      <c r="T501" s="103"/>
      <c r="U501" s="103"/>
    </row>
    <row r="502" customFormat="false" ht="22.5" hidden="false" customHeight="true" outlineLevel="0" collapsed="false">
      <c r="A502" s="110"/>
      <c r="B502" s="110"/>
      <c r="C502" s="110"/>
      <c r="D502" s="122"/>
      <c r="E502" s="110"/>
      <c r="F502" s="128" t="str">
        <f aca="false">IF(E502="CONTADO", 4%, IF(E502="TARJETA / CHEQUE", 3%, IF(OR(E502="FINANCIADO", E502="MCP"), 2.5%, "")))</f>
        <v/>
      </c>
      <c r="G502" s="122" t="str">
        <f aca="false">IF(F502="", "", F502*D502)</f>
        <v/>
      </c>
      <c r="H502" s="131" t="b">
        <f aca="false">FALSE()</f>
        <v>0</v>
      </c>
      <c r="I502" s="131" t="b">
        <f aca="false">FALSE()</f>
        <v>0</v>
      </c>
      <c r="J502" s="130"/>
      <c r="K502" s="110"/>
      <c r="L502" s="83"/>
      <c r="M502" s="103"/>
      <c r="N502" s="103"/>
      <c r="O502" s="103"/>
      <c r="P502" s="103"/>
      <c r="Q502" s="103"/>
      <c r="R502" s="83"/>
      <c r="S502" s="103"/>
      <c r="T502" s="103"/>
      <c r="U502" s="103"/>
    </row>
    <row r="503" customFormat="false" ht="22.5" hidden="false" customHeight="true" outlineLevel="0" collapsed="false">
      <c r="A503" s="99"/>
      <c r="B503" s="99"/>
      <c r="C503" s="99"/>
      <c r="D503" s="121"/>
      <c r="E503" s="99"/>
      <c r="F503" s="124" t="str">
        <f aca="false">IF(E503="CONTADO", 4%, IF(E503="TARJETA / CHEQUE", 3%, IF(OR(E503="FINANCIADO", E503="MCP"), 2.5%, "")))</f>
        <v/>
      </c>
      <c r="G503" s="121" t="str">
        <f aca="false">IF(F503="", "", F503*D503)</f>
        <v/>
      </c>
      <c r="H503" s="132" t="b">
        <f aca="false">FALSE()</f>
        <v>0</v>
      </c>
      <c r="I503" s="132" t="b">
        <f aca="false">FALSE()</f>
        <v>0</v>
      </c>
      <c r="J503" s="126"/>
      <c r="K503" s="99"/>
      <c r="L503" s="83"/>
      <c r="M503" s="103"/>
      <c r="N503" s="103"/>
      <c r="O503" s="103"/>
      <c r="P503" s="103"/>
      <c r="Q503" s="103"/>
      <c r="R503" s="83"/>
      <c r="S503" s="103"/>
      <c r="T503" s="103"/>
      <c r="U503" s="103"/>
    </row>
    <row r="504" customFormat="false" ht="22.5" hidden="false" customHeight="true" outlineLevel="0" collapsed="false">
      <c r="A504" s="110"/>
      <c r="B504" s="110"/>
      <c r="C504" s="110"/>
      <c r="D504" s="122"/>
      <c r="E504" s="110"/>
      <c r="F504" s="128" t="str">
        <f aca="false">IF(E504="CONTADO", 4%, IF(E504="TARJETA / CHEQUE", 3%, IF(OR(E504="FINANCIADO", E504="MCP"), 2.5%, "")))</f>
        <v/>
      </c>
      <c r="G504" s="122" t="str">
        <f aca="false">IF(F504="", "", F504*D504)</f>
        <v/>
      </c>
      <c r="H504" s="131" t="b">
        <f aca="false">FALSE()</f>
        <v>0</v>
      </c>
      <c r="I504" s="131" t="b">
        <f aca="false">FALSE()</f>
        <v>0</v>
      </c>
      <c r="J504" s="130"/>
      <c r="K504" s="110"/>
      <c r="L504" s="83"/>
      <c r="M504" s="103"/>
      <c r="N504" s="103"/>
      <c r="O504" s="103"/>
      <c r="P504" s="103"/>
      <c r="Q504" s="103"/>
      <c r="R504" s="83"/>
      <c r="S504" s="103"/>
      <c r="T504" s="103"/>
      <c r="U504" s="103"/>
    </row>
    <row r="505" customFormat="false" ht="22.5" hidden="false" customHeight="true" outlineLevel="0" collapsed="false">
      <c r="A505" s="99"/>
      <c r="B505" s="99"/>
      <c r="C505" s="99"/>
      <c r="D505" s="121"/>
      <c r="E505" s="99"/>
      <c r="F505" s="124" t="str">
        <f aca="false">IF(E505="CONTADO", 4%, IF(E505="TARJETA / CHEQUE", 3%, IF(OR(E505="FINANCIADO", E505="MCP"), 2.5%, "")))</f>
        <v/>
      </c>
      <c r="G505" s="121" t="str">
        <f aca="false">IF(F505="", "", F505*D505)</f>
        <v/>
      </c>
      <c r="H505" s="132" t="b">
        <f aca="false">FALSE()</f>
        <v>0</v>
      </c>
      <c r="I505" s="132" t="b">
        <f aca="false">FALSE()</f>
        <v>0</v>
      </c>
      <c r="J505" s="126"/>
      <c r="K505" s="99"/>
      <c r="L505" s="83"/>
      <c r="M505" s="103"/>
      <c r="N505" s="103"/>
      <c r="O505" s="103"/>
      <c r="P505" s="103"/>
      <c r="Q505" s="103"/>
      <c r="R505" s="83"/>
      <c r="S505" s="103"/>
      <c r="T505" s="103"/>
      <c r="U505" s="103"/>
    </row>
    <row r="506" customFormat="false" ht="22.5" hidden="false" customHeight="true" outlineLevel="0" collapsed="false">
      <c r="A506" s="110"/>
      <c r="B506" s="110"/>
      <c r="C506" s="110"/>
      <c r="D506" s="122"/>
      <c r="E506" s="110"/>
      <c r="F506" s="128" t="str">
        <f aca="false">IF(E506="CONTADO", 4%, IF(E506="TARJETA / CHEQUE", 3%, IF(OR(E506="FINANCIADO", E506="MCP"), 2.5%, "")))</f>
        <v/>
      </c>
      <c r="G506" s="122" t="str">
        <f aca="false">IF(F506="", "", F506*D506)</f>
        <v/>
      </c>
      <c r="H506" s="131" t="b">
        <f aca="false">FALSE()</f>
        <v>0</v>
      </c>
      <c r="I506" s="131" t="b">
        <f aca="false">FALSE()</f>
        <v>0</v>
      </c>
      <c r="J506" s="130"/>
      <c r="K506" s="110"/>
      <c r="L506" s="83"/>
      <c r="M506" s="103"/>
      <c r="N506" s="103"/>
      <c r="O506" s="103"/>
      <c r="P506" s="103"/>
      <c r="Q506" s="103"/>
      <c r="R506" s="83"/>
      <c r="S506" s="103"/>
      <c r="T506" s="103"/>
      <c r="U506" s="103"/>
    </row>
    <row r="507" customFormat="false" ht="22.5" hidden="false" customHeight="true" outlineLevel="0" collapsed="false">
      <c r="A507" s="99"/>
      <c r="B507" s="99"/>
      <c r="C507" s="99"/>
      <c r="D507" s="121"/>
      <c r="E507" s="99"/>
      <c r="F507" s="124" t="str">
        <f aca="false">IF(E507="CONTADO", 4%, IF(E507="TARJETA / CHEQUE", 3%, IF(OR(E507="FINANCIADO", E507="MCP"), 2.5%, "")))</f>
        <v/>
      </c>
      <c r="G507" s="121" t="str">
        <f aca="false">IF(F507="", "", F507*D507)</f>
        <v/>
      </c>
      <c r="H507" s="132" t="b">
        <f aca="false">FALSE()</f>
        <v>0</v>
      </c>
      <c r="I507" s="132" t="b">
        <f aca="false">FALSE()</f>
        <v>0</v>
      </c>
      <c r="J507" s="126"/>
      <c r="K507" s="99"/>
      <c r="L507" s="83"/>
      <c r="M507" s="103"/>
      <c r="N507" s="103"/>
      <c r="O507" s="103"/>
      <c r="P507" s="103"/>
      <c r="Q507" s="103"/>
      <c r="R507" s="83"/>
      <c r="S507" s="103"/>
      <c r="T507" s="103"/>
      <c r="U507" s="103"/>
    </row>
    <row r="508" customFormat="false" ht="22.5" hidden="false" customHeight="true" outlineLevel="0" collapsed="false">
      <c r="A508" s="110"/>
      <c r="B508" s="110"/>
      <c r="C508" s="110"/>
      <c r="D508" s="122"/>
      <c r="E508" s="110"/>
      <c r="F508" s="128" t="str">
        <f aca="false">IF(E508="CONTADO", 4%, IF(E508="TARJETA / CHEQUE", 3%, IF(OR(E508="FINANCIADO", E508="MCP"), 2.5%, "")))</f>
        <v/>
      </c>
      <c r="G508" s="122" t="str">
        <f aca="false">IF(F508="", "", F508*D508)</f>
        <v/>
      </c>
      <c r="H508" s="131" t="b">
        <f aca="false">FALSE()</f>
        <v>0</v>
      </c>
      <c r="I508" s="131" t="b">
        <f aca="false">FALSE()</f>
        <v>0</v>
      </c>
      <c r="J508" s="130"/>
      <c r="K508" s="110"/>
      <c r="L508" s="83"/>
      <c r="M508" s="103"/>
      <c r="N508" s="103"/>
      <c r="O508" s="103"/>
      <c r="P508" s="103"/>
      <c r="Q508" s="103"/>
      <c r="R508" s="83"/>
      <c r="S508" s="103"/>
      <c r="T508" s="103"/>
      <c r="U508" s="103"/>
    </row>
    <row r="509" customFormat="false" ht="22.5" hidden="false" customHeight="true" outlineLevel="0" collapsed="false">
      <c r="A509" s="99"/>
      <c r="B509" s="99"/>
      <c r="C509" s="99"/>
      <c r="D509" s="121"/>
      <c r="E509" s="99"/>
      <c r="F509" s="124" t="str">
        <f aca="false">IF(E509="CONTADO", 4%, IF(E509="TARJETA / CHEQUE", 3%, IF(OR(E509="FINANCIADO", E509="MCP"), 2.5%, "")))</f>
        <v/>
      </c>
      <c r="G509" s="121" t="str">
        <f aca="false">IF(F509="", "", F509*D509)</f>
        <v/>
      </c>
      <c r="H509" s="132" t="b">
        <f aca="false">FALSE()</f>
        <v>0</v>
      </c>
      <c r="I509" s="132" t="b">
        <f aca="false">FALSE()</f>
        <v>0</v>
      </c>
      <c r="J509" s="126"/>
      <c r="K509" s="99"/>
      <c r="L509" s="83"/>
      <c r="M509" s="103"/>
      <c r="N509" s="103"/>
      <c r="O509" s="103"/>
      <c r="P509" s="103"/>
      <c r="Q509" s="103"/>
      <c r="R509" s="83"/>
      <c r="S509" s="103"/>
      <c r="T509" s="103"/>
      <c r="U509" s="103"/>
    </row>
    <row r="510" customFormat="false" ht="22.5" hidden="false" customHeight="true" outlineLevel="0" collapsed="false">
      <c r="A510" s="110"/>
      <c r="B510" s="110"/>
      <c r="C510" s="110"/>
      <c r="D510" s="122"/>
      <c r="E510" s="110"/>
      <c r="F510" s="128" t="str">
        <f aca="false">IF(E510="CONTADO", 4%, IF(E510="TARJETA / CHEQUE", 3%, IF(OR(E510="FINANCIADO", E510="MCP"), 2.5%, "")))</f>
        <v/>
      </c>
      <c r="G510" s="122" t="str">
        <f aca="false">IF(F510="", "", F510*D510)</f>
        <v/>
      </c>
      <c r="H510" s="131" t="b">
        <f aca="false">FALSE()</f>
        <v>0</v>
      </c>
      <c r="I510" s="131" t="b">
        <f aca="false">FALSE()</f>
        <v>0</v>
      </c>
      <c r="J510" s="130"/>
      <c r="K510" s="110"/>
      <c r="L510" s="83"/>
      <c r="M510" s="103"/>
      <c r="N510" s="103"/>
      <c r="O510" s="103"/>
      <c r="P510" s="103"/>
      <c r="Q510" s="103"/>
      <c r="R510" s="83"/>
      <c r="S510" s="103"/>
      <c r="T510" s="103"/>
      <c r="U510" s="103"/>
    </row>
    <row r="511" customFormat="false" ht="22.5" hidden="false" customHeight="true" outlineLevel="0" collapsed="false">
      <c r="A511" s="99"/>
      <c r="B511" s="99"/>
      <c r="C511" s="99"/>
      <c r="D511" s="121"/>
      <c r="E511" s="99"/>
      <c r="F511" s="124" t="str">
        <f aca="false">IF(E511="CONTADO", 4%, IF(E511="TARJETA / CHEQUE", 3%, IF(OR(E511="FINANCIADO", E511="MCP"), 2.5%, "")))</f>
        <v/>
      </c>
      <c r="G511" s="121" t="str">
        <f aca="false">IF(F511="", "", F511*D511)</f>
        <v/>
      </c>
      <c r="H511" s="132" t="b">
        <f aca="false">FALSE()</f>
        <v>0</v>
      </c>
      <c r="I511" s="132" t="b">
        <f aca="false">FALSE()</f>
        <v>0</v>
      </c>
      <c r="J511" s="126"/>
      <c r="K511" s="99"/>
      <c r="L511" s="83"/>
      <c r="M511" s="103"/>
      <c r="N511" s="103"/>
      <c r="O511" s="103"/>
      <c r="P511" s="103"/>
      <c r="Q511" s="103"/>
      <c r="R511" s="83"/>
      <c r="S511" s="103"/>
      <c r="T511" s="103"/>
      <c r="U511" s="103"/>
    </row>
    <row r="512" customFormat="false" ht="22.5" hidden="false" customHeight="true" outlineLevel="0" collapsed="false">
      <c r="A512" s="110"/>
      <c r="B512" s="110"/>
      <c r="C512" s="110"/>
      <c r="D512" s="122"/>
      <c r="E512" s="110"/>
      <c r="F512" s="128" t="str">
        <f aca="false">IF(E512="CONTADO", 4%, IF(E512="TARJETA / CHEQUE", 3%, IF(OR(E512="FINANCIADO", E512="MCP"), 2.5%, "")))</f>
        <v/>
      </c>
      <c r="G512" s="122" t="str">
        <f aca="false">IF(F512="", "", F512*D512)</f>
        <v/>
      </c>
      <c r="H512" s="131" t="b">
        <f aca="false">FALSE()</f>
        <v>0</v>
      </c>
      <c r="I512" s="131" t="b">
        <f aca="false">FALSE()</f>
        <v>0</v>
      </c>
      <c r="J512" s="130"/>
      <c r="K512" s="110"/>
      <c r="L512" s="83"/>
      <c r="M512" s="103"/>
      <c r="N512" s="103"/>
      <c r="O512" s="103"/>
      <c r="P512" s="103"/>
      <c r="Q512" s="103"/>
      <c r="R512" s="83"/>
      <c r="S512" s="103"/>
      <c r="T512" s="103"/>
      <c r="U512" s="103"/>
    </row>
    <row r="513" customFormat="false" ht="22.5" hidden="false" customHeight="true" outlineLevel="0" collapsed="false">
      <c r="A513" s="99"/>
      <c r="B513" s="99"/>
      <c r="C513" s="99"/>
      <c r="D513" s="121"/>
      <c r="E513" s="99"/>
      <c r="F513" s="124" t="str">
        <f aca="false">IF(E513="CONTADO", 4%, IF(E513="TARJETA / CHEQUE", 3%, IF(OR(E513="FINANCIADO", E513="MCP"), 2.5%, "")))</f>
        <v/>
      </c>
      <c r="G513" s="121" t="str">
        <f aca="false">IF(F513="", "", F513*D513)</f>
        <v/>
      </c>
      <c r="H513" s="132" t="b">
        <f aca="false">FALSE()</f>
        <v>0</v>
      </c>
      <c r="I513" s="132" t="b">
        <f aca="false">FALSE()</f>
        <v>0</v>
      </c>
      <c r="J513" s="126"/>
      <c r="K513" s="99"/>
      <c r="L513" s="83"/>
      <c r="M513" s="103"/>
      <c r="N513" s="103"/>
      <c r="O513" s="103"/>
      <c r="P513" s="103"/>
      <c r="Q513" s="103"/>
      <c r="R513" s="83"/>
      <c r="S513" s="103"/>
      <c r="T513" s="103"/>
      <c r="U513" s="103"/>
    </row>
    <row r="514" customFormat="false" ht="22.5" hidden="false" customHeight="true" outlineLevel="0" collapsed="false">
      <c r="A514" s="110"/>
      <c r="B514" s="110"/>
      <c r="C514" s="110"/>
      <c r="D514" s="122"/>
      <c r="E514" s="110"/>
      <c r="F514" s="128" t="str">
        <f aca="false">IF(E514="CONTADO", 4%, IF(E514="TARJETA / CHEQUE", 3%, IF(OR(E514="FINANCIADO", E514="MCP"), 2.5%, "")))</f>
        <v/>
      </c>
      <c r="G514" s="122" t="str">
        <f aca="false">IF(F514="", "", F514*D514)</f>
        <v/>
      </c>
      <c r="H514" s="131" t="b">
        <f aca="false">FALSE()</f>
        <v>0</v>
      </c>
      <c r="I514" s="131" t="b">
        <f aca="false">FALSE()</f>
        <v>0</v>
      </c>
      <c r="J514" s="130"/>
      <c r="K514" s="110"/>
      <c r="L514" s="83"/>
      <c r="M514" s="103"/>
      <c r="N514" s="103"/>
      <c r="O514" s="103"/>
      <c r="P514" s="103"/>
      <c r="Q514" s="103"/>
      <c r="R514" s="83"/>
      <c r="S514" s="103"/>
      <c r="T514" s="103"/>
      <c r="U514" s="103"/>
    </row>
    <row r="515" customFormat="false" ht="22.5" hidden="false" customHeight="true" outlineLevel="0" collapsed="false">
      <c r="A515" s="99"/>
      <c r="B515" s="99"/>
      <c r="C515" s="99"/>
      <c r="D515" s="121"/>
      <c r="E515" s="99"/>
      <c r="F515" s="124" t="str">
        <f aca="false">IF(E515="CONTADO", 4%, IF(E515="TARJETA / CHEQUE", 3%, IF(OR(E515="FINANCIADO", E515="MCP"), 2.5%, "")))</f>
        <v/>
      </c>
      <c r="G515" s="121" t="str">
        <f aca="false">IF(F515="", "", F515*D515)</f>
        <v/>
      </c>
      <c r="H515" s="132" t="b">
        <f aca="false">FALSE()</f>
        <v>0</v>
      </c>
      <c r="I515" s="132" t="b">
        <f aca="false">FALSE()</f>
        <v>0</v>
      </c>
      <c r="J515" s="126"/>
      <c r="K515" s="99"/>
      <c r="L515" s="83"/>
      <c r="M515" s="103"/>
      <c r="N515" s="103"/>
      <c r="O515" s="103"/>
      <c r="P515" s="103"/>
      <c r="Q515" s="103"/>
      <c r="R515" s="83"/>
      <c r="S515" s="103"/>
      <c r="T515" s="103"/>
      <c r="U515" s="103"/>
    </row>
    <row r="516" customFormat="false" ht="22.5" hidden="false" customHeight="true" outlineLevel="0" collapsed="false">
      <c r="A516" s="110"/>
      <c r="B516" s="110"/>
      <c r="C516" s="110"/>
      <c r="D516" s="122"/>
      <c r="E516" s="110"/>
      <c r="F516" s="128" t="str">
        <f aca="false">IF(E516="CONTADO", 4%, IF(E516="TARJETA / CHEQUE", 3%, IF(OR(E516="FINANCIADO", E516="MCP"), 2.5%, "")))</f>
        <v/>
      </c>
      <c r="G516" s="122" t="str">
        <f aca="false">IF(F516="", "", F516*D516)</f>
        <v/>
      </c>
      <c r="H516" s="131" t="b">
        <f aca="false">FALSE()</f>
        <v>0</v>
      </c>
      <c r="I516" s="131" t="b">
        <f aca="false">FALSE()</f>
        <v>0</v>
      </c>
      <c r="J516" s="130"/>
      <c r="K516" s="110"/>
      <c r="L516" s="83"/>
      <c r="M516" s="103"/>
      <c r="N516" s="103"/>
      <c r="O516" s="103"/>
      <c r="P516" s="103"/>
      <c r="Q516" s="103"/>
      <c r="R516" s="83"/>
      <c r="S516" s="103"/>
      <c r="T516" s="103"/>
      <c r="U516" s="103"/>
    </row>
    <row r="517" customFormat="false" ht="22.5" hidden="false" customHeight="true" outlineLevel="0" collapsed="false">
      <c r="A517" s="99"/>
      <c r="B517" s="99"/>
      <c r="C517" s="99"/>
      <c r="D517" s="121"/>
      <c r="E517" s="99"/>
      <c r="F517" s="124" t="str">
        <f aca="false">IF(E517="CONTADO", 4%, IF(E517="TARJETA / CHEQUE", 3%, IF(OR(E517="FINANCIADO", E517="MCP"), 2.5%, "")))</f>
        <v/>
      </c>
      <c r="G517" s="121" t="str">
        <f aca="false">IF(F517="", "", F517*D517)</f>
        <v/>
      </c>
      <c r="H517" s="132" t="b">
        <f aca="false">FALSE()</f>
        <v>0</v>
      </c>
      <c r="I517" s="132" t="b">
        <f aca="false">FALSE()</f>
        <v>0</v>
      </c>
      <c r="J517" s="126"/>
      <c r="K517" s="99"/>
      <c r="L517" s="83"/>
      <c r="M517" s="103"/>
      <c r="N517" s="103"/>
      <c r="O517" s="103"/>
      <c r="P517" s="103"/>
      <c r="Q517" s="103"/>
      <c r="R517" s="83"/>
      <c r="S517" s="103"/>
      <c r="T517" s="103"/>
      <c r="U517" s="103"/>
    </row>
    <row r="518" customFormat="false" ht="22.5" hidden="false" customHeight="true" outlineLevel="0" collapsed="false">
      <c r="A518" s="110"/>
      <c r="B518" s="110"/>
      <c r="C518" s="110"/>
      <c r="D518" s="122"/>
      <c r="E518" s="110"/>
      <c r="F518" s="128" t="str">
        <f aca="false">IF(E518="CONTADO", 4%, IF(E518="TARJETA / CHEQUE", 3%, IF(OR(E518="FINANCIADO", E518="MCP"), 2.5%, "")))</f>
        <v/>
      </c>
      <c r="G518" s="122" t="str">
        <f aca="false">IF(F518="", "", F518*D518)</f>
        <v/>
      </c>
      <c r="H518" s="131" t="b">
        <f aca="false">FALSE()</f>
        <v>0</v>
      </c>
      <c r="I518" s="131" t="b">
        <f aca="false">FALSE()</f>
        <v>0</v>
      </c>
      <c r="J518" s="130"/>
      <c r="K518" s="110"/>
      <c r="L518" s="83"/>
      <c r="M518" s="103"/>
      <c r="N518" s="103"/>
      <c r="O518" s="103"/>
      <c r="P518" s="103"/>
      <c r="Q518" s="103"/>
      <c r="R518" s="83"/>
      <c r="S518" s="103"/>
      <c r="T518" s="103"/>
      <c r="U518" s="103"/>
    </row>
    <row r="519" customFormat="false" ht="22.5" hidden="false" customHeight="true" outlineLevel="0" collapsed="false">
      <c r="A519" s="99"/>
      <c r="B519" s="99"/>
      <c r="C519" s="99"/>
      <c r="D519" s="121"/>
      <c r="E519" s="99"/>
      <c r="F519" s="124" t="str">
        <f aca="false">IF(E519="CONTADO", 4%, IF(E519="TARJETA / CHEQUE", 3%, IF(OR(E519="FINANCIADO", E519="MCP"), 2.5%, "")))</f>
        <v/>
      </c>
      <c r="G519" s="121" t="str">
        <f aca="false">IF(F519="", "", F519*D519)</f>
        <v/>
      </c>
      <c r="H519" s="132" t="b">
        <f aca="false">FALSE()</f>
        <v>0</v>
      </c>
      <c r="I519" s="132" t="b">
        <f aca="false">FALSE()</f>
        <v>0</v>
      </c>
      <c r="J519" s="126"/>
      <c r="K519" s="99"/>
      <c r="L519" s="83"/>
      <c r="M519" s="103"/>
      <c r="N519" s="103"/>
      <c r="O519" s="103"/>
      <c r="P519" s="103"/>
      <c r="Q519" s="103"/>
      <c r="R519" s="83"/>
      <c r="S519" s="103"/>
      <c r="T519" s="103"/>
      <c r="U519" s="103"/>
    </row>
    <row r="520" customFormat="false" ht="22.5" hidden="false" customHeight="true" outlineLevel="0" collapsed="false">
      <c r="A520" s="110"/>
      <c r="B520" s="110"/>
      <c r="C520" s="110"/>
      <c r="D520" s="122"/>
      <c r="E520" s="110"/>
      <c r="F520" s="128" t="str">
        <f aca="false">IF(E520="CONTADO", 4%, IF(E520="TARJETA / CHEQUE", 3%, IF(OR(E520="FINANCIADO", E520="MCP"), 2.5%, "")))</f>
        <v/>
      </c>
      <c r="G520" s="122" t="str">
        <f aca="false">IF(F520="", "", F520*D520)</f>
        <v/>
      </c>
      <c r="H520" s="131" t="b">
        <f aca="false">FALSE()</f>
        <v>0</v>
      </c>
      <c r="I520" s="131" t="b">
        <f aca="false">FALSE()</f>
        <v>0</v>
      </c>
      <c r="J520" s="130"/>
      <c r="K520" s="110"/>
      <c r="L520" s="83"/>
      <c r="M520" s="103"/>
      <c r="N520" s="103"/>
      <c r="O520" s="103"/>
      <c r="P520" s="103"/>
      <c r="Q520" s="103"/>
      <c r="R520" s="83"/>
      <c r="S520" s="103"/>
      <c r="T520" s="103"/>
      <c r="U520" s="103"/>
    </row>
    <row r="521" customFormat="false" ht="22.5" hidden="false" customHeight="true" outlineLevel="0" collapsed="false">
      <c r="A521" s="99"/>
      <c r="B521" s="99"/>
      <c r="C521" s="99"/>
      <c r="D521" s="121"/>
      <c r="E521" s="99"/>
      <c r="F521" s="124" t="str">
        <f aca="false">IF(E521="CONTADO", 4%, IF(E521="TARJETA / CHEQUE", 3%, IF(OR(E521="FINANCIADO", E521="MCP"), 2.5%, "")))</f>
        <v/>
      </c>
      <c r="G521" s="121" t="str">
        <f aca="false">IF(F521="", "", F521*D521)</f>
        <v/>
      </c>
      <c r="H521" s="132" t="b">
        <f aca="false">FALSE()</f>
        <v>0</v>
      </c>
      <c r="I521" s="132" t="b">
        <f aca="false">FALSE()</f>
        <v>0</v>
      </c>
      <c r="J521" s="126"/>
      <c r="K521" s="99"/>
      <c r="L521" s="83"/>
      <c r="M521" s="103"/>
      <c r="N521" s="103"/>
      <c r="O521" s="103"/>
      <c r="P521" s="103"/>
      <c r="Q521" s="103"/>
      <c r="R521" s="83"/>
      <c r="S521" s="103"/>
      <c r="T521" s="103"/>
      <c r="U521" s="103"/>
    </row>
    <row r="522" customFormat="false" ht="22.5" hidden="false" customHeight="true" outlineLevel="0" collapsed="false">
      <c r="A522" s="110"/>
      <c r="B522" s="110"/>
      <c r="C522" s="110"/>
      <c r="D522" s="122"/>
      <c r="E522" s="110"/>
      <c r="F522" s="128" t="str">
        <f aca="false">IF(E522="CONTADO", 4%, IF(E522="TARJETA / CHEQUE", 3%, IF(OR(E522="FINANCIADO", E522="MCP"), 2.5%, "")))</f>
        <v/>
      </c>
      <c r="G522" s="122" t="str">
        <f aca="false">IF(F522="", "", F522*D522)</f>
        <v/>
      </c>
      <c r="H522" s="131" t="b">
        <f aca="false">FALSE()</f>
        <v>0</v>
      </c>
      <c r="I522" s="131" t="b">
        <f aca="false">FALSE()</f>
        <v>0</v>
      </c>
      <c r="J522" s="130"/>
      <c r="K522" s="110"/>
      <c r="L522" s="83"/>
      <c r="M522" s="103"/>
      <c r="N522" s="103"/>
      <c r="O522" s="103"/>
      <c r="P522" s="103"/>
      <c r="Q522" s="103"/>
      <c r="R522" s="83"/>
      <c r="S522" s="103"/>
      <c r="T522" s="103"/>
      <c r="U522" s="103"/>
    </row>
    <row r="523" customFormat="false" ht="22.5" hidden="false" customHeight="true" outlineLevel="0" collapsed="false">
      <c r="A523" s="99"/>
      <c r="B523" s="99"/>
      <c r="C523" s="99"/>
      <c r="D523" s="121"/>
      <c r="E523" s="99"/>
      <c r="F523" s="124" t="str">
        <f aca="false">IF(E523="CONTADO", 4%, IF(E523="TARJETA / CHEQUE", 3%, IF(OR(E523="FINANCIADO", E523="MCP"), 2.5%, "")))</f>
        <v/>
      </c>
      <c r="G523" s="121" t="str">
        <f aca="false">IF(F523="", "", F523*D523)</f>
        <v/>
      </c>
      <c r="H523" s="132" t="b">
        <f aca="false">FALSE()</f>
        <v>0</v>
      </c>
      <c r="I523" s="132" t="b">
        <f aca="false">FALSE()</f>
        <v>0</v>
      </c>
      <c r="J523" s="126"/>
      <c r="K523" s="99"/>
      <c r="L523" s="83"/>
      <c r="M523" s="103"/>
      <c r="N523" s="103"/>
      <c r="O523" s="103"/>
      <c r="P523" s="103"/>
      <c r="Q523" s="103"/>
      <c r="R523" s="83"/>
      <c r="S523" s="103"/>
      <c r="T523" s="103"/>
      <c r="U523" s="103"/>
    </row>
    <row r="524" customFormat="false" ht="22.5" hidden="false" customHeight="true" outlineLevel="0" collapsed="false">
      <c r="A524" s="110"/>
      <c r="B524" s="110"/>
      <c r="C524" s="110"/>
      <c r="D524" s="122"/>
      <c r="E524" s="110"/>
      <c r="F524" s="128" t="str">
        <f aca="false">IF(E524="CONTADO", 4%, IF(E524="TARJETA / CHEQUE", 3%, IF(OR(E524="FINANCIADO", E524="MCP"), 2.5%, "")))</f>
        <v/>
      </c>
      <c r="G524" s="122" t="str">
        <f aca="false">IF(F524="", "", F524*D524)</f>
        <v/>
      </c>
      <c r="H524" s="131" t="b">
        <f aca="false">FALSE()</f>
        <v>0</v>
      </c>
      <c r="I524" s="131" t="b">
        <f aca="false">FALSE()</f>
        <v>0</v>
      </c>
      <c r="J524" s="130"/>
      <c r="K524" s="110"/>
      <c r="L524" s="83"/>
      <c r="M524" s="103"/>
      <c r="N524" s="103"/>
      <c r="O524" s="103"/>
      <c r="P524" s="103"/>
      <c r="Q524" s="103"/>
      <c r="R524" s="83"/>
      <c r="S524" s="103"/>
      <c r="T524" s="103"/>
      <c r="U524" s="103"/>
    </row>
    <row r="525" customFormat="false" ht="22.5" hidden="false" customHeight="true" outlineLevel="0" collapsed="false">
      <c r="A525" s="99"/>
      <c r="B525" s="99"/>
      <c r="C525" s="99"/>
      <c r="D525" s="121"/>
      <c r="E525" s="99"/>
      <c r="F525" s="124" t="str">
        <f aca="false">IF(E525="CONTADO", 4%, IF(E525="TARJETA / CHEQUE", 3%, IF(OR(E525="FINANCIADO", E525="MCP"), 2.5%, "")))</f>
        <v/>
      </c>
      <c r="G525" s="121" t="str">
        <f aca="false">IF(F525="", "", F525*D525)</f>
        <v/>
      </c>
      <c r="H525" s="132" t="b">
        <f aca="false">FALSE()</f>
        <v>0</v>
      </c>
      <c r="I525" s="132" t="b">
        <f aca="false">FALSE()</f>
        <v>0</v>
      </c>
      <c r="J525" s="126"/>
      <c r="K525" s="99"/>
      <c r="L525" s="83"/>
      <c r="M525" s="103"/>
      <c r="N525" s="103"/>
      <c r="O525" s="103"/>
      <c r="P525" s="103"/>
      <c r="Q525" s="103"/>
      <c r="R525" s="83"/>
      <c r="S525" s="103"/>
      <c r="T525" s="103"/>
      <c r="U525" s="103"/>
    </row>
    <row r="526" customFormat="false" ht="22.5" hidden="false" customHeight="true" outlineLevel="0" collapsed="false">
      <c r="A526" s="110"/>
      <c r="B526" s="110"/>
      <c r="C526" s="110"/>
      <c r="D526" s="122"/>
      <c r="E526" s="110"/>
      <c r="F526" s="128" t="str">
        <f aca="false">IF(E526="CONTADO", 4%, IF(E526="TARJETA / CHEQUE", 3%, IF(OR(E526="FINANCIADO", E526="MCP"), 2.5%, "")))</f>
        <v/>
      </c>
      <c r="G526" s="122" t="str">
        <f aca="false">IF(F526="", "", F526*D526)</f>
        <v/>
      </c>
      <c r="H526" s="131" t="b">
        <f aca="false">FALSE()</f>
        <v>0</v>
      </c>
      <c r="I526" s="131" t="b">
        <f aca="false">FALSE()</f>
        <v>0</v>
      </c>
      <c r="J526" s="130"/>
      <c r="K526" s="110"/>
      <c r="L526" s="83"/>
      <c r="M526" s="103"/>
      <c r="N526" s="103"/>
      <c r="O526" s="103"/>
      <c r="P526" s="103"/>
      <c r="Q526" s="103"/>
      <c r="R526" s="83"/>
      <c r="S526" s="103"/>
      <c r="T526" s="103"/>
      <c r="U526" s="103"/>
    </row>
    <row r="527" customFormat="false" ht="22.5" hidden="false" customHeight="true" outlineLevel="0" collapsed="false">
      <c r="A527" s="99"/>
      <c r="B527" s="99"/>
      <c r="C527" s="99"/>
      <c r="D527" s="121"/>
      <c r="E527" s="99"/>
      <c r="F527" s="124" t="str">
        <f aca="false">IF(E527="CONTADO", 4%, IF(E527="TARJETA / CHEQUE", 3%, IF(OR(E527="FINANCIADO", E527="MCP"), 2.5%, "")))</f>
        <v/>
      </c>
      <c r="G527" s="121" t="str">
        <f aca="false">IF(F527="", "", F527*D527)</f>
        <v/>
      </c>
      <c r="H527" s="132" t="b">
        <f aca="false">FALSE()</f>
        <v>0</v>
      </c>
      <c r="I527" s="132" t="b">
        <f aca="false">FALSE()</f>
        <v>0</v>
      </c>
      <c r="J527" s="126"/>
      <c r="K527" s="99"/>
      <c r="L527" s="83"/>
      <c r="M527" s="103"/>
      <c r="N527" s="103"/>
      <c r="O527" s="103"/>
      <c r="P527" s="103"/>
      <c r="Q527" s="103"/>
      <c r="R527" s="83"/>
      <c r="S527" s="103"/>
      <c r="T527" s="103"/>
      <c r="U527" s="103"/>
    </row>
    <row r="528" customFormat="false" ht="22.5" hidden="false" customHeight="true" outlineLevel="0" collapsed="false">
      <c r="A528" s="110"/>
      <c r="B528" s="110"/>
      <c r="C528" s="110"/>
      <c r="D528" s="122"/>
      <c r="E528" s="110"/>
      <c r="F528" s="128" t="str">
        <f aca="false">IF(E528="CONTADO", 4%, IF(E528="TARJETA / CHEQUE", 3%, IF(OR(E528="FINANCIADO", E528="MCP"), 2.5%, "")))</f>
        <v/>
      </c>
      <c r="G528" s="122" t="str">
        <f aca="false">IF(F528="", "", F528*D528)</f>
        <v/>
      </c>
      <c r="H528" s="131" t="b">
        <f aca="false">FALSE()</f>
        <v>0</v>
      </c>
      <c r="I528" s="131" t="b">
        <f aca="false">FALSE()</f>
        <v>0</v>
      </c>
      <c r="J528" s="130"/>
      <c r="K528" s="110"/>
      <c r="L528" s="83"/>
      <c r="M528" s="103"/>
      <c r="N528" s="103"/>
      <c r="O528" s="103"/>
      <c r="P528" s="103"/>
      <c r="Q528" s="103"/>
      <c r="R528" s="83"/>
      <c r="S528" s="103"/>
      <c r="T528" s="103"/>
      <c r="U528" s="103"/>
    </row>
    <row r="529" customFormat="false" ht="22.5" hidden="false" customHeight="true" outlineLevel="0" collapsed="false">
      <c r="A529" s="99"/>
      <c r="B529" s="99"/>
      <c r="C529" s="99"/>
      <c r="D529" s="121"/>
      <c r="E529" s="99"/>
      <c r="F529" s="124" t="str">
        <f aca="false">IF(E529="CONTADO", 4%, IF(E529="TARJETA / CHEQUE", 3%, IF(OR(E529="FINANCIADO", E529="MCP"), 2.5%, "")))</f>
        <v/>
      </c>
      <c r="G529" s="121" t="str">
        <f aca="false">IF(F529="", "", F529*D529)</f>
        <v/>
      </c>
      <c r="H529" s="132" t="b">
        <f aca="false">FALSE()</f>
        <v>0</v>
      </c>
      <c r="I529" s="132" t="b">
        <f aca="false">FALSE()</f>
        <v>0</v>
      </c>
      <c r="J529" s="126"/>
      <c r="K529" s="99"/>
      <c r="L529" s="83"/>
      <c r="M529" s="103"/>
      <c r="N529" s="103"/>
      <c r="O529" s="103"/>
      <c r="P529" s="103"/>
      <c r="Q529" s="103"/>
      <c r="R529" s="83"/>
      <c r="S529" s="103"/>
      <c r="T529" s="103"/>
      <c r="U529" s="103"/>
    </row>
    <row r="530" customFormat="false" ht="22.5" hidden="false" customHeight="true" outlineLevel="0" collapsed="false">
      <c r="A530" s="110"/>
      <c r="B530" s="110"/>
      <c r="C530" s="110"/>
      <c r="D530" s="122"/>
      <c r="E530" s="110"/>
      <c r="F530" s="128" t="str">
        <f aca="false">IF(E530="CONTADO", 4%, IF(E530="TARJETA / CHEQUE", 3%, IF(OR(E530="FINANCIADO", E530="MCP"), 2.5%, "")))</f>
        <v/>
      </c>
      <c r="G530" s="122" t="str">
        <f aca="false">IF(F530="", "", F530*D530)</f>
        <v/>
      </c>
      <c r="H530" s="131" t="b">
        <f aca="false">FALSE()</f>
        <v>0</v>
      </c>
      <c r="I530" s="131" t="b">
        <f aca="false">FALSE()</f>
        <v>0</v>
      </c>
      <c r="J530" s="130"/>
      <c r="K530" s="110"/>
      <c r="L530" s="83"/>
      <c r="M530" s="103"/>
      <c r="N530" s="103"/>
      <c r="O530" s="103"/>
      <c r="P530" s="103"/>
      <c r="Q530" s="103"/>
      <c r="R530" s="83"/>
      <c r="S530" s="103"/>
      <c r="T530" s="103"/>
      <c r="U530" s="103"/>
    </row>
    <row r="531" customFormat="false" ht="22.5" hidden="false" customHeight="true" outlineLevel="0" collapsed="false">
      <c r="A531" s="99"/>
      <c r="B531" s="99"/>
      <c r="C531" s="99"/>
      <c r="D531" s="121"/>
      <c r="E531" s="99"/>
      <c r="F531" s="124" t="str">
        <f aca="false">IF(E531="CONTADO", 4%, IF(E531="TARJETA / CHEQUE", 3%, IF(OR(E531="FINANCIADO", E531="MCP"), 2.5%, "")))</f>
        <v/>
      </c>
      <c r="G531" s="121" t="str">
        <f aca="false">IF(F531="", "", F531*D531)</f>
        <v/>
      </c>
      <c r="H531" s="132" t="b">
        <f aca="false">FALSE()</f>
        <v>0</v>
      </c>
      <c r="I531" s="132" t="b">
        <f aca="false">FALSE()</f>
        <v>0</v>
      </c>
      <c r="J531" s="126"/>
      <c r="K531" s="99"/>
      <c r="L531" s="83"/>
      <c r="M531" s="103"/>
      <c r="N531" s="103"/>
      <c r="O531" s="103"/>
      <c r="P531" s="103"/>
      <c r="Q531" s="103"/>
      <c r="R531" s="83"/>
      <c r="S531" s="103"/>
      <c r="T531" s="103"/>
      <c r="U531" s="103"/>
    </row>
    <row r="532" customFormat="false" ht="22.5" hidden="false" customHeight="true" outlineLevel="0" collapsed="false">
      <c r="A532" s="110"/>
      <c r="B532" s="110"/>
      <c r="C532" s="110"/>
      <c r="D532" s="122"/>
      <c r="E532" s="110"/>
      <c r="F532" s="128" t="str">
        <f aca="false">IF(E532="CONTADO", 4%, IF(E532="TARJETA / CHEQUE", 3%, IF(OR(E532="FINANCIADO", E532="MCP"), 2.5%, "")))</f>
        <v/>
      </c>
      <c r="G532" s="122" t="str">
        <f aca="false">IF(F532="", "", F532*D532)</f>
        <v/>
      </c>
      <c r="H532" s="131" t="b">
        <f aca="false">FALSE()</f>
        <v>0</v>
      </c>
      <c r="I532" s="131" t="b">
        <f aca="false">FALSE()</f>
        <v>0</v>
      </c>
      <c r="J532" s="130"/>
      <c r="K532" s="110"/>
      <c r="L532" s="83"/>
      <c r="M532" s="103"/>
      <c r="N532" s="103"/>
      <c r="O532" s="103"/>
      <c r="P532" s="103"/>
      <c r="Q532" s="103"/>
      <c r="R532" s="83"/>
      <c r="S532" s="103"/>
      <c r="T532" s="103"/>
      <c r="U532" s="103"/>
    </row>
    <row r="533" customFormat="false" ht="22.5" hidden="false" customHeight="true" outlineLevel="0" collapsed="false">
      <c r="A533" s="99"/>
      <c r="B533" s="99"/>
      <c r="C533" s="99"/>
      <c r="D533" s="121"/>
      <c r="E533" s="99"/>
      <c r="F533" s="124" t="str">
        <f aca="false">IF(E533="CONTADO", 4%, IF(E533="TARJETA / CHEQUE", 3%, IF(OR(E533="FINANCIADO", E533="MCP"), 2.5%, "")))</f>
        <v/>
      </c>
      <c r="G533" s="121" t="str">
        <f aca="false">IF(F533="", "", F533*D533)</f>
        <v/>
      </c>
      <c r="H533" s="132" t="b">
        <f aca="false">FALSE()</f>
        <v>0</v>
      </c>
      <c r="I533" s="132" t="b">
        <f aca="false">FALSE()</f>
        <v>0</v>
      </c>
      <c r="J533" s="126"/>
      <c r="K533" s="99"/>
      <c r="L533" s="83"/>
      <c r="M533" s="103"/>
      <c r="N533" s="103"/>
      <c r="O533" s="103"/>
      <c r="P533" s="103"/>
      <c r="Q533" s="103"/>
      <c r="R533" s="83"/>
      <c r="S533" s="103"/>
      <c r="T533" s="103"/>
      <c r="U533" s="103"/>
    </row>
    <row r="534" customFormat="false" ht="22.5" hidden="false" customHeight="true" outlineLevel="0" collapsed="false">
      <c r="A534" s="110"/>
      <c r="B534" s="110"/>
      <c r="C534" s="110"/>
      <c r="D534" s="122"/>
      <c r="E534" s="110"/>
      <c r="F534" s="128" t="str">
        <f aca="false">IF(E534="CONTADO", 4%, IF(E534="TARJETA / CHEQUE", 3%, IF(OR(E534="FINANCIADO", E534="MCP"), 2.5%, "")))</f>
        <v/>
      </c>
      <c r="G534" s="122" t="str">
        <f aca="false">IF(F534="", "", F534*D534)</f>
        <v/>
      </c>
      <c r="H534" s="131" t="b">
        <f aca="false">FALSE()</f>
        <v>0</v>
      </c>
      <c r="I534" s="131" t="b">
        <f aca="false">FALSE()</f>
        <v>0</v>
      </c>
      <c r="J534" s="130"/>
      <c r="K534" s="110"/>
      <c r="L534" s="83"/>
      <c r="M534" s="103"/>
      <c r="N534" s="103"/>
      <c r="O534" s="103"/>
      <c r="P534" s="103"/>
      <c r="Q534" s="103"/>
      <c r="R534" s="83"/>
      <c r="S534" s="103"/>
      <c r="T534" s="103"/>
      <c r="U534" s="103"/>
    </row>
    <row r="535" customFormat="false" ht="22.5" hidden="false" customHeight="true" outlineLevel="0" collapsed="false">
      <c r="A535" s="99"/>
      <c r="B535" s="99"/>
      <c r="C535" s="99"/>
      <c r="D535" s="121"/>
      <c r="E535" s="99"/>
      <c r="F535" s="124" t="str">
        <f aca="false">IF(E535="CONTADO", 4%, IF(E535="TARJETA / CHEQUE", 3%, IF(OR(E535="FINANCIADO", E535="MCP"), 2.5%, "")))</f>
        <v/>
      </c>
      <c r="G535" s="121" t="str">
        <f aca="false">IF(F535="", "", F535*D535)</f>
        <v/>
      </c>
      <c r="H535" s="132" t="b">
        <f aca="false">FALSE()</f>
        <v>0</v>
      </c>
      <c r="I535" s="132" t="b">
        <f aca="false">FALSE()</f>
        <v>0</v>
      </c>
      <c r="J535" s="126"/>
      <c r="K535" s="99"/>
      <c r="L535" s="83"/>
      <c r="M535" s="103"/>
      <c r="N535" s="103"/>
      <c r="O535" s="103"/>
      <c r="P535" s="103"/>
      <c r="Q535" s="103"/>
      <c r="R535" s="83"/>
      <c r="S535" s="103"/>
      <c r="T535" s="103"/>
      <c r="U535" s="103"/>
    </row>
    <row r="536" customFormat="false" ht="22.5" hidden="false" customHeight="true" outlineLevel="0" collapsed="false">
      <c r="A536" s="110"/>
      <c r="B536" s="110"/>
      <c r="C536" s="110"/>
      <c r="D536" s="122"/>
      <c r="E536" s="110"/>
      <c r="F536" s="128" t="str">
        <f aca="false">IF(E536="CONTADO", 4%, IF(E536="TARJETA / CHEQUE", 3%, IF(OR(E536="FINANCIADO", E536="MCP"), 2.5%, "")))</f>
        <v/>
      </c>
      <c r="G536" s="122" t="str">
        <f aca="false">IF(F536="", "", F536*D536)</f>
        <v/>
      </c>
      <c r="H536" s="131" t="b">
        <f aca="false">FALSE()</f>
        <v>0</v>
      </c>
      <c r="I536" s="131" t="b">
        <f aca="false">FALSE()</f>
        <v>0</v>
      </c>
      <c r="J536" s="130"/>
      <c r="K536" s="110"/>
      <c r="L536" s="83"/>
      <c r="M536" s="103"/>
      <c r="N536" s="103"/>
      <c r="O536" s="103"/>
      <c r="P536" s="103"/>
      <c r="Q536" s="103"/>
      <c r="R536" s="83"/>
      <c r="S536" s="103"/>
      <c r="T536" s="103"/>
      <c r="U536" s="103"/>
    </row>
    <row r="537" customFormat="false" ht="22.5" hidden="false" customHeight="true" outlineLevel="0" collapsed="false">
      <c r="A537" s="99"/>
      <c r="B537" s="99"/>
      <c r="C537" s="99"/>
      <c r="D537" s="121"/>
      <c r="E537" s="99"/>
      <c r="F537" s="124" t="str">
        <f aca="false">IF(E537="CONTADO", 4%, IF(E537="TARJETA / CHEQUE", 3%, IF(OR(E537="FINANCIADO", E537="MCP"), 2.5%, "")))</f>
        <v/>
      </c>
      <c r="G537" s="121" t="str">
        <f aca="false">IF(F537="", "", F537*D537)</f>
        <v/>
      </c>
      <c r="H537" s="132" t="b">
        <f aca="false">FALSE()</f>
        <v>0</v>
      </c>
      <c r="I537" s="132" t="b">
        <f aca="false">FALSE()</f>
        <v>0</v>
      </c>
      <c r="J537" s="126"/>
      <c r="K537" s="99"/>
      <c r="L537" s="83"/>
      <c r="M537" s="103"/>
      <c r="N537" s="103"/>
      <c r="O537" s="103"/>
      <c r="P537" s="103"/>
      <c r="Q537" s="103"/>
      <c r="R537" s="83"/>
      <c r="S537" s="103"/>
      <c r="T537" s="103"/>
      <c r="U537" s="103"/>
    </row>
    <row r="538" customFormat="false" ht="22.5" hidden="false" customHeight="true" outlineLevel="0" collapsed="false">
      <c r="A538" s="110"/>
      <c r="B538" s="110"/>
      <c r="C538" s="110"/>
      <c r="D538" s="122"/>
      <c r="E538" s="110"/>
      <c r="F538" s="128" t="str">
        <f aca="false">IF(E538="CONTADO", 4%, IF(E538="TARJETA / CHEQUE", 3%, IF(OR(E538="FINANCIADO", E538="MCP"), 2.5%, "")))</f>
        <v/>
      </c>
      <c r="G538" s="122" t="str">
        <f aca="false">IF(F538="", "", F538*D538)</f>
        <v/>
      </c>
      <c r="H538" s="131" t="b">
        <f aca="false">FALSE()</f>
        <v>0</v>
      </c>
      <c r="I538" s="131" t="b">
        <f aca="false">FALSE()</f>
        <v>0</v>
      </c>
      <c r="J538" s="130"/>
      <c r="K538" s="110"/>
      <c r="L538" s="83"/>
      <c r="M538" s="103"/>
      <c r="N538" s="103"/>
      <c r="O538" s="103"/>
      <c r="P538" s="103"/>
      <c r="Q538" s="103"/>
      <c r="R538" s="83"/>
      <c r="S538" s="103"/>
      <c r="T538" s="103"/>
      <c r="U538" s="103"/>
    </row>
    <row r="539" customFormat="false" ht="22.5" hidden="false" customHeight="true" outlineLevel="0" collapsed="false">
      <c r="A539" s="99"/>
      <c r="B539" s="99"/>
      <c r="C539" s="99"/>
      <c r="D539" s="121"/>
      <c r="E539" s="99"/>
      <c r="F539" s="124" t="str">
        <f aca="false">IF(E539="CONTADO", 4%, IF(E539="TARJETA / CHEQUE", 3%, IF(OR(E539="FINANCIADO", E539="MCP"), 2.5%, "")))</f>
        <v/>
      </c>
      <c r="G539" s="121" t="str">
        <f aca="false">IF(F539="", "", F539*D539)</f>
        <v/>
      </c>
      <c r="H539" s="132" t="b">
        <f aca="false">FALSE()</f>
        <v>0</v>
      </c>
      <c r="I539" s="132" t="b">
        <f aca="false">FALSE()</f>
        <v>0</v>
      </c>
      <c r="J539" s="126"/>
      <c r="K539" s="99"/>
      <c r="L539" s="83"/>
      <c r="M539" s="103"/>
      <c r="N539" s="103"/>
      <c r="O539" s="103"/>
      <c r="P539" s="103"/>
      <c r="Q539" s="103"/>
      <c r="R539" s="83"/>
      <c r="S539" s="103"/>
      <c r="T539" s="103"/>
      <c r="U539" s="103"/>
    </row>
    <row r="540" customFormat="false" ht="22.5" hidden="false" customHeight="true" outlineLevel="0" collapsed="false">
      <c r="A540" s="110"/>
      <c r="B540" s="110"/>
      <c r="C540" s="110"/>
      <c r="D540" s="122"/>
      <c r="E540" s="110"/>
      <c r="F540" s="128" t="str">
        <f aca="false">IF(E540="CONTADO", 4%, IF(E540="TARJETA / CHEQUE", 3%, IF(OR(E540="FINANCIADO", E540="MCP"), 2.5%, "")))</f>
        <v/>
      </c>
      <c r="G540" s="122" t="str">
        <f aca="false">IF(F540="", "", F540*D540)</f>
        <v/>
      </c>
      <c r="H540" s="131" t="b">
        <f aca="false">FALSE()</f>
        <v>0</v>
      </c>
      <c r="I540" s="131" t="b">
        <f aca="false">FALSE()</f>
        <v>0</v>
      </c>
      <c r="J540" s="130"/>
      <c r="K540" s="110"/>
      <c r="L540" s="83"/>
      <c r="M540" s="103"/>
      <c r="N540" s="103"/>
      <c r="O540" s="103"/>
      <c r="P540" s="103"/>
      <c r="Q540" s="103"/>
      <c r="R540" s="83"/>
      <c r="S540" s="103"/>
      <c r="T540" s="103"/>
      <c r="U540" s="103"/>
    </row>
    <row r="541" customFormat="false" ht="22.5" hidden="false" customHeight="true" outlineLevel="0" collapsed="false">
      <c r="A541" s="99"/>
      <c r="B541" s="99"/>
      <c r="C541" s="99"/>
      <c r="D541" s="121"/>
      <c r="E541" s="99"/>
      <c r="F541" s="124" t="str">
        <f aca="false">IF(E541="CONTADO", 4%, IF(E541="TARJETA / CHEQUE", 3%, IF(OR(E541="FINANCIADO", E541="MCP"), 2.5%, "")))</f>
        <v/>
      </c>
      <c r="G541" s="121" t="str">
        <f aca="false">IF(F541="", "", F541*D541)</f>
        <v/>
      </c>
      <c r="H541" s="132" t="b">
        <f aca="false">FALSE()</f>
        <v>0</v>
      </c>
      <c r="I541" s="132" t="b">
        <f aca="false">FALSE()</f>
        <v>0</v>
      </c>
      <c r="J541" s="126"/>
      <c r="K541" s="99"/>
      <c r="L541" s="83"/>
      <c r="M541" s="103"/>
      <c r="N541" s="103"/>
      <c r="O541" s="103"/>
      <c r="P541" s="103"/>
      <c r="Q541" s="103"/>
      <c r="R541" s="83"/>
      <c r="S541" s="103"/>
      <c r="T541" s="103"/>
      <c r="U541" s="103"/>
    </row>
    <row r="542" customFormat="false" ht="22.5" hidden="false" customHeight="true" outlineLevel="0" collapsed="false">
      <c r="A542" s="110"/>
      <c r="B542" s="110"/>
      <c r="C542" s="110"/>
      <c r="D542" s="122"/>
      <c r="E542" s="110"/>
      <c r="F542" s="128" t="str">
        <f aca="false">IF(E542="CONTADO", 4%, IF(E542="TARJETA / CHEQUE", 3%, IF(OR(E542="FINANCIADO", E542="MCP"), 2.5%, "")))</f>
        <v/>
      </c>
      <c r="G542" s="122" t="str">
        <f aca="false">IF(F542="", "", F542*D542)</f>
        <v/>
      </c>
      <c r="H542" s="131" t="b">
        <f aca="false">FALSE()</f>
        <v>0</v>
      </c>
      <c r="I542" s="131" t="b">
        <f aca="false">FALSE()</f>
        <v>0</v>
      </c>
      <c r="J542" s="130"/>
      <c r="K542" s="110"/>
      <c r="L542" s="83"/>
      <c r="M542" s="103"/>
      <c r="N542" s="103"/>
      <c r="O542" s="103"/>
      <c r="P542" s="103"/>
      <c r="Q542" s="103"/>
      <c r="R542" s="83"/>
      <c r="S542" s="103"/>
      <c r="T542" s="103"/>
      <c r="U542" s="103"/>
    </row>
    <row r="543" customFormat="false" ht="22.5" hidden="false" customHeight="true" outlineLevel="0" collapsed="false">
      <c r="A543" s="99"/>
      <c r="B543" s="99"/>
      <c r="C543" s="99"/>
      <c r="D543" s="121"/>
      <c r="E543" s="99"/>
      <c r="F543" s="124" t="str">
        <f aca="false">IF(E543="CONTADO", 4%, IF(E543="TARJETA / CHEQUE", 3%, IF(OR(E543="FINANCIADO", E543="MCP"), 2.5%, "")))</f>
        <v/>
      </c>
      <c r="G543" s="121" t="str">
        <f aca="false">IF(F543="", "", F543*D543)</f>
        <v/>
      </c>
      <c r="H543" s="132" t="b">
        <f aca="false">FALSE()</f>
        <v>0</v>
      </c>
      <c r="I543" s="132" t="b">
        <f aca="false">FALSE()</f>
        <v>0</v>
      </c>
      <c r="J543" s="126"/>
      <c r="K543" s="99"/>
      <c r="L543" s="83"/>
      <c r="M543" s="103"/>
      <c r="N543" s="103"/>
      <c r="O543" s="103"/>
      <c r="P543" s="103"/>
      <c r="Q543" s="103"/>
      <c r="R543" s="83"/>
      <c r="S543" s="103"/>
      <c r="T543" s="103"/>
      <c r="U543" s="103"/>
    </row>
    <row r="544" customFormat="false" ht="22.5" hidden="false" customHeight="true" outlineLevel="0" collapsed="false">
      <c r="A544" s="110"/>
      <c r="B544" s="110"/>
      <c r="C544" s="110"/>
      <c r="D544" s="122"/>
      <c r="E544" s="110"/>
      <c r="F544" s="128" t="str">
        <f aca="false">IF(E544="CONTADO", 4%, IF(E544="TARJETA / CHEQUE", 3%, IF(OR(E544="FINANCIADO", E544="MCP"), 2.5%, "")))</f>
        <v/>
      </c>
      <c r="G544" s="122" t="str">
        <f aca="false">IF(F544="", "", F544*D544)</f>
        <v/>
      </c>
      <c r="H544" s="131" t="b">
        <f aca="false">FALSE()</f>
        <v>0</v>
      </c>
      <c r="I544" s="131" t="b">
        <f aca="false">FALSE()</f>
        <v>0</v>
      </c>
      <c r="J544" s="130"/>
      <c r="K544" s="110"/>
      <c r="L544" s="83"/>
      <c r="M544" s="103"/>
      <c r="N544" s="103"/>
      <c r="O544" s="103"/>
      <c r="P544" s="103"/>
      <c r="Q544" s="103"/>
      <c r="R544" s="83"/>
      <c r="S544" s="103"/>
      <c r="T544" s="103"/>
      <c r="U544" s="103"/>
    </row>
    <row r="545" customFormat="false" ht="22.5" hidden="false" customHeight="true" outlineLevel="0" collapsed="false">
      <c r="A545" s="99"/>
      <c r="B545" s="99"/>
      <c r="C545" s="99"/>
      <c r="D545" s="121"/>
      <c r="E545" s="99"/>
      <c r="F545" s="124" t="str">
        <f aca="false">IF(E545="CONTADO", 4%, IF(E545="TARJETA / CHEQUE", 3%, IF(OR(E545="FINANCIADO", E545="MCP"), 2.5%, "")))</f>
        <v/>
      </c>
      <c r="G545" s="121" t="str">
        <f aca="false">IF(F545="", "", F545*D545)</f>
        <v/>
      </c>
      <c r="H545" s="132" t="b">
        <f aca="false">FALSE()</f>
        <v>0</v>
      </c>
      <c r="I545" s="132" t="b">
        <f aca="false">FALSE()</f>
        <v>0</v>
      </c>
      <c r="J545" s="126"/>
      <c r="K545" s="99"/>
      <c r="L545" s="83"/>
      <c r="M545" s="103"/>
      <c r="N545" s="103"/>
      <c r="O545" s="103"/>
      <c r="P545" s="103"/>
      <c r="Q545" s="103"/>
      <c r="R545" s="83"/>
      <c r="S545" s="103"/>
      <c r="T545" s="103"/>
      <c r="U545" s="103"/>
    </row>
    <row r="546" customFormat="false" ht="22.5" hidden="false" customHeight="true" outlineLevel="0" collapsed="false">
      <c r="A546" s="110"/>
      <c r="B546" s="110"/>
      <c r="C546" s="110"/>
      <c r="D546" s="122"/>
      <c r="E546" s="110"/>
      <c r="F546" s="128" t="str">
        <f aca="false">IF(E546="CONTADO", 4%, IF(E546="TARJETA / CHEQUE", 3%, IF(OR(E546="FINANCIADO", E546="MCP"), 2.5%, "")))</f>
        <v/>
      </c>
      <c r="G546" s="122" t="str">
        <f aca="false">IF(F546="", "", F546*D546)</f>
        <v/>
      </c>
      <c r="H546" s="131" t="b">
        <f aca="false">FALSE()</f>
        <v>0</v>
      </c>
      <c r="I546" s="131" t="b">
        <f aca="false">FALSE()</f>
        <v>0</v>
      </c>
      <c r="J546" s="130"/>
      <c r="K546" s="110"/>
      <c r="L546" s="83"/>
      <c r="M546" s="103"/>
      <c r="N546" s="103"/>
      <c r="O546" s="103"/>
      <c r="P546" s="103"/>
      <c r="Q546" s="103"/>
      <c r="R546" s="83"/>
      <c r="S546" s="103"/>
      <c r="T546" s="103"/>
      <c r="U546" s="103"/>
    </row>
    <row r="547" customFormat="false" ht="22.5" hidden="false" customHeight="true" outlineLevel="0" collapsed="false">
      <c r="A547" s="99"/>
      <c r="B547" s="99"/>
      <c r="C547" s="99"/>
      <c r="D547" s="121"/>
      <c r="E547" s="99"/>
      <c r="F547" s="124" t="str">
        <f aca="false">IF(E547="CONTADO", 4%, IF(E547="TARJETA / CHEQUE", 3%, IF(OR(E547="FINANCIADO", E547="MCP"), 2.5%, "")))</f>
        <v/>
      </c>
      <c r="G547" s="121" t="str">
        <f aca="false">IF(F547="", "", F547*D547)</f>
        <v/>
      </c>
      <c r="H547" s="132" t="b">
        <f aca="false">FALSE()</f>
        <v>0</v>
      </c>
      <c r="I547" s="132" t="b">
        <f aca="false">FALSE()</f>
        <v>0</v>
      </c>
      <c r="J547" s="126"/>
      <c r="K547" s="99"/>
      <c r="L547" s="83"/>
      <c r="M547" s="103"/>
      <c r="N547" s="103"/>
      <c r="O547" s="103"/>
      <c r="P547" s="103"/>
      <c r="Q547" s="103"/>
      <c r="R547" s="83"/>
      <c r="S547" s="103"/>
      <c r="T547" s="103"/>
      <c r="U547" s="103"/>
    </row>
    <row r="548" customFormat="false" ht="22.5" hidden="false" customHeight="true" outlineLevel="0" collapsed="false">
      <c r="A548" s="110"/>
      <c r="B548" s="110"/>
      <c r="C548" s="110"/>
      <c r="D548" s="122"/>
      <c r="E548" s="110"/>
      <c r="F548" s="128" t="str">
        <f aca="false">IF(E548="CONTADO", 4%, IF(E548="TARJETA / CHEQUE", 3%, IF(OR(E548="FINANCIADO", E548="MCP"), 2.5%, "")))</f>
        <v/>
      </c>
      <c r="G548" s="122" t="str">
        <f aca="false">IF(F548="", "", F548*D548)</f>
        <v/>
      </c>
      <c r="H548" s="131" t="b">
        <f aca="false">FALSE()</f>
        <v>0</v>
      </c>
      <c r="I548" s="131" t="b">
        <f aca="false">FALSE()</f>
        <v>0</v>
      </c>
      <c r="J548" s="130"/>
      <c r="K548" s="110"/>
      <c r="L548" s="83"/>
      <c r="M548" s="103"/>
      <c r="N548" s="103"/>
      <c r="O548" s="103"/>
      <c r="P548" s="103"/>
      <c r="Q548" s="103"/>
      <c r="R548" s="83"/>
      <c r="S548" s="103"/>
      <c r="T548" s="103"/>
      <c r="U548" s="103"/>
    </row>
    <row r="549" customFormat="false" ht="22.5" hidden="false" customHeight="true" outlineLevel="0" collapsed="false">
      <c r="A549" s="99"/>
      <c r="B549" s="99"/>
      <c r="C549" s="99"/>
      <c r="D549" s="121"/>
      <c r="E549" s="99"/>
      <c r="F549" s="124" t="str">
        <f aca="false">IF(E549="CONTADO", 4%, IF(E549="TARJETA / CHEQUE", 3%, IF(OR(E549="FINANCIADO", E549="MCP"), 2.5%, "")))</f>
        <v/>
      </c>
      <c r="G549" s="121" t="str">
        <f aca="false">IF(F549="", "", F549*D549)</f>
        <v/>
      </c>
      <c r="H549" s="132" t="b">
        <f aca="false">FALSE()</f>
        <v>0</v>
      </c>
      <c r="I549" s="132" t="b">
        <f aca="false">FALSE()</f>
        <v>0</v>
      </c>
      <c r="J549" s="126"/>
      <c r="K549" s="99"/>
      <c r="L549" s="83"/>
      <c r="M549" s="103"/>
      <c r="N549" s="103"/>
      <c r="O549" s="103"/>
      <c r="P549" s="103"/>
      <c r="Q549" s="103"/>
      <c r="R549" s="83"/>
      <c r="S549" s="103"/>
      <c r="T549" s="103"/>
      <c r="U549" s="103"/>
    </row>
    <row r="550" customFormat="false" ht="22.5" hidden="false" customHeight="true" outlineLevel="0" collapsed="false">
      <c r="A550" s="110"/>
      <c r="B550" s="110"/>
      <c r="C550" s="110"/>
      <c r="D550" s="122"/>
      <c r="E550" s="110"/>
      <c r="F550" s="128" t="str">
        <f aca="false">IF(E550="CONTADO", 4%, IF(E550="TARJETA / CHEQUE", 3%, IF(OR(E550="FINANCIADO", E550="MCP"), 2.5%, "")))</f>
        <v/>
      </c>
      <c r="G550" s="122" t="str">
        <f aca="false">IF(F550="", "", F550*D550)</f>
        <v/>
      </c>
      <c r="H550" s="131" t="b">
        <f aca="false">FALSE()</f>
        <v>0</v>
      </c>
      <c r="I550" s="131" t="b">
        <f aca="false">FALSE()</f>
        <v>0</v>
      </c>
      <c r="J550" s="130"/>
      <c r="K550" s="110"/>
      <c r="L550" s="83"/>
      <c r="M550" s="103"/>
      <c r="N550" s="103"/>
      <c r="O550" s="103"/>
      <c r="P550" s="103"/>
      <c r="Q550" s="103"/>
      <c r="R550" s="83"/>
      <c r="S550" s="103"/>
      <c r="T550" s="103"/>
      <c r="U550" s="103"/>
    </row>
    <row r="551" customFormat="false" ht="22.5" hidden="false" customHeight="true" outlineLevel="0" collapsed="false">
      <c r="A551" s="99"/>
      <c r="B551" s="99"/>
      <c r="C551" s="99"/>
      <c r="D551" s="121"/>
      <c r="E551" s="99"/>
      <c r="F551" s="124" t="str">
        <f aca="false">IF(E551="CONTADO", 4%, IF(E551="TARJETA / CHEQUE", 3%, IF(OR(E551="FINANCIADO", E551="MCP"), 2.5%, "")))</f>
        <v/>
      </c>
      <c r="G551" s="121" t="str">
        <f aca="false">IF(F551="", "", F551*D551)</f>
        <v/>
      </c>
      <c r="H551" s="132" t="b">
        <f aca="false">FALSE()</f>
        <v>0</v>
      </c>
      <c r="I551" s="132" t="b">
        <f aca="false">FALSE()</f>
        <v>0</v>
      </c>
      <c r="J551" s="126"/>
      <c r="K551" s="99"/>
      <c r="L551" s="83"/>
      <c r="M551" s="103"/>
      <c r="N551" s="103"/>
      <c r="O551" s="103"/>
      <c r="P551" s="103"/>
      <c r="Q551" s="103"/>
      <c r="R551" s="83"/>
      <c r="S551" s="103"/>
      <c r="T551" s="103"/>
      <c r="U551" s="103"/>
    </row>
    <row r="552" customFormat="false" ht="22.5" hidden="false" customHeight="true" outlineLevel="0" collapsed="false">
      <c r="A552" s="110"/>
      <c r="B552" s="110"/>
      <c r="C552" s="110"/>
      <c r="D552" s="122"/>
      <c r="E552" s="110"/>
      <c r="F552" s="128" t="str">
        <f aca="false">IF(E552="CONTADO", 4%, IF(E552="TARJETA / CHEQUE", 3%, IF(OR(E552="FINANCIADO", E552="MCP"), 2.5%, "")))</f>
        <v/>
      </c>
      <c r="G552" s="122" t="str">
        <f aca="false">IF(F552="", "", F552*D552)</f>
        <v/>
      </c>
      <c r="H552" s="131" t="b">
        <f aca="false">FALSE()</f>
        <v>0</v>
      </c>
      <c r="I552" s="131" t="b">
        <f aca="false">FALSE()</f>
        <v>0</v>
      </c>
      <c r="J552" s="130"/>
      <c r="K552" s="110"/>
      <c r="L552" s="83"/>
      <c r="M552" s="103"/>
      <c r="N552" s="103"/>
      <c r="O552" s="103"/>
      <c r="P552" s="103"/>
      <c r="Q552" s="103"/>
      <c r="R552" s="83"/>
      <c r="S552" s="103"/>
      <c r="T552" s="103"/>
      <c r="U552" s="103"/>
    </row>
    <row r="553" customFormat="false" ht="22.5" hidden="false" customHeight="true" outlineLevel="0" collapsed="false">
      <c r="A553" s="99"/>
      <c r="B553" s="99"/>
      <c r="C553" s="99"/>
      <c r="D553" s="121"/>
      <c r="E553" s="99"/>
      <c r="F553" s="124" t="str">
        <f aca="false">IF(E553="CONTADO", 4%, IF(E553="TARJETA / CHEQUE", 3%, IF(OR(E553="FINANCIADO", E553="MCP"), 2.5%, "")))</f>
        <v/>
      </c>
      <c r="G553" s="121" t="str">
        <f aca="false">IF(F553="", "", F553*D553)</f>
        <v/>
      </c>
      <c r="H553" s="132" t="b">
        <f aca="false">FALSE()</f>
        <v>0</v>
      </c>
      <c r="I553" s="132" t="b">
        <f aca="false">FALSE()</f>
        <v>0</v>
      </c>
      <c r="J553" s="126"/>
      <c r="K553" s="99"/>
      <c r="L553" s="83"/>
      <c r="M553" s="103"/>
      <c r="N553" s="103"/>
      <c r="O553" s="103"/>
      <c r="P553" s="103"/>
      <c r="Q553" s="103"/>
      <c r="R553" s="83"/>
      <c r="S553" s="103"/>
      <c r="T553" s="103"/>
      <c r="U553" s="103"/>
    </row>
    <row r="554" customFormat="false" ht="22.5" hidden="false" customHeight="true" outlineLevel="0" collapsed="false">
      <c r="A554" s="110"/>
      <c r="B554" s="110"/>
      <c r="C554" s="110"/>
      <c r="D554" s="122"/>
      <c r="E554" s="110"/>
      <c r="F554" s="128" t="str">
        <f aca="false">IF(E554="CONTADO", 4%, IF(E554="TARJETA / CHEQUE", 3%, IF(OR(E554="FINANCIADO", E554="MCP"), 2.5%, "")))</f>
        <v/>
      </c>
      <c r="G554" s="122" t="str">
        <f aca="false">IF(F554="", "", F554*D554)</f>
        <v/>
      </c>
      <c r="H554" s="131" t="b">
        <f aca="false">FALSE()</f>
        <v>0</v>
      </c>
      <c r="I554" s="131" t="b">
        <f aca="false">FALSE()</f>
        <v>0</v>
      </c>
      <c r="J554" s="130"/>
      <c r="K554" s="110"/>
      <c r="L554" s="83"/>
      <c r="M554" s="103"/>
      <c r="N554" s="103"/>
      <c r="O554" s="103"/>
      <c r="P554" s="103"/>
      <c r="Q554" s="103"/>
      <c r="R554" s="83"/>
      <c r="S554" s="103"/>
      <c r="T554" s="103"/>
      <c r="U554" s="103"/>
    </row>
    <row r="555" customFormat="false" ht="22.5" hidden="false" customHeight="true" outlineLevel="0" collapsed="false">
      <c r="A555" s="99"/>
      <c r="B555" s="99"/>
      <c r="C555" s="99"/>
      <c r="D555" s="121"/>
      <c r="E555" s="99"/>
      <c r="F555" s="124" t="str">
        <f aca="false">IF(E555="CONTADO", 4%, IF(E555="TARJETA / CHEQUE", 3%, IF(OR(E555="FINANCIADO", E555="MCP"), 2.5%, "")))</f>
        <v/>
      </c>
      <c r="G555" s="121" t="str">
        <f aca="false">IF(F555="", "", F555*D555)</f>
        <v/>
      </c>
      <c r="H555" s="132" t="b">
        <f aca="false">FALSE()</f>
        <v>0</v>
      </c>
      <c r="I555" s="132" t="b">
        <f aca="false">FALSE()</f>
        <v>0</v>
      </c>
      <c r="J555" s="126"/>
      <c r="K555" s="99"/>
      <c r="L555" s="83"/>
      <c r="M555" s="103"/>
      <c r="N555" s="103"/>
      <c r="O555" s="103"/>
      <c r="P555" s="103"/>
      <c r="Q555" s="103"/>
      <c r="R555" s="83"/>
      <c r="S555" s="103"/>
      <c r="T555" s="103"/>
      <c r="U555" s="103"/>
    </row>
    <row r="556" customFormat="false" ht="22.5" hidden="false" customHeight="true" outlineLevel="0" collapsed="false">
      <c r="A556" s="110"/>
      <c r="B556" s="110"/>
      <c r="C556" s="110"/>
      <c r="D556" s="122"/>
      <c r="E556" s="110"/>
      <c r="F556" s="128" t="str">
        <f aca="false">IF(E556="CONTADO", 4%, IF(E556="TARJETA / CHEQUE", 3%, IF(OR(E556="FINANCIADO", E556="MCP"), 2.5%, "")))</f>
        <v/>
      </c>
      <c r="G556" s="122" t="str">
        <f aca="false">IF(F556="", "", F556*D556)</f>
        <v/>
      </c>
      <c r="H556" s="131" t="b">
        <f aca="false">FALSE()</f>
        <v>0</v>
      </c>
      <c r="I556" s="131" t="b">
        <f aca="false">FALSE()</f>
        <v>0</v>
      </c>
      <c r="J556" s="130"/>
      <c r="K556" s="110"/>
      <c r="L556" s="83"/>
      <c r="M556" s="103"/>
      <c r="N556" s="103"/>
      <c r="O556" s="103"/>
      <c r="P556" s="103"/>
      <c r="Q556" s="103"/>
      <c r="R556" s="83"/>
      <c r="S556" s="103"/>
      <c r="T556" s="103"/>
      <c r="U556" s="103"/>
    </row>
    <row r="557" customFormat="false" ht="22.5" hidden="false" customHeight="true" outlineLevel="0" collapsed="false">
      <c r="A557" s="99"/>
      <c r="B557" s="99"/>
      <c r="C557" s="99"/>
      <c r="D557" s="121"/>
      <c r="E557" s="99"/>
      <c r="F557" s="124" t="str">
        <f aca="false">IF(E557="CONTADO", 4%, IF(E557="TARJETA / CHEQUE", 3%, IF(OR(E557="FINANCIADO", E557="MCP"), 2.5%, "")))</f>
        <v/>
      </c>
      <c r="G557" s="121" t="str">
        <f aca="false">IF(F557="", "", F557*D557)</f>
        <v/>
      </c>
      <c r="H557" s="132" t="b">
        <f aca="false">FALSE()</f>
        <v>0</v>
      </c>
      <c r="I557" s="132" t="b">
        <f aca="false">FALSE()</f>
        <v>0</v>
      </c>
      <c r="J557" s="126"/>
      <c r="K557" s="99"/>
      <c r="L557" s="83"/>
      <c r="M557" s="103"/>
      <c r="N557" s="103"/>
      <c r="O557" s="103"/>
      <c r="P557" s="103"/>
      <c r="Q557" s="103"/>
      <c r="R557" s="83"/>
      <c r="S557" s="103"/>
      <c r="T557" s="103"/>
      <c r="U557" s="103"/>
    </row>
    <row r="558" customFormat="false" ht="22.5" hidden="false" customHeight="true" outlineLevel="0" collapsed="false">
      <c r="A558" s="110"/>
      <c r="B558" s="110"/>
      <c r="C558" s="110"/>
      <c r="D558" s="122"/>
      <c r="E558" s="110"/>
      <c r="F558" s="128" t="str">
        <f aca="false">IF(E558="CONTADO", 4%, IF(E558="TARJETA / CHEQUE", 3%, IF(OR(E558="FINANCIADO", E558="MCP"), 2.5%, "")))</f>
        <v/>
      </c>
      <c r="G558" s="122" t="str">
        <f aca="false">IF(F558="", "", F558*D558)</f>
        <v/>
      </c>
      <c r="H558" s="131" t="b">
        <f aca="false">FALSE()</f>
        <v>0</v>
      </c>
      <c r="I558" s="131" t="b">
        <f aca="false">FALSE()</f>
        <v>0</v>
      </c>
      <c r="J558" s="130"/>
      <c r="K558" s="110"/>
      <c r="L558" s="83"/>
      <c r="M558" s="103"/>
      <c r="N558" s="103"/>
      <c r="O558" s="103"/>
      <c r="P558" s="103"/>
      <c r="Q558" s="103"/>
      <c r="R558" s="83"/>
      <c r="S558" s="103"/>
      <c r="T558" s="103"/>
      <c r="U558" s="103"/>
    </row>
    <row r="559" customFormat="false" ht="22.5" hidden="false" customHeight="true" outlineLevel="0" collapsed="false">
      <c r="A559" s="99"/>
      <c r="B559" s="99"/>
      <c r="C559" s="99"/>
      <c r="D559" s="121"/>
      <c r="E559" s="99"/>
      <c r="F559" s="124" t="str">
        <f aca="false">IF(E559="CONTADO", 4%, IF(E559="TARJETA / CHEQUE", 3%, IF(OR(E559="FINANCIADO", E559="MCP"), 2.5%, "")))</f>
        <v/>
      </c>
      <c r="G559" s="121" t="str">
        <f aca="false">IF(F559="", "", F559*D559)</f>
        <v/>
      </c>
      <c r="H559" s="132" t="b">
        <f aca="false">FALSE()</f>
        <v>0</v>
      </c>
      <c r="I559" s="132" t="b">
        <f aca="false">FALSE()</f>
        <v>0</v>
      </c>
      <c r="J559" s="126"/>
      <c r="K559" s="99"/>
      <c r="L559" s="83"/>
      <c r="M559" s="103"/>
      <c r="N559" s="103"/>
      <c r="O559" s="103"/>
      <c r="P559" s="103"/>
      <c r="Q559" s="103"/>
      <c r="R559" s="83"/>
      <c r="S559" s="103"/>
      <c r="T559" s="103"/>
      <c r="U559" s="103"/>
    </row>
    <row r="560" customFormat="false" ht="22.5" hidden="false" customHeight="true" outlineLevel="0" collapsed="false">
      <c r="A560" s="110"/>
      <c r="B560" s="110"/>
      <c r="C560" s="110"/>
      <c r="D560" s="122"/>
      <c r="E560" s="110"/>
      <c r="F560" s="128" t="str">
        <f aca="false">IF(E560="CONTADO", 4%, IF(E560="TARJETA / CHEQUE", 3%, IF(OR(E560="FINANCIADO", E560="MCP"), 2.5%, "")))</f>
        <v/>
      </c>
      <c r="G560" s="122" t="str">
        <f aca="false">IF(F560="", "", F560*D560)</f>
        <v/>
      </c>
      <c r="H560" s="131" t="b">
        <f aca="false">FALSE()</f>
        <v>0</v>
      </c>
      <c r="I560" s="131" t="b">
        <f aca="false">FALSE()</f>
        <v>0</v>
      </c>
      <c r="J560" s="130"/>
      <c r="K560" s="110"/>
      <c r="L560" s="83"/>
      <c r="M560" s="103"/>
      <c r="N560" s="103"/>
      <c r="O560" s="103"/>
      <c r="P560" s="103"/>
      <c r="Q560" s="103"/>
      <c r="R560" s="83"/>
      <c r="S560" s="103"/>
      <c r="T560" s="103"/>
      <c r="U560" s="103"/>
    </row>
    <row r="561" customFormat="false" ht="22.5" hidden="false" customHeight="true" outlineLevel="0" collapsed="false">
      <c r="A561" s="99"/>
      <c r="B561" s="99"/>
      <c r="C561" s="99"/>
      <c r="D561" s="121"/>
      <c r="E561" s="99"/>
      <c r="F561" s="124" t="str">
        <f aca="false">IF(E561="CONTADO", 4%, IF(E561="TARJETA / CHEQUE", 3%, IF(OR(E561="FINANCIADO", E561="MCP"), 2.5%, "")))</f>
        <v/>
      </c>
      <c r="G561" s="121" t="str">
        <f aca="false">IF(F561="", "", F561*D561)</f>
        <v/>
      </c>
      <c r="H561" s="132" t="b">
        <f aca="false">FALSE()</f>
        <v>0</v>
      </c>
      <c r="I561" s="132" t="b">
        <f aca="false">FALSE()</f>
        <v>0</v>
      </c>
      <c r="J561" s="126"/>
      <c r="K561" s="99"/>
      <c r="L561" s="83"/>
      <c r="M561" s="103"/>
      <c r="N561" s="103"/>
      <c r="O561" s="103"/>
      <c r="P561" s="103"/>
      <c r="Q561" s="103"/>
      <c r="R561" s="83"/>
      <c r="S561" s="103"/>
      <c r="T561" s="103"/>
      <c r="U561" s="103"/>
    </row>
    <row r="562" customFormat="false" ht="22.5" hidden="false" customHeight="true" outlineLevel="0" collapsed="false">
      <c r="A562" s="110"/>
      <c r="B562" s="110"/>
      <c r="C562" s="110"/>
      <c r="D562" s="122"/>
      <c r="E562" s="110"/>
      <c r="F562" s="128" t="str">
        <f aca="false">IF(E562="CONTADO", 4%, IF(E562="TARJETA / CHEQUE", 3%, IF(OR(E562="FINANCIADO", E562="MCP"), 2.5%, "")))</f>
        <v/>
      </c>
      <c r="G562" s="122" t="str">
        <f aca="false">IF(F562="", "", F562*D562)</f>
        <v/>
      </c>
      <c r="H562" s="131" t="b">
        <f aca="false">FALSE()</f>
        <v>0</v>
      </c>
      <c r="I562" s="131" t="b">
        <f aca="false">FALSE()</f>
        <v>0</v>
      </c>
      <c r="J562" s="130"/>
      <c r="K562" s="110"/>
      <c r="L562" s="83"/>
      <c r="M562" s="103"/>
      <c r="N562" s="103"/>
      <c r="O562" s="103"/>
      <c r="P562" s="103"/>
      <c r="Q562" s="103"/>
      <c r="R562" s="83"/>
      <c r="S562" s="103"/>
      <c r="T562" s="103"/>
      <c r="U562" s="103"/>
    </row>
    <row r="563" customFormat="false" ht="22.5" hidden="false" customHeight="true" outlineLevel="0" collapsed="false">
      <c r="A563" s="99"/>
      <c r="B563" s="99"/>
      <c r="C563" s="99"/>
      <c r="D563" s="121"/>
      <c r="E563" s="99"/>
      <c r="F563" s="124" t="str">
        <f aca="false">IF(E563="CONTADO", 4%, IF(E563="TARJETA / CHEQUE", 3%, IF(OR(E563="FINANCIADO", E563="MCP"), 2.5%, "")))</f>
        <v/>
      </c>
      <c r="G563" s="121" t="str">
        <f aca="false">IF(F563="", "", F563*D563)</f>
        <v/>
      </c>
      <c r="H563" s="132" t="b">
        <f aca="false">FALSE()</f>
        <v>0</v>
      </c>
      <c r="I563" s="132" t="b">
        <f aca="false">FALSE()</f>
        <v>0</v>
      </c>
      <c r="J563" s="126"/>
      <c r="K563" s="99"/>
      <c r="L563" s="83"/>
      <c r="M563" s="103"/>
      <c r="N563" s="103"/>
      <c r="O563" s="103"/>
      <c r="P563" s="103"/>
      <c r="Q563" s="103"/>
      <c r="R563" s="83"/>
      <c r="S563" s="103"/>
      <c r="T563" s="103"/>
      <c r="U563" s="103"/>
    </row>
    <row r="564" customFormat="false" ht="22.5" hidden="false" customHeight="true" outlineLevel="0" collapsed="false">
      <c r="A564" s="110"/>
      <c r="B564" s="110"/>
      <c r="C564" s="110"/>
      <c r="D564" s="122"/>
      <c r="E564" s="110"/>
      <c r="F564" s="128" t="str">
        <f aca="false">IF(E564="CONTADO", 4%, IF(E564="TARJETA / CHEQUE", 3%, IF(OR(E564="FINANCIADO", E564="MCP"), 2.5%, "")))</f>
        <v/>
      </c>
      <c r="G564" s="122" t="str">
        <f aca="false">IF(F564="", "", F564*D564)</f>
        <v/>
      </c>
      <c r="H564" s="131" t="b">
        <f aca="false">FALSE()</f>
        <v>0</v>
      </c>
      <c r="I564" s="131" t="b">
        <f aca="false">FALSE()</f>
        <v>0</v>
      </c>
      <c r="J564" s="130"/>
      <c r="K564" s="110"/>
      <c r="L564" s="83"/>
      <c r="M564" s="103"/>
      <c r="N564" s="103"/>
      <c r="O564" s="103"/>
      <c r="P564" s="103"/>
      <c r="Q564" s="103"/>
      <c r="R564" s="83"/>
      <c r="S564" s="103"/>
      <c r="T564" s="103"/>
      <c r="U564" s="103"/>
    </row>
    <row r="565" customFormat="false" ht="22.5" hidden="false" customHeight="true" outlineLevel="0" collapsed="false">
      <c r="A565" s="99"/>
      <c r="B565" s="99"/>
      <c r="C565" s="99"/>
      <c r="D565" s="121"/>
      <c r="E565" s="99"/>
      <c r="F565" s="124" t="str">
        <f aca="false">IF(E565="CONTADO", 4%, IF(E565="TARJETA / CHEQUE", 3%, IF(OR(E565="FINANCIADO", E565="MCP"), 2.5%, "")))</f>
        <v/>
      </c>
      <c r="G565" s="121" t="str">
        <f aca="false">IF(F565="", "", F565*D565)</f>
        <v/>
      </c>
      <c r="H565" s="132" t="b">
        <f aca="false">FALSE()</f>
        <v>0</v>
      </c>
      <c r="I565" s="132" t="b">
        <f aca="false">FALSE()</f>
        <v>0</v>
      </c>
      <c r="J565" s="126"/>
      <c r="K565" s="99"/>
      <c r="L565" s="83"/>
      <c r="M565" s="103"/>
      <c r="N565" s="103"/>
      <c r="O565" s="103"/>
      <c r="P565" s="103"/>
      <c r="Q565" s="103"/>
      <c r="R565" s="83"/>
      <c r="S565" s="103"/>
      <c r="T565" s="103"/>
      <c r="U565" s="103"/>
    </row>
    <row r="566" customFormat="false" ht="22.5" hidden="false" customHeight="true" outlineLevel="0" collapsed="false">
      <c r="A566" s="110"/>
      <c r="B566" s="110"/>
      <c r="C566" s="110"/>
      <c r="D566" s="122"/>
      <c r="E566" s="110"/>
      <c r="F566" s="128" t="str">
        <f aca="false">IF(E566="CONTADO", 4%, IF(E566="TARJETA / CHEQUE", 3%, IF(OR(E566="FINANCIADO", E566="MCP"), 2.5%, "")))</f>
        <v/>
      </c>
      <c r="G566" s="122" t="str">
        <f aca="false">IF(F566="", "", F566*D566)</f>
        <v/>
      </c>
      <c r="H566" s="131" t="b">
        <f aca="false">FALSE()</f>
        <v>0</v>
      </c>
      <c r="I566" s="131" t="b">
        <f aca="false">FALSE()</f>
        <v>0</v>
      </c>
      <c r="J566" s="130"/>
      <c r="K566" s="110"/>
      <c r="L566" s="83"/>
      <c r="M566" s="103"/>
      <c r="N566" s="103"/>
      <c r="O566" s="103"/>
      <c r="P566" s="103"/>
      <c r="Q566" s="103"/>
      <c r="R566" s="83"/>
      <c r="S566" s="103"/>
      <c r="T566" s="103"/>
      <c r="U566" s="103"/>
    </row>
    <row r="567" customFormat="false" ht="22.5" hidden="false" customHeight="true" outlineLevel="0" collapsed="false">
      <c r="A567" s="99"/>
      <c r="B567" s="99"/>
      <c r="C567" s="99"/>
      <c r="D567" s="121"/>
      <c r="E567" s="99"/>
      <c r="F567" s="124" t="str">
        <f aca="false">IF(E567="CONTADO", 4%, IF(E567="TARJETA / CHEQUE", 3%, IF(OR(E567="FINANCIADO", E567="MCP"), 2.5%, "")))</f>
        <v/>
      </c>
      <c r="G567" s="121" t="str">
        <f aca="false">IF(F567="", "", F567*D567)</f>
        <v/>
      </c>
      <c r="H567" s="132" t="b">
        <f aca="false">FALSE()</f>
        <v>0</v>
      </c>
      <c r="I567" s="132" t="b">
        <f aca="false">FALSE()</f>
        <v>0</v>
      </c>
      <c r="J567" s="126"/>
      <c r="K567" s="99"/>
      <c r="L567" s="83"/>
      <c r="M567" s="103"/>
      <c r="N567" s="103"/>
      <c r="O567" s="103"/>
      <c r="P567" s="103"/>
      <c r="Q567" s="103"/>
      <c r="R567" s="83"/>
      <c r="S567" s="103"/>
      <c r="T567" s="103"/>
      <c r="U567" s="103"/>
    </row>
    <row r="568" customFormat="false" ht="22.5" hidden="false" customHeight="true" outlineLevel="0" collapsed="false">
      <c r="A568" s="110"/>
      <c r="B568" s="110"/>
      <c r="C568" s="110"/>
      <c r="D568" s="122"/>
      <c r="E568" s="110"/>
      <c r="F568" s="128" t="str">
        <f aca="false">IF(E568="CONTADO", 4%, IF(E568="TARJETA / CHEQUE", 3%, IF(OR(E568="FINANCIADO", E568="MCP"), 2.5%, "")))</f>
        <v/>
      </c>
      <c r="G568" s="122" t="str">
        <f aca="false">IF(F568="", "", F568*D568)</f>
        <v/>
      </c>
      <c r="H568" s="131" t="b">
        <f aca="false">FALSE()</f>
        <v>0</v>
      </c>
      <c r="I568" s="131" t="b">
        <f aca="false">FALSE()</f>
        <v>0</v>
      </c>
      <c r="J568" s="130"/>
      <c r="K568" s="110"/>
      <c r="L568" s="83"/>
      <c r="M568" s="103"/>
      <c r="N568" s="103"/>
      <c r="O568" s="103"/>
      <c r="P568" s="103"/>
      <c r="Q568" s="103"/>
      <c r="R568" s="83"/>
      <c r="S568" s="103"/>
      <c r="T568" s="103"/>
      <c r="U568" s="103"/>
    </row>
    <row r="569" customFormat="false" ht="22.5" hidden="false" customHeight="true" outlineLevel="0" collapsed="false">
      <c r="A569" s="99"/>
      <c r="B569" s="99"/>
      <c r="C569" s="99"/>
      <c r="D569" s="121"/>
      <c r="E569" s="99"/>
      <c r="F569" s="124" t="str">
        <f aca="false">IF(E569="CONTADO", 4%, IF(E569="TARJETA / CHEQUE", 3%, IF(OR(E569="FINANCIADO", E569="MCP"), 2.5%, "")))</f>
        <v/>
      </c>
      <c r="G569" s="121" t="str">
        <f aca="false">IF(F569="", "", F569*D569)</f>
        <v/>
      </c>
      <c r="H569" s="132" t="b">
        <f aca="false">FALSE()</f>
        <v>0</v>
      </c>
      <c r="I569" s="132" t="b">
        <f aca="false">FALSE()</f>
        <v>0</v>
      </c>
      <c r="J569" s="126"/>
      <c r="K569" s="99"/>
      <c r="L569" s="83"/>
      <c r="M569" s="103"/>
      <c r="N569" s="103"/>
      <c r="O569" s="103"/>
      <c r="P569" s="103"/>
      <c r="Q569" s="103"/>
      <c r="R569" s="83"/>
      <c r="S569" s="103"/>
      <c r="T569" s="103"/>
      <c r="U569" s="103"/>
    </row>
    <row r="570" customFormat="false" ht="22.5" hidden="false" customHeight="true" outlineLevel="0" collapsed="false">
      <c r="A570" s="110"/>
      <c r="B570" s="110"/>
      <c r="C570" s="110"/>
      <c r="D570" s="122"/>
      <c r="E570" s="110"/>
      <c r="F570" s="128" t="str">
        <f aca="false">IF(E570="CONTADO", 4%, IF(E570="TARJETA / CHEQUE", 3%, IF(OR(E570="FINANCIADO", E570="MCP"), 2.5%, "")))</f>
        <v/>
      </c>
      <c r="G570" s="122" t="str">
        <f aca="false">IF(F570="", "", F570*D570)</f>
        <v/>
      </c>
      <c r="H570" s="131" t="b">
        <f aca="false">FALSE()</f>
        <v>0</v>
      </c>
      <c r="I570" s="131" t="b">
        <f aca="false">FALSE()</f>
        <v>0</v>
      </c>
      <c r="J570" s="130"/>
      <c r="K570" s="110"/>
      <c r="L570" s="83"/>
      <c r="M570" s="103"/>
      <c r="N570" s="103"/>
      <c r="O570" s="103"/>
      <c r="P570" s="103"/>
      <c r="Q570" s="103"/>
      <c r="R570" s="83"/>
      <c r="S570" s="103"/>
      <c r="T570" s="103"/>
      <c r="U570" s="103"/>
    </row>
    <row r="571" customFormat="false" ht="22.5" hidden="false" customHeight="true" outlineLevel="0" collapsed="false">
      <c r="A571" s="99"/>
      <c r="B571" s="99"/>
      <c r="C571" s="99"/>
      <c r="D571" s="121"/>
      <c r="E571" s="99"/>
      <c r="F571" s="124" t="str">
        <f aca="false">IF(E571="CONTADO", 4%, IF(E571="TARJETA / CHEQUE", 3%, IF(OR(E571="FINANCIADO", E571="MCP"), 2.5%, "")))</f>
        <v/>
      </c>
      <c r="G571" s="121" t="str">
        <f aca="false">IF(F571="", "", F571*D571)</f>
        <v/>
      </c>
      <c r="H571" s="132" t="b">
        <f aca="false">FALSE()</f>
        <v>0</v>
      </c>
      <c r="I571" s="132" t="b">
        <f aca="false">FALSE()</f>
        <v>0</v>
      </c>
      <c r="J571" s="126"/>
      <c r="K571" s="99"/>
      <c r="L571" s="83"/>
      <c r="M571" s="103"/>
      <c r="N571" s="103"/>
      <c r="O571" s="103"/>
      <c r="P571" s="103"/>
      <c r="Q571" s="103"/>
      <c r="R571" s="83"/>
      <c r="S571" s="103"/>
      <c r="T571" s="103"/>
      <c r="U571" s="103"/>
    </row>
    <row r="572" customFormat="false" ht="22.5" hidden="false" customHeight="true" outlineLevel="0" collapsed="false">
      <c r="A572" s="110"/>
      <c r="B572" s="110"/>
      <c r="C572" s="110"/>
      <c r="D572" s="122"/>
      <c r="E572" s="110"/>
      <c r="F572" s="128" t="str">
        <f aca="false">IF(E572="CONTADO", 4%, IF(E572="TARJETA / CHEQUE", 3%, IF(OR(E572="FINANCIADO", E572="MCP"), 2.5%, "")))</f>
        <v/>
      </c>
      <c r="G572" s="122" t="str">
        <f aca="false">IF(F572="", "", F572*D572)</f>
        <v/>
      </c>
      <c r="H572" s="131" t="b">
        <f aca="false">FALSE()</f>
        <v>0</v>
      </c>
      <c r="I572" s="131" t="b">
        <f aca="false">FALSE()</f>
        <v>0</v>
      </c>
      <c r="J572" s="130"/>
      <c r="K572" s="110"/>
      <c r="L572" s="83"/>
      <c r="M572" s="103"/>
      <c r="N572" s="103"/>
      <c r="O572" s="103"/>
      <c r="P572" s="103"/>
      <c r="Q572" s="103"/>
      <c r="R572" s="83"/>
      <c r="S572" s="103"/>
      <c r="T572" s="103"/>
      <c r="U572" s="103"/>
    </row>
    <row r="573" customFormat="false" ht="22.5" hidden="false" customHeight="true" outlineLevel="0" collapsed="false">
      <c r="A573" s="99"/>
      <c r="B573" s="99"/>
      <c r="C573" s="99"/>
      <c r="D573" s="121"/>
      <c r="E573" s="99"/>
      <c r="F573" s="124" t="str">
        <f aca="false">IF(E573="CONTADO", 4%, IF(E573="TARJETA / CHEQUE", 3%, IF(OR(E573="FINANCIADO", E573="MCP"), 2.5%, "")))</f>
        <v/>
      </c>
      <c r="G573" s="121" t="str">
        <f aca="false">IF(F573="", "", F573*D573)</f>
        <v/>
      </c>
      <c r="H573" s="132" t="b">
        <f aca="false">FALSE()</f>
        <v>0</v>
      </c>
      <c r="I573" s="132" t="b">
        <f aca="false">FALSE()</f>
        <v>0</v>
      </c>
      <c r="J573" s="126"/>
      <c r="K573" s="99"/>
      <c r="L573" s="83"/>
      <c r="M573" s="103"/>
      <c r="N573" s="103"/>
      <c r="O573" s="103"/>
      <c r="P573" s="103"/>
      <c r="Q573" s="103"/>
      <c r="R573" s="83"/>
      <c r="S573" s="103"/>
      <c r="T573" s="103"/>
      <c r="U573" s="103"/>
    </row>
    <row r="574" customFormat="false" ht="22.5" hidden="false" customHeight="true" outlineLevel="0" collapsed="false">
      <c r="A574" s="110"/>
      <c r="B574" s="110"/>
      <c r="C574" s="110"/>
      <c r="D574" s="122"/>
      <c r="E574" s="110"/>
      <c r="F574" s="128" t="str">
        <f aca="false">IF(E574="CONTADO", 4%, IF(E574="TARJETA / CHEQUE", 3%, IF(OR(E574="FINANCIADO", E574="MCP"), 2.5%, "")))</f>
        <v/>
      </c>
      <c r="G574" s="122" t="str">
        <f aca="false">IF(F574="", "", F574*D574)</f>
        <v/>
      </c>
      <c r="H574" s="131" t="b">
        <f aca="false">FALSE()</f>
        <v>0</v>
      </c>
      <c r="I574" s="131" t="b">
        <f aca="false">FALSE()</f>
        <v>0</v>
      </c>
      <c r="J574" s="130"/>
      <c r="K574" s="110"/>
      <c r="L574" s="83"/>
      <c r="M574" s="103"/>
      <c r="N574" s="103"/>
      <c r="O574" s="103"/>
      <c r="P574" s="103"/>
      <c r="Q574" s="103"/>
      <c r="R574" s="83"/>
      <c r="S574" s="103"/>
      <c r="T574" s="103"/>
      <c r="U574" s="103"/>
    </row>
    <row r="575" customFormat="false" ht="22.5" hidden="false" customHeight="true" outlineLevel="0" collapsed="false">
      <c r="A575" s="99"/>
      <c r="B575" s="99"/>
      <c r="C575" s="99"/>
      <c r="D575" s="121"/>
      <c r="E575" s="99"/>
      <c r="F575" s="124" t="str">
        <f aca="false">IF(E575="CONTADO", 4%, IF(E575="TARJETA / CHEQUE", 3%, IF(OR(E575="FINANCIADO", E575="MCP"), 2.5%, "")))</f>
        <v/>
      </c>
      <c r="G575" s="121" t="str">
        <f aca="false">IF(F575="", "", F575*D575)</f>
        <v/>
      </c>
      <c r="H575" s="132" t="b">
        <f aca="false">FALSE()</f>
        <v>0</v>
      </c>
      <c r="I575" s="132" t="b">
        <f aca="false">FALSE()</f>
        <v>0</v>
      </c>
      <c r="J575" s="126"/>
      <c r="K575" s="99"/>
      <c r="L575" s="83"/>
      <c r="M575" s="103"/>
      <c r="N575" s="103"/>
      <c r="O575" s="103"/>
      <c r="P575" s="103"/>
      <c r="Q575" s="103"/>
      <c r="R575" s="83"/>
      <c r="S575" s="103"/>
      <c r="T575" s="103"/>
      <c r="U575" s="103"/>
    </row>
    <row r="576" customFormat="false" ht="22.5" hidden="false" customHeight="true" outlineLevel="0" collapsed="false">
      <c r="A576" s="110"/>
      <c r="B576" s="110"/>
      <c r="C576" s="110"/>
      <c r="D576" s="122"/>
      <c r="E576" s="110"/>
      <c r="F576" s="128" t="str">
        <f aca="false">IF(E576="CONTADO", 4%, IF(E576="TARJETA / CHEQUE", 3%, IF(OR(E576="FINANCIADO", E576="MCP"), 2.5%, "")))</f>
        <v/>
      </c>
      <c r="G576" s="122" t="str">
        <f aca="false">IF(F576="", "", F576*D576)</f>
        <v/>
      </c>
      <c r="H576" s="131" t="b">
        <f aca="false">FALSE()</f>
        <v>0</v>
      </c>
      <c r="I576" s="131" t="b">
        <f aca="false">FALSE()</f>
        <v>0</v>
      </c>
      <c r="J576" s="130"/>
      <c r="K576" s="110"/>
      <c r="L576" s="83"/>
      <c r="M576" s="103"/>
      <c r="N576" s="103"/>
      <c r="O576" s="103"/>
      <c r="P576" s="103"/>
      <c r="Q576" s="103"/>
      <c r="R576" s="83"/>
      <c r="S576" s="103"/>
      <c r="T576" s="103"/>
      <c r="U576" s="103"/>
    </row>
    <row r="577" customFormat="false" ht="22.5" hidden="false" customHeight="true" outlineLevel="0" collapsed="false">
      <c r="A577" s="99"/>
      <c r="B577" s="99"/>
      <c r="C577" s="99"/>
      <c r="D577" s="121"/>
      <c r="E577" s="99"/>
      <c r="F577" s="124" t="str">
        <f aca="false">IF(E577="CONTADO", 4%, IF(E577="TARJETA / CHEQUE", 3%, IF(OR(E577="FINANCIADO", E577="MCP"), 2.5%, "")))</f>
        <v/>
      </c>
      <c r="G577" s="121" t="str">
        <f aca="false">IF(F577="", "", F577*D577)</f>
        <v/>
      </c>
      <c r="H577" s="132" t="b">
        <f aca="false">FALSE()</f>
        <v>0</v>
      </c>
      <c r="I577" s="132" t="b">
        <f aca="false">FALSE()</f>
        <v>0</v>
      </c>
      <c r="J577" s="126"/>
      <c r="K577" s="99"/>
      <c r="L577" s="83"/>
      <c r="M577" s="103"/>
      <c r="N577" s="103"/>
      <c r="O577" s="103"/>
      <c r="P577" s="103"/>
      <c r="Q577" s="103"/>
      <c r="R577" s="83"/>
      <c r="S577" s="103"/>
      <c r="T577" s="103"/>
      <c r="U577" s="103"/>
    </row>
    <row r="578" customFormat="false" ht="22.5" hidden="false" customHeight="true" outlineLevel="0" collapsed="false">
      <c r="A578" s="110"/>
      <c r="B578" s="110"/>
      <c r="C578" s="110"/>
      <c r="D578" s="122"/>
      <c r="E578" s="110"/>
      <c r="F578" s="128" t="str">
        <f aca="false">IF(E578="CONTADO", 4%, IF(E578="TARJETA / CHEQUE", 3%, IF(OR(E578="FINANCIADO", E578="MCP"), 2.5%, "")))</f>
        <v/>
      </c>
      <c r="G578" s="122" t="str">
        <f aca="false">IF(F578="", "", F578*D578)</f>
        <v/>
      </c>
      <c r="H578" s="131" t="b">
        <f aca="false">FALSE()</f>
        <v>0</v>
      </c>
      <c r="I578" s="131" t="b">
        <f aca="false">FALSE()</f>
        <v>0</v>
      </c>
      <c r="J578" s="130"/>
      <c r="K578" s="110"/>
      <c r="L578" s="83"/>
      <c r="M578" s="103"/>
      <c r="N578" s="103"/>
      <c r="O578" s="103"/>
      <c r="P578" s="103"/>
      <c r="Q578" s="103"/>
      <c r="R578" s="83"/>
      <c r="S578" s="103"/>
      <c r="T578" s="103"/>
      <c r="U578" s="103"/>
    </row>
    <row r="579" customFormat="false" ht="22.5" hidden="false" customHeight="true" outlineLevel="0" collapsed="false">
      <c r="A579" s="99"/>
      <c r="B579" s="99"/>
      <c r="C579" s="99"/>
      <c r="D579" s="121"/>
      <c r="E579" s="99"/>
      <c r="F579" s="124" t="str">
        <f aca="false">IF(E579="CONTADO", 4%, IF(E579="TARJETA / CHEQUE", 3%, IF(OR(E579="FINANCIADO", E579="MCP"), 2.5%, "")))</f>
        <v/>
      </c>
      <c r="G579" s="121" t="str">
        <f aca="false">IF(F579="", "", F579*D579)</f>
        <v/>
      </c>
      <c r="H579" s="132" t="b">
        <f aca="false">FALSE()</f>
        <v>0</v>
      </c>
      <c r="I579" s="132" t="b">
        <f aca="false">FALSE()</f>
        <v>0</v>
      </c>
      <c r="J579" s="126"/>
      <c r="K579" s="99"/>
      <c r="L579" s="83"/>
      <c r="M579" s="103"/>
      <c r="N579" s="103"/>
      <c r="O579" s="103"/>
      <c r="P579" s="103"/>
      <c r="Q579" s="103"/>
      <c r="R579" s="83"/>
      <c r="S579" s="103"/>
      <c r="T579" s="103"/>
      <c r="U579" s="103"/>
    </row>
    <row r="580" customFormat="false" ht="22.5" hidden="false" customHeight="true" outlineLevel="0" collapsed="false">
      <c r="A580" s="110"/>
      <c r="B580" s="110"/>
      <c r="C580" s="110"/>
      <c r="D580" s="122"/>
      <c r="E580" s="110"/>
      <c r="F580" s="128" t="str">
        <f aca="false">IF(E580="CONTADO", 4%, IF(E580="TARJETA / CHEQUE", 3%, IF(OR(E580="FINANCIADO", E580="MCP"), 2.5%, "")))</f>
        <v/>
      </c>
      <c r="G580" s="122" t="str">
        <f aca="false">IF(F580="", "", F580*D580)</f>
        <v/>
      </c>
      <c r="H580" s="131" t="b">
        <f aca="false">FALSE()</f>
        <v>0</v>
      </c>
      <c r="I580" s="131" t="b">
        <f aca="false">FALSE()</f>
        <v>0</v>
      </c>
      <c r="J580" s="130"/>
      <c r="K580" s="110"/>
      <c r="L580" s="83"/>
      <c r="M580" s="103"/>
      <c r="N580" s="103"/>
      <c r="O580" s="103"/>
      <c r="P580" s="103"/>
      <c r="Q580" s="103"/>
      <c r="R580" s="83"/>
      <c r="S580" s="103"/>
      <c r="T580" s="103"/>
      <c r="U580" s="103"/>
    </row>
    <row r="581" customFormat="false" ht="22.5" hidden="false" customHeight="true" outlineLevel="0" collapsed="false">
      <c r="A581" s="99"/>
      <c r="B581" s="99"/>
      <c r="C581" s="99"/>
      <c r="D581" s="121"/>
      <c r="E581" s="99"/>
      <c r="F581" s="124" t="str">
        <f aca="false">IF(E581="CONTADO", 4%, IF(E581="TARJETA / CHEQUE", 3%, IF(OR(E581="FINANCIADO", E581="MCP"), 2.5%, "")))</f>
        <v/>
      </c>
      <c r="G581" s="121" t="str">
        <f aca="false">IF(F581="", "", F581*D581)</f>
        <v/>
      </c>
      <c r="H581" s="132" t="b">
        <f aca="false">FALSE()</f>
        <v>0</v>
      </c>
      <c r="I581" s="132" t="b">
        <f aca="false">FALSE()</f>
        <v>0</v>
      </c>
      <c r="J581" s="126"/>
      <c r="K581" s="99"/>
      <c r="L581" s="83"/>
      <c r="M581" s="103"/>
      <c r="N581" s="103"/>
      <c r="O581" s="103"/>
      <c r="P581" s="103"/>
      <c r="Q581" s="103"/>
      <c r="R581" s="83"/>
      <c r="S581" s="103"/>
      <c r="T581" s="103"/>
      <c r="U581" s="103"/>
    </row>
    <row r="582" customFormat="false" ht="22.5" hidden="false" customHeight="true" outlineLevel="0" collapsed="false">
      <c r="A582" s="110"/>
      <c r="B582" s="110"/>
      <c r="C582" s="110"/>
      <c r="D582" s="122"/>
      <c r="E582" s="110"/>
      <c r="F582" s="128" t="str">
        <f aca="false">IF(E582="CONTADO", 4%, IF(E582="TARJETA / CHEQUE", 3%, IF(OR(E582="FINANCIADO", E582="MCP"), 2.5%, "")))</f>
        <v/>
      </c>
      <c r="G582" s="122" t="str">
        <f aca="false">IF(F582="", "", F582*D582)</f>
        <v/>
      </c>
      <c r="H582" s="131" t="b">
        <f aca="false">FALSE()</f>
        <v>0</v>
      </c>
      <c r="I582" s="131" t="b">
        <f aca="false">FALSE()</f>
        <v>0</v>
      </c>
      <c r="J582" s="130"/>
      <c r="K582" s="110"/>
      <c r="L582" s="83"/>
      <c r="M582" s="103"/>
      <c r="N582" s="103"/>
      <c r="O582" s="103"/>
      <c r="P582" s="103"/>
      <c r="Q582" s="103"/>
      <c r="R582" s="83"/>
      <c r="S582" s="103"/>
      <c r="T582" s="103"/>
      <c r="U582" s="103"/>
    </row>
    <row r="583" customFormat="false" ht="22.5" hidden="false" customHeight="true" outlineLevel="0" collapsed="false">
      <c r="A583" s="99"/>
      <c r="B583" s="99"/>
      <c r="C583" s="99"/>
      <c r="D583" s="121"/>
      <c r="E583" s="99"/>
      <c r="F583" s="124" t="str">
        <f aca="false">IF(E583="CONTADO", 4%, IF(E583="TARJETA / CHEQUE", 3%, IF(OR(E583="FINANCIADO", E583="MCP"), 2.5%, "")))</f>
        <v/>
      </c>
      <c r="G583" s="121" t="str">
        <f aca="false">IF(F583="", "", F583*D583)</f>
        <v/>
      </c>
      <c r="H583" s="132" t="b">
        <f aca="false">FALSE()</f>
        <v>0</v>
      </c>
      <c r="I583" s="132" t="b">
        <f aca="false">FALSE()</f>
        <v>0</v>
      </c>
      <c r="J583" s="126"/>
      <c r="K583" s="99"/>
      <c r="L583" s="83"/>
      <c r="M583" s="103"/>
      <c r="N583" s="103"/>
      <c r="O583" s="103"/>
      <c r="P583" s="103"/>
      <c r="Q583" s="103"/>
      <c r="R583" s="83"/>
      <c r="S583" s="103"/>
      <c r="T583" s="103"/>
      <c r="U583" s="103"/>
    </row>
    <row r="584" customFormat="false" ht="22.5" hidden="false" customHeight="true" outlineLevel="0" collapsed="false">
      <c r="A584" s="110"/>
      <c r="B584" s="110"/>
      <c r="C584" s="110"/>
      <c r="D584" s="122"/>
      <c r="E584" s="110"/>
      <c r="F584" s="128" t="str">
        <f aca="false">IF(E584="CONTADO", 4%, IF(E584="TARJETA / CHEQUE", 3%, IF(OR(E584="FINANCIADO", E584="MCP"), 2.5%, "")))</f>
        <v/>
      </c>
      <c r="G584" s="122" t="str">
        <f aca="false">IF(F584="", "", F584*D584)</f>
        <v/>
      </c>
      <c r="H584" s="131" t="b">
        <f aca="false">FALSE()</f>
        <v>0</v>
      </c>
      <c r="I584" s="131" t="b">
        <f aca="false">FALSE()</f>
        <v>0</v>
      </c>
      <c r="J584" s="130"/>
      <c r="K584" s="110"/>
      <c r="L584" s="83"/>
      <c r="M584" s="103"/>
      <c r="N584" s="103"/>
      <c r="O584" s="103"/>
      <c r="P584" s="103"/>
      <c r="Q584" s="103"/>
      <c r="R584" s="83"/>
      <c r="S584" s="103"/>
      <c r="T584" s="103"/>
      <c r="U584" s="103"/>
    </row>
    <row r="585" customFormat="false" ht="22.5" hidden="false" customHeight="true" outlineLevel="0" collapsed="false">
      <c r="A585" s="99"/>
      <c r="B585" s="99"/>
      <c r="C585" s="99"/>
      <c r="D585" s="121"/>
      <c r="E585" s="99"/>
      <c r="F585" s="124" t="str">
        <f aca="false">IF(E585="CONTADO", 4%, IF(E585="TARJETA / CHEQUE", 3%, IF(OR(E585="FINANCIADO", E585="MCP"), 2.5%, "")))</f>
        <v/>
      </c>
      <c r="G585" s="121" t="str">
        <f aca="false">IF(F585="", "", F585*D585)</f>
        <v/>
      </c>
      <c r="H585" s="132" t="b">
        <f aca="false">FALSE()</f>
        <v>0</v>
      </c>
      <c r="I585" s="132" t="b">
        <f aca="false">FALSE()</f>
        <v>0</v>
      </c>
      <c r="J585" s="126"/>
      <c r="K585" s="99"/>
      <c r="L585" s="83"/>
      <c r="M585" s="103"/>
      <c r="N585" s="103"/>
      <c r="O585" s="103"/>
      <c r="P585" s="103"/>
      <c r="Q585" s="103"/>
      <c r="R585" s="83"/>
      <c r="S585" s="103"/>
      <c r="T585" s="103"/>
      <c r="U585" s="103"/>
    </row>
    <row r="586" customFormat="false" ht="22.5" hidden="false" customHeight="true" outlineLevel="0" collapsed="false">
      <c r="A586" s="110"/>
      <c r="B586" s="110"/>
      <c r="C586" s="110"/>
      <c r="D586" s="122"/>
      <c r="E586" s="110"/>
      <c r="F586" s="128" t="str">
        <f aca="false">IF(E586="CONTADO", 4%, IF(E586="TARJETA / CHEQUE", 3%, IF(OR(E586="FINANCIADO", E586="MCP"), 2.5%, "")))</f>
        <v/>
      </c>
      <c r="G586" s="122" t="str">
        <f aca="false">IF(F586="", "", F586*D586)</f>
        <v/>
      </c>
      <c r="H586" s="131" t="b">
        <f aca="false">FALSE()</f>
        <v>0</v>
      </c>
      <c r="I586" s="131" t="b">
        <f aca="false">FALSE()</f>
        <v>0</v>
      </c>
      <c r="J586" s="130"/>
      <c r="K586" s="110"/>
      <c r="L586" s="83"/>
      <c r="M586" s="103"/>
      <c r="N586" s="103"/>
      <c r="O586" s="103"/>
      <c r="P586" s="103"/>
      <c r="Q586" s="103"/>
      <c r="R586" s="83"/>
      <c r="S586" s="103"/>
      <c r="T586" s="103"/>
      <c r="U586" s="103"/>
    </row>
    <row r="587" customFormat="false" ht="22.5" hidden="false" customHeight="true" outlineLevel="0" collapsed="false">
      <c r="A587" s="99"/>
      <c r="B587" s="99"/>
      <c r="C587" s="99"/>
      <c r="D587" s="121"/>
      <c r="E587" s="99"/>
      <c r="F587" s="124" t="str">
        <f aca="false">IF(E587="CONTADO", 4%, IF(E587="TARJETA / CHEQUE", 3%, IF(OR(E587="FINANCIADO", E587="MCP"), 2.5%, "")))</f>
        <v/>
      </c>
      <c r="G587" s="121" t="str">
        <f aca="false">IF(F587="", "", F587*D587)</f>
        <v/>
      </c>
      <c r="H587" s="132" t="b">
        <f aca="false">FALSE()</f>
        <v>0</v>
      </c>
      <c r="I587" s="132" t="b">
        <f aca="false">FALSE()</f>
        <v>0</v>
      </c>
      <c r="J587" s="126"/>
      <c r="K587" s="99"/>
      <c r="L587" s="83"/>
      <c r="M587" s="103"/>
      <c r="N587" s="103"/>
      <c r="O587" s="103"/>
      <c r="P587" s="103"/>
      <c r="Q587" s="103"/>
      <c r="R587" s="83"/>
      <c r="S587" s="103"/>
      <c r="T587" s="103"/>
      <c r="U587" s="103"/>
    </row>
    <row r="588" customFormat="false" ht="22.5" hidden="false" customHeight="true" outlineLevel="0" collapsed="false">
      <c r="A588" s="110"/>
      <c r="B588" s="110"/>
      <c r="C588" s="110"/>
      <c r="D588" s="122"/>
      <c r="E588" s="110"/>
      <c r="F588" s="128" t="str">
        <f aca="false">IF(E588="CONTADO", 4%, IF(E588="TARJETA / CHEQUE", 3%, IF(OR(E588="FINANCIADO", E588="MCP"), 2.5%, "")))</f>
        <v/>
      </c>
      <c r="G588" s="122" t="str">
        <f aca="false">IF(F588="", "", F588*D588)</f>
        <v/>
      </c>
      <c r="H588" s="131" t="b">
        <f aca="false">FALSE()</f>
        <v>0</v>
      </c>
      <c r="I588" s="131" t="b">
        <f aca="false">FALSE()</f>
        <v>0</v>
      </c>
      <c r="J588" s="130"/>
      <c r="K588" s="110"/>
      <c r="L588" s="83"/>
      <c r="M588" s="103"/>
      <c r="N588" s="103"/>
      <c r="O588" s="103"/>
      <c r="P588" s="103"/>
      <c r="Q588" s="103"/>
      <c r="R588" s="83"/>
      <c r="S588" s="103"/>
      <c r="T588" s="103"/>
      <c r="U588" s="103"/>
    </row>
    <row r="589" customFormat="false" ht="22.5" hidden="false" customHeight="true" outlineLevel="0" collapsed="false">
      <c r="A589" s="99"/>
      <c r="B589" s="99"/>
      <c r="C589" s="99"/>
      <c r="D589" s="121"/>
      <c r="E589" s="99"/>
      <c r="F589" s="124" t="str">
        <f aca="false">IF(E589="CONTADO", 4%, IF(E589="TARJETA / CHEQUE", 3%, IF(OR(E589="FINANCIADO", E589="MCP"), 2.5%, "")))</f>
        <v/>
      </c>
      <c r="G589" s="121" t="str">
        <f aca="false">IF(F589="", "", F589*D589)</f>
        <v/>
      </c>
      <c r="H589" s="132" t="b">
        <f aca="false">FALSE()</f>
        <v>0</v>
      </c>
      <c r="I589" s="132" t="b">
        <f aca="false">FALSE()</f>
        <v>0</v>
      </c>
      <c r="J589" s="126"/>
      <c r="K589" s="99"/>
      <c r="L589" s="83"/>
      <c r="M589" s="103"/>
      <c r="N589" s="103"/>
      <c r="O589" s="103"/>
      <c r="P589" s="103"/>
      <c r="Q589" s="103"/>
      <c r="R589" s="83"/>
      <c r="S589" s="103"/>
      <c r="T589" s="103"/>
      <c r="U589" s="103"/>
    </row>
    <row r="590" customFormat="false" ht="22.5" hidden="false" customHeight="true" outlineLevel="0" collapsed="false">
      <c r="A590" s="110"/>
      <c r="B590" s="110"/>
      <c r="C590" s="110"/>
      <c r="D590" s="122"/>
      <c r="E590" s="110"/>
      <c r="F590" s="128" t="str">
        <f aca="false">IF(E590="CONTADO", 4%, IF(E590="TARJETA / CHEQUE", 3%, IF(OR(E590="FINANCIADO", E590="MCP"), 2.5%, "")))</f>
        <v/>
      </c>
      <c r="G590" s="122" t="str">
        <f aca="false">IF(F590="", "", F590*D590)</f>
        <v/>
      </c>
      <c r="H590" s="131" t="b">
        <f aca="false">FALSE()</f>
        <v>0</v>
      </c>
      <c r="I590" s="131" t="b">
        <f aca="false">FALSE()</f>
        <v>0</v>
      </c>
      <c r="J590" s="130"/>
      <c r="K590" s="110"/>
      <c r="L590" s="83"/>
      <c r="M590" s="103"/>
      <c r="N590" s="103"/>
      <c r="O590" s="103"/>
      <c r="P590" s="103"/>
      <c r="Q590" s="103"/>
      <c r="R590" s="83"/>
      <c r="S590" s="103"/>
      <c r="T590" s="103"/>
      <c r="U590" s="103"/>
    </row>
    <row r="591" customFormat="false" ht="22.5" hidden="false" customHeight="true" outlineLevel="0" collapsed="false">
      <c r="A591" s="99"/>
      <c r="B591" s="99"/>
      <c r="C591" s="99"/>
      <c r="D591" s="121"/>
      <c r="E591" s="99"/>
      <c r="F591" s="124" t="str">
        <f aca="false">IF(E591="CONTADO", 4%, IF(E591="TARJETA / CHEQUE", 3%, IF(OR(E591="FINANCIADO", E591="MCP"), 2.5%, "")))</f>
        <v/>
      </c>
      <c r="G591" s="121" t="str">
        <f aca="false">IF(F591="", "", F591*D591)</f>
        <v/>
      </c>
      <c r="H591" s="132" t="b">
        <f aca="false">FALSE()</f>
        <v>0</v>
      </c>
      <c r="I591" s="132" t="b">
        <f aca="false">FALSE()</f>
        <v>0</v>
      </c>
      <c r="J591" s="126"/>
      <c r="K591" s="99"/>
      <c r="L591" s="83"/>
      <c r="M591" s="103"/>
      <c r="N591" s="103"/>
      <c r="O591" s="103"/>
      <c r="P591" s="103"/>
      <c r="Q591" s="103"/>
      <c r="R591" s="83"/>
      <c r="S591" s="103"/>
      <c r="T591" s="103"/>
      <c r="U591" s="103"/>
    </row>
    <row r="592" customFormat="false" ht="22.5" hidden="false" customHeight="true" outlineLevel="0" collapsed="false">
      <c r="A592" s="110"/>
      <c r="B592" s="110"/>
      <c r="C592" s="110"/>
      <c r="D592" s="122"/>
      <c r="E592" s="110"/>
      <c r="F592" s="128" t="str">
        <f aca="false">IF(E592="CONTADO", 4%, IF(E592="TARJETA / CHEQUE", 3%, IF(OR(E592="FINANCIADO", E592="MCP"), 2.5%, "")))</f>
        <v/>
      </c>
      <c r="G592" s="122" t="str">
        <f aca="false">IF(F592="", "", F592*D592)</f>
        <v/>
      </c>
      <c r="H592" s="131" t="b">
        <f aca="false">FALSE()</f>
        <v>0</v>
      </c>
      <c r="I592" s="131" t="b">
        <f aca="false">FALSE()</f>
        <v>0</v>
      </c>
      <c r="J592" s="130"/>
      <c r="K592" s="110"/>
      <c r="L592" s="83"/>
      <c r="M592" s="103"/>
      <c r="N592" s="103"/>
      <c r="O592" s="103"/>
      <c r="P592" s="103"/>
      <c r="Q592" s="103"/>
      <c r="R592" s="83"/>
      <c r="S592" s="103"/>
      <c r="T592" s="103"/>
      <c r="U592" s="103"/>
    </row>
    <row r="593" customFormat="false" ht="22.5" hidden="false" customHeight="true" outlineLevel="0" collapsed="false">
      <c r="A593" s="99"/>
      <c r="B593" s="99"/>
      <c r="C593" s="99"/>
      <c r="D593" s="121"/>
      <c r="E593" s="99"/>
      <c r="F593" s="124" t="str">
        <f aca="false">IF(E593="CONTADO", 4%, IF(E593="TARJETA / CHEQUE", 3%, IF(OR(E593="FINANCIADO", E593="MCP"), 2.5%, "")))</f>
        <v/>
      </c>
      <c r="G593" s="121" t="str">
        <f aca="false">IF(F593="", "", F593*D593)</f>
        <v/>
      </c>
      <c r="H593" s="132" t="b">
        <f aca="false">FALSE()</f>
        <v>0</v>
      </c>
      <c r="I593" s="132" t="b">
        <f aca="false">FALSE()</f>
        <v>0</v>
      </c>
      <c r="J593" s="126"/>
      <c r="K593" s="99"/>
      <c r="L593" s="83"/>
      <c r="M593" s="103"/>
      <c r="N593" s="103"/>
      <c r="O593" s="103"/>
      <c r="P593" s="103"/>
      <c r="Q593" s="103"/>
      <c r="R593" s="83"/>
      <c r="S593" s="103"/>
      <c r="T593" s="103"/>
      <c r="U593" s="103"/>
    </row>
    <row r="594" customFormat="false" ht="22.5" hidden="false" customHeight="true" outlineLevel="0" collapsed="false">
      <c r="A594" s="110"/>
      <c r="B594" s="110"/>
      <c r="C594" s="110"/>
      <c r="D594" s="122"/>
      <c r="E594" s="110"/>
      <c r="F594" s="128" t="str">
        <f aca="false">IF(E594="CONTADO", 4%, IF(E594="TARJETA / CHEQUE", 3%, IF(OR(E594="FINANCIADO", E594="MCP"), 2.5%, "")))</f>
        <v/>
      </c>
      <c r="G594" s="122" t="str">
        <f aca="false">IF(F594="", "", F594*D594)</f>
        <v/>
      </c>
      <c r="H594" s="131" t="b">
        <f aca="false">FALSE()</f>
        <v>0</v>
      </c>
      <c r="I594" s="131" t="b">
        <f aca="false">FALSE()</f>
        <v>0</v>
      </c>
      <c r="J594" s="130"/>
      <c r="K594" s="110"/>
      <c r="L594" s="83"/>
      <c r="M594" s="103"/>
      <c r="N594" s="103"/>
      <c r="O594" s="103"/>
      <c r="P594" s="103"/>
      <c r="Q594" s="103"/>
      <c r="R594" s="83"/>
      <c r="S594" s="103"/>
      <c r="T594" s="103"/>
      <c r="U594" s="103"/>
    </row>
    <row r="595" customFormat="false" ht="22.5" hidden="false" customHeight="true" outlineLevel="0" collapsed="false">
      <c r="A595" s="99"/>
      <c r="B595" s="99"/>
      <c r="C595" s="99"/>
      <c r="D595" s="121"/>
      <c r="E595" s="99"/>
      <c r="F595" s="124" t="str">
        <f aca="false">IF(E595="CONTADO", 4%, IF(E595="TARJETA / CHEQUE", 3%, IF(OR(E595="FINANCIADO", E595="MCP"), 2.5%, "")))</f>
        <v/>
      </c>
      <c r="G595" s="121" t="str">
        <f aca="false">IF(F595="", "", F595*D595)</f>
        <v/>
      </c>
      <c r="H595" s="132" t="b">
        <f aca="false">FALSE()</f>
        <v>0</v>
      </c>
      <c r="I595" s="132" t="b">
        <f aca="false">FALSE()</f>
        <v>0</v>
      </c>
      <c r="J595" s="126"/>
      <c r="K595" s="99"/>
      <c r="L595" s="83"/>
      <c r="M595" s="103"/>
      <c r="N595" s="103"/>
      <c r="O595" s="103"/>
      <c r="P595" s="103"/>
      <c r="Q595" s="103"/>
      <c r="R595" s="83"/>
      <c r="S595" s="103"/>
      <c r="T595" s="103"/>
      <c r="U595" s="103"/>
    </row>
    <row r="596" customFormat="false" ht="22.5" hidden="false" customHeight="true" outlineLevel="0" collapsed="false">
      <c r="A596" s="110"/>
      <c r="B596" s="110"/>
      <c r="C596" s="110"/>
      <c r="D596" s="122"/>
      <c r="E596" s="110"/>
      <c r="F596" s="128" t="str">
        <f aca="false">IF(E596="CONTADO", 4%, IF(E596="TARJETA / CHEQUE", 3%, IF(OR(E596="FINANCIADO", E596="MCP"), 2.5%, "")))</f>
        <v/>
      </c>
      <c r="G596" s="122" t="str">
        <f aca="false">IF(F596="", "", F596*D596)</f>
        <v/>
      </c>
      <c r="H596" s="131" t="b">
        <f aca="false">FALSE()</f>
        <v>0</v>
      </c>
      <c r="I596" s="131" t="b">
        <f aca="false">FALSE()</f>
        <v>0</v>
      </c>
      <c r="J596" s="130"/>
      <c r="K596" s="110"/>
      <c r="L596" s="83"/>
      <c r="M596" s="103"/>
      <c r="N596" s="103"/>
      <c r="O596" s="103"/>
      <c r="P596" s="103"/>
      <c r="Q596" s="103"/>
      <c r="R596" s="83"/>
      <c r="S596" s="103"/>
      <c r="T596" s="103"/>
      <c r="U596" s="103"/>
    </row>
    <row r="597" customFormat="false" ht="22.5" hidden="false" customHeight="true" outlineLevel="0" collapsed="false">
      <c r="A597" s="99"/>
      <c r="B597" s="99"/>
      <c r="C597" s="99"/>
      <c r="D597" s="121"/>
      <c r="E597" s="99"/>
      <c r="F597" s="124" t="str">
        <f aca="false">IF(E597="CONTADO", 4%, IF(E597="TARJETA / CHEQUE", 3%, IF(OR(E597="FINANCIADO", E597="MCP"), 2.5%, "")))</f>
        <v/>
      </c>
      <c r="G597" s="121" t="str">
        <f aca="false">IF(F597="", "", F597*D597)</f>
        <v/>
      </c>
      <c r="H597" s="132" t="b">
        <f aca="false">FALSE()</f>
        <v>0</v>
      </c>
      <c r="I597" s="132" t="b">
        <f aca="false">FALSE()</f>
        <v>0</v>
      </c>
      <c r="J597" s="126"/>
      <c r="K597" s="99"/>
      <c r="L597" s="83"/>
      <c r="M597" s="103"/>
      <c r="N597" s="103"/>
      <c r="O597" s="103"/>
      <c r="P597" s="103"/>
      <c r="Q597" s="103"/>
      <c r="R597" s="83"/>
      <c r="S597" s="103"/>
      <c r="T597" s="103"/>
      <c r="U597" s="103"/>
    </row>
    <row r="598" customFormat="false" ht="22.5" hidden="false" customHeight="true" outlineLevel="0" collapsed="false">
      <c r="A598" s="110"/>
      <c r="B598" s="110"/>
      <c r="C598" s="110"/>
      <c r="D598" s="122"/>
      <c r="E598" s="110"/>
      <c r="F598" s="128" t="str">
        <f aca="false">IF(E598="CONTADO", 4%, IF(E598="TARJETA / CHEQUE", 3%, IF(OR(E598="FINANCIADO", E598="MCP"), 2.5%, "")))</f>
        <v/>
      </c>
      <c r="G598" s="122" t="str">
        <f aca="false">IF(F598="", "", F598*D598)</f>
        <v/>
      </c>
      <c r="H598" s="131" t="b">
        <f aca="false">FALSE()</f>
        <v>0</v>
      </c>
      <c r="I598" s="131" t="b">
        <f aca="false">FALSE()</f>
        <v>0</v>
      </c>
      <c r="J598" s="130"/>
      <c r="K598" s="110"/>
      <c r="L598" s="83"/>
      <c r="M598" s="103"/>
      <c r="N598" s="103"/>
      <c r="O598" s="103"/>
      <c r="P598" s="103"/>
      <c r="Q598" s="103"/>
      <c r="R598" s="83"/>
      <c r="S598" s="103"/>
      <c r="T598" s="103"/>
      <c r="U598" s="103"/>
    </row>
    <row r="599" customFormat="false" ht="22.5" hidden="false" customHeight="true" outlineLevel="0" collapsed="false">
      <c r="A599" s="99"/>
      <c r="B599" s="99"/>
      <c r="C599" s="99"/>
      <c r="D599" s="121"/>
      <c r="E599" s="99"/>
      <c r="F599" s="124" t="str">
        <f aca="false">IF(E599="CONTADO", 4%, IF(E599="TARJETA / CHEQUE", 3%, IF(OR(E599="FINANCIADO", E599="MCP"), 2.5%, "")))</f>
        <v/>
      </c>
      <c r="G599" s="121" t="str">
        <f aca="false">IF(F599="", "", F599*D599)</f>
        <v/>
      </c>
      <c r="H599" s="132" t="b">
        <f aca="false">FALSE()</f>
        <v>0</v>
      </c>
      <c r="I599" s="132" t="b">
        <f aca="false">FALSE()</f>
        <v>0</v>
      </c>
      <c r="J599" s="126"/>
      <c r="K599" s="99"/>
      <c r="L599" s="83"/>
      <c r="M599" s="103"/>
      <c r="N599" s="103"/>
      <c r="O599" s="103"/>
      <c r="P599" s="103"/>
      <c r="Q599" s="103"/>
      <c r="R599" s="83"/>
      <c r="S599" s="103"/>
      <c r="T599" s="103"/>
      <c r="U599" s="103"/>
    </row>
    <row r="600" customFormat="false" ht="22.5" hidden="false" customHeight="true" outlineLevel="0" collapsed="false">
      <c r="A600" s="110"/>
      <c r="B600" s="110"/>
      <c r="C600" s="110"/>
      <c r="D600" s="122"/>
      <c r="E600" s="110"/>
      <c r="F600" s="128" t="str">
        <f aca="false">IF(E600="CONTADO", 4%, IF(E600="TARJETA / CHEQUE", 3%, IF(OR(E600="FINANCIADO", E600="MCP"), 2.5%, "")))</f>
        <v/>
      </c>
      <c r="G600" s="122" t="str">
        <f aca="false">IF(F600="", "", F600*D600)</f>
        <v/>
      </c>
      <c r="H600" s="131" t="b">
        <f aca="false">FALSE()</f>
        <v>0</v>
      </c>
      <c r="I600" s="131" t="b">
        <f aca="false">FALSE()</f>
        <v>0</v>
      </c>
      <c r="J600" s="130"/>
      <c r="K600" s="110"/>
      <c r="L600" s="83"/>
      <c r="M600" s="103"/>
      <c r="N600" s="103"/>
      <c r="O600" s="103"/>
      <c r="P600" s="103"/>
      <c r="Q600" s="103"/>
      <c r="R600" s="83"/>
      <c r="S600" s="103"/>
      <c r="T600" s="103"/>
      <c r="U600" s="103"/>
    </row>
    <row r="601" customFormat="false" ht="22.5" hidden="false" customHeight="true" outlineLevel="0" collapsed="false">
      <c r="A601" s="99"/>
      <c r="B601" s="99"/>
      <c r="C601" s="99"/>
      <c r="D601" s="121"/>
      <c r="E601" s="99"/>
      <c r="F601" s="124" t="str">
        <f aca="false">IF(E601="CONTADO", 4%, IF(E601="TARJETA / CHEQUE", 3%, IF(OR(E601="FINANCIADO", E601="MCP"), 2.5%, "")))</f>
        <v/>
      </c>
      <c r="G601" s="121" t="str">
        <f aca="false">IF(F601="", "", F601*D601)</f>
        <v/>
      </c>
      <c r="H601" s="132" t="b">
        <f aca="false">FALSE()</f>
        <v>0</v>
      </c>
      <c r="I601" s="132" t="b">
        <f aca="false">FALSE()</f>
        <v>0</v>
      </c>
      <c r="J601" s="126"/>
      <c r="K601" s="99"/>
      <c r="L601" s="83"/>
      <c r="M601" s="103"/>
      <c r="N601" s="103"/>
      <c r="O601" s="103"/>
      <c r="P601" s="103"/>
      <c r="Q601" s="103"/>
      <c r="R601" s="83"/>
      <c r="S601" s="103"/>
      <c r="T601" s="103"/>
      <c r="U601" s="103"/>
    </row>
    <row r="602" customFormat="false" ht="22.5" hidden="false" customHeight="true" outlineLevel="0" collapsed="false">
      <c r="A602" s="110"/>
      <c r="B602" s="110"/>
      <c r="C602" s="110"/>
      <c r="D602" s="122"/>
      <c r="E602" s="110"/>
      <c r="F602" s="128" t="str">
        <f aca="false">IF(E602="CONTADO", 4%, IF(E602="TARJETA / CHEQUE", 3%, IF(OR(E602="FINANCIADO", E602="MCP"), 2.5%, "")))</f>
        <v/>
      </c>
      <c r="G602" s="122" t="str">
        <f aca="false">IF(F602="", "", F602*D602)</f>
        <v/>
      </c>
      <c r="H602" s="131" t="b">
        <f aca="false">FALSE()</f>
        <v>0</v>
      </c>
      <c r="I602" s="131" t="b">
        <f aca="false">FALSE()</f>
        <v>0</v>
      </c>
      <c r="J602" s="130"/>
      <c r="K602" s="110"/>
      <c r="L602" s="83"/>
      <c r="M602" s="103"/>
      <c r="N602" s="103"/>
      <c r="O602" s="103"/>
      <c r="P602" s="103"/>
      <c r="Q602" s="103"/>
      <c r="R602" s="83"/>
      <c r="S602" s="103"/>
      <c r="T602" s="103"/>
      <c r="U602" s="103"/>
    </row>
    <row r="603" customFormat="false" ht="22.5" hidden="false" customHeight="true" outlineLevel="0" collapsed="false">
      <c r="A603" s="99"/>
      <c r="B603" s="99"/>
      <c r="C603" s="99"/>
      <c r="D603" s="121"/>
      <c r="E603" s="99"/>
      <c r="F603" s="124" t="str">
        <f aca="false">IF(E603="CONTADO", 4%, IF(E603="TARJETA / CHEQUE", 3%, IF(OR(E603="FINANCIADO", E603="MCP"), 2.5%, "")))</f>
        <v/>
      </c>
      <c r="G603" s="121" t="str">
        <f aca="false">IF(F603="", "", F603*D603)</f>
        <v/>
      </c>
      <c r="H603" s="132" t="b">
        <f aca="false">FALSE()</f>
        <v>0</v>
      </c>
      <c r="I603" s="132" t="b">
        <f aca="false">FALSE()</f>
        <v>0</v>
      </c>
      <c r="J603" s="126"/>
      <c r="K603" s="99"/>
      <c r="L603" s="83"/>
      <c r="M603" s="103"/>
      <c r="N603" s="103"/>
      <c r="O603" s="103"/>
      <c r="P603" s="103"/>
      <c r="Q603" s="103"/>
      <c r="R603" s="83"/>
      <c r="S603" s="103"/>
      <c r="T603" s="103"/>
      <c r="U603" s="103"/>
    </row>
    <row r="604" customFormat="false" ht="22.5" hidden="false" customHeight="true" outlineLevel="0" collapsed="false">
      <c r="A604" s="110"/>
      <c r="B604" s="110"/>
      <c r="C604" s="110"/>
      <c r="D604" s="122"/>
      <c r="E604" s="110"/>
      <c r="F604" s="128" t="str">
        <f aca="false">IF(E604="CONTADO", 4%, IF(E604="TARJETA / CHEQUE", 3%, IF(OR(E604="FINANCIADO", E604="MCP"), 2.5%, "")))</f>
        <v/>
      </c>
      <c r="G604" s="122" t="str">
        <f aca="false">IF(F604="", "", F604*D604)</f>
        <v/>
      </c>
      <c r="H604" s="131" t="b">
        <f aca="false">FALSE()</f>
        <v>0</v>
      </c>
      <c r="I604" s="131" t="b">
        <f aca="false">FALSE()</f>
        <v>0</v>
      </c>
      <c r="J604" s="130"/>
      <c r="K604" s="110"/>
      <c r="L604" s="83"/>
      <c r="M604" s="103"/>
      <c r="N604" s="103"/>
      <c r="O604" s="103"/>
      <c r="P604" s="103"/>
      <c r="Q604" s="103"/>
      <c r="R604" s="83"/>
      <c r="S604" s="103"/>
      <c r="T604" s="103"/>
      <c r="U604" s="103"/>
    </row>
    <row r="605" customFormat="false" ht="22.5" hidden="false" customHeight="true" outlineLevel="0" collapsed="false">
      <c r="A605" s="99"/>
      <c r="B605" s="99"/>
      <c r="C605" s="99"/>
      <c r="D605" s="121"/>
      <c r="E605" s="99"/>
      <c r="F605" s="124" t="str">
        <f aca="false">IF(E605="CONTADO", 4%, IF(E605="TARJETA / CHEQUE", 3%, IF(OR(E605="FINANCIADO", E605="MCP"), 2.5%, "")))</f>
        <v/>
      </c>
      <c r="G605" s="121" t="str">
        <f aca="false">IF(F605="", "", F605*D605)</f>
        <v/>
      </c>
      <c r="H605" s="132" t="b">
        <f aca="false">FALSE()</f>
        <v>0</v>
      </c>
      <c r="I605" s="132" t="b">
        <f aca="false">FALSE()</f>
        <v>0</v>
      </c>
      <c r="J605" s="126"/>
      <c r="K605" s="99"/>
      <c r="L605" s="83"/>
      <c r="M605" s="103"/>
      <c r="N605" s="103"/>
      <c r="O605" s="103"/>
      <c r="P605" s="103"/>
      <c r="Q605" s="103"/>
      <c r="R605" s="83"/>
      <c r="S605" s="103"/>
      <c r="T605" s="103"/>
      <c r="U605" s="103"/>
    </row>
    <row r="606" customFormat="false" ht="22.5" hidden="false" customHeight="true" outlineLevel="0" collapsed="false">
      <c r="A606" s="110"/>
      <c r="B606" s="110"/>
      <c r="C606" s="110"/>
      <c r="D606" s="122"/>
      <c r="E606" s="110"/>
      <c r="F606" s="128" t="str">
        <f aca="false">IF(E606="CONTADO", 4%, IF(E606="TARJETA / CHEQUE", 3%, IF(OR(E606="FINANCIADO", E606="MCP"), 2.5%, "")))</f>
        <v/>
      </c>
      <c r="G606" s="122" t="str">
        <f aca="false">IF(F606="", "", F606*D606)</f>
        <v/>
      </c>
      <c r="H606" s="131" t="b">
        <f aca="false">FALSE()</f>
        <v>0</v>
      </c>
      <c r="I606" s="131" t="b">
        <f aca="false">FALSE()</f>
        <v>0</v>
      </c>
      <c r="J606" s="130"/>
      <c r="K606" s="110"/>
      <c r="L606" s="83"/>
      <c r="M606" s="103"/>
      <c r="N606" s="103"/>
      <c r="O606" s="103"/>
      <c r="P606" s="103"/>
      <c r="Q606" s="103"/>
      <c r="R606" s="83"/>
      <c r="S606" s="103"/>
      <c r="T606" s="103"/>
      <c r="U606" s="103"/>
    </row>
    <row r="607" customFormat="false" ht="22.5" hidden="false" customHeight="true" outlineLevel="0" collapsed="false">
      <c r="A607" s="99"/>
      <c r="B607" s="99"/>
      <c r="C607" s="99"/>
      <c r="D607" s="121"/>
      <c r="E607" s="99"/>
      <c r="F607" s="124" t="str">
        <f aca="false">IF(E607="CONTADO", 4%, IF(E607="TARJETA / CHEQUE", 3%, IF(OR(E607="FINANCIADO", E607="MCP"), 2.5%, "")))</f>
        <v/>
      </c>
      <c r="G607" s="121" t="str">
        <f aca="false">IF(F607="", "", F607*D607)</f>
        <v/>
      </c>
      <c r="H607" s="132" t="b">
        <f aca="false">FALSE()</f>
        <v>0</v>
      </c>
      <c r="I607" s="132" t="b">
        <f aca="false">FALSE()</f>
        <v>0</v>
      </c>
      <c r="J607" s="126"/>
      <c r="K607" s="99"/>
      <c r="L607" s="83"/>
      <c r="M607" s="103"/>
      <c r="N607" s="103"/>
      <c r="O607" s="103"/>
      <c r="P607" s="103"/>
      <c r="Q607" s="103"/>
      <c r="R607" s="83"/>
      <c r="S607" s="103"/>
      <c r="T607" s="103"/>
      <c r="U607" s="103"/>
    </row>
    <row r="608" customFormat="false" ht="22.5" hidden="false" customHeight="true" outlineLevel="0" collapsed="false">
      <c r="A608" s="110"/>
      <c r="B608" s="110"/>
      <c r="C608" s="110"/>
      <c r="D608" s="122"/>
      <c r="E608" s="110"/>
      <c r="F608" s="128" t="str">
        <f aca="false">IF(E608="CONTADO", 4%, IF(E608="TARJETA / CHEQUE", 3%, IF(OR(E608="FINANCIADO", E608="MCP"), 2.5%, "")))</f>
        <v/>
      </c>
      <c r="G608" s="122" t="str">
        <f aca="false">IF(F608="", "", F608*D608)</f>
        <v/>
      </c>
      <c r="H608" s="131" t="b">
        <f aca="false">FALSE()</f>
        <v>0</v>
      </c>
      <c r="I608" s="131" t="b">
        <f aca="false">FALSE()</f>
        <v>0</v>
      </c>
      <c r="J608" s="130"/>
      <c r="K608" s="110"/>
      <c r="L608" s="83"/>
      <c r="M608" s="103"/>
      <c r="N608" s="103"/>
      <c r="O608" s="103"/>
      <c r="P608" s="103"/>
      <c r="Q608" s="103"/>
      <c r="R608" s="83"/>
      <c r="S608" s="103"/>
      <c r="T608" s="103"/>
      <c r="U608" s="103"/>
    </row>
    <row r="609" customFormat="false" ht="22.5" hidden="false" customHeight="true" outlineLevel="0" collapsed="false">
      <c r="A609" s="99"/>
      <c r="B609" s="99"/>
      <c r="C609" s="99"/>
      <c r="D609" s="121"/>
      <c r="E609" s="99"/>
      <c r="F609" s="124" t="str">
        <f aca="false">IF(E609="CONTADO", 4%, IF(E609="TARJETA / CHEQUE", 3%, IF(OR(E609="FINANCIADO", E609="MCP"), 2.5%, "")))</f>
        <v/>
      </c>
      <c r="G609" s="121" t="str">
        <f aca="false">IF(F609="", "", F609*D609)</f>
        <v/>
      </c>
      <c r="H609" s="132" t="b">
        <f aca="false">FALSE()</f>
        <v>0</v>
      </c>
      <c r="I609" s="132" t="b">
        <f aca="false">FALSE()</f>
        <v>0</v>
      </c>
      <c r="J609" s="126"/>
      <c r="K609" s="99"/>
      <c r="L609" s="83"/>
      <c r="M609" s="103"/>
      <c r="N609" s="103"/>
      <c r="O609" s="103"/>
      <c r="P609" s="103"/>
      <c r="Q609" s="103"/>
      <c r="R609" s="83"/>
      <c r="S609" s="103"/>
      <c r="T609" s="103"/>
      <c r="U609" s="103"/>
    </row>
    <row r="610" customFormat="false" ht="22.5" hidden="false" customHeight="true" outlineLevel="0" collapsed="false">
      <c r="A610" s="110"/>
      <c r="B610" s="110"/>
      <c r="C610" s="110"/>
      <c r="D610" s="122"/>
      <c r="E610" s="110"/>
      <c r="F610" s="128" t="str">
        <f aca="false">IF(E610="CONTADO", 4%, IF(E610="TARJETA / CHEQUE", 3%, IF(OR(E610="FINANCIADO", E610="MCP"), 2.5%, "")))</f>
        <v/>
      </c>
      <c r="G610" s="122" t="str">
        <f aca="false">IF(F610="", "", F610*D610)</f>
        <v/>
      </c>
      <c r="H610" s="131" t="b">
        <f aca="false">FALSE()</f>
        <v>0</v>
      </c>
      <c r="I610" s="131" t="b">
        <f aca="false">FALSE()</f>
        <v>0</v>
      </c>
      <c r="J610" s="130"/>
      <c r="K610" s="110"/>
      <c r="L610" s="83"/>
      <c r="M610" s="103"/>
      <c r="N610" s="103"/>
      <c r="O610" s="103"/>
      <c r="P610" s="103"/>
      <c r="Q610" s="103"/>
      <c r="R610" s="83"/>
      <c r="S610" s="103"/>
      <c r="T610" s="103"/>
      <c r="U610" s="103"/>
    </row>
    <row r="611" customFormat="false" ht="22.5" hidden="false" customHeight="true" outlineLevel="0" collapsed="false">
      <c r="A611" s="99"/>
      <c r="B611" s="99"/>
      <c r="C611" s="99"/>
      <c r="D611" s="121"/>
      <c r="E611" s="99"/>
      <c r="F611" s="124" t="str">
        <f aca="false">IF(E611="CONTADO", 4%, IF(E611="TARJETA / CHEQUE", 3%, IF(OR(E611="FINANCIADO", E611="MCP"), 2.5%, "")))</f>
        <v/>
      </c>
      <c r="G611" s="121" t="str">
        <f aca="false">IF(F611="", "", F611*D611)</f>
        <v/>
      </c>
      <c r="H611" s="132" t="b">
        <f aca="false">FALSE()</f>
        <v>0</v>
      </c>
      <c r="I611" s="132" t="b">
        <f aca="false">FALSE()</f>
        <v>0</v>
      </c>
      <c r="J611" s="126"/>
      <c r="K611" s="99"/>
      <c r="L611" s="83"/>
      <c r="M611" s="103"/>
      <c r="N611" s="103"/>
      <c r="O611" s="103"/>
      <c r="P611" s="103"/>
      <c r="Q611" s="103"/>
      <c r="R611" s="83"/>
      <c r="S611" s="103"/>
      <c r="T611" s="103"/>
      <c r="U611" s="103"/>
    </row>
    <row r="612" customFormat="false" ht="22.5" hidden="false" customHeight="true" outlineLevel="0" collapsed="false">
      <c r="A612" s="110"/>
      <c r="B612" s="110"/>
      <c r="C612" s="110"/>
      <c r="D612" s="122"/>
      <c r="E612" s="110"/>
      <c r="F612" s="128" t="str">
        <f aca="false">IF(E612="CONTADO", 4%, IF(E612="TARJETA / CHEQUE", 3%, IF(OR(E612="FINANCIADO", E612="MCP"), 2.5%, "")))</f>
        <v/>
      </c>
      <c r="G612" s="122" t="str">
        <f aca="false">IF(F612="", "", F612*D612)</f>
        <v/>
      </c>
      <c r="H612" s="131" t="b">
        <f aca="false">FALSE()</f>
        <v>0</v>
      </c>
      <c r="I612" s="131" t="b">
        <f aca="false">FALSE()</f>
        <v>0</v>
      </c>
      <c r="J612" s="130"/>
      <c r="K612" s="110"/>
      <c r="L612" s="83"/>
      <c r="M612" s="103"/>
      <c r="N612" s="103"/>
      <c r="O612" s="103"/>
      <c r="P612" s="103"/>
      <c r="Q612" s="103"/>
      <c r="R612" s="83"/>
      <c r="S612" s="103"/>
      <c r="T612" s="103"/>
      <c r="U612" s="103"/>
    </row>
    <row r="613" customFormat="false" ht="22.5" hidden="false" customHeight="true" outlineLevel="0" collapsed="false">
      <c r="A613" s="99"/>
      <c r="B613" s="99"/>
      <c r="C613" s="99"/>
      <c r="D613" s="121"/>
      <c r="E613" s="99"/>
      <c r="F613" s="124" t="str">
        <f aca="false">IF(E613="CONTADO", 4%, IF(E613="TARJETA / CHEQUE", 3%, IF(OR(E613="FINANCIADO", E613="MCP"), 2.5%, "")))</f>
        <v/>
      </c>
      <c r="G613" s="121" t="str">
        <f aca="false">IF(F613="", "", F613*D613)</f>
        <v/>
      </c>
      <c r="H613" s="132" t="b">
        <f aca="false">FALSE()</f>
        <v>0</v>
      </c>
      <c r="I613" s="132" t="b">
        <f aca="false">FALSE()</f>
        <v>0</v>
      </c>
      <c r="J613" s="126"/>
      <c r="K613" s="99"/>
      <c r="L613" s="83"/>
      <c r="M613" s="103"/>
      <c r="N613" s="103"/>
      <c r="O613" s="103"/>
      <c r="P613" s="103"/>
      <c r="Q613" s="103"/>
      <c r="R613" s="83"/>
      <c r="S613" s="103"/>
      <c r="T613" s="103"/>
      <c r="U613" s="103"/>
    </row>
    <row r="614" customFormat="false" ht="22.5" hidden="false" customHeight="true" outlineLevel="0" collapsed="false">
      <c r="A614" s="110"/>
      <c r="B614" s="110"/>
      <c r="C614" s="110"/>
      <c r="D614" s="122"/>
      <c r="E614" s="110"/>
      <c r="F614" s="128" t="str">
        <f aca="false">IF(E614="CONTADO", 4%, IF(E614="TARJETA / CHEQUE", 3%, IF(OR(E614="FINANCIADO", E614="MCP"), 2.5%, "")))</f>
        <v/>
      </c>
      <c r="G614" s="122" t="str">
        <f aca="false">IF(F614="", "", F614*D614)</f>
        <v/>
      </c>
      <c r="H614" s="131" t="b">
        <f aca="false">FALSE()</f>
        <v>0</v>
      </c>
      <c r="I614" s="131" t="b">
        <f aca="false">FALSE()</f>
        <v>0</v>
      </c>
      <c r="J614" s="130"/>
      <c r="K614" s="110"/>
      <c r="L614" s="83"/>
      <c r="M614" s="103"/>
      <c r="N614" s="103"/>
      <c r="O614" s="103"/>
      <c r="P614" s="103"/>
      <c r="Q614" s="103"/>
      <c r="R614" s="83"/>
      <c r="S614" s="103"/>
      <c r="T614" s="103"/>
      <c r="U614" s="103"/>
    </row>
    <row r="615" customFormat="false" ht="22.5" hidden="false" customHeight="true" outlineLevel="0" collapsed="false">
      <c r="A615" s="99"/>
      <c r="B615" s="99"/>
      <c r="C615" s="99"/>
      <c r="D615" s="121"/>
      <c r="E615" s="99"/>
      <c r="F615" s="124" t="str">
        <f aca="false">IF(E615="CONTADO", 4%, IF(E615="TARJETA / CHEQUE", 3%, IF(OR(E615="FINANCIADO", E615="MCP"), 2.5%, "")))</f>
        <v/>
      </c>
      <c r="G615" s="121" t="str">
        <f aca="false">IF(F615="", "", F615*D615)</f>
        <v/>
      </c>
      <c r="H615" s="132" t="b">
        <f aca="false">FALSE()</f>
        <v>0</v>
      </c>
      <c r="I615" s="132" t="b">
        <f aca="false">FALSE()</f>
        <v>0</v>
      </c>
      <c r="J615" s="126"/>
      <c r="K615" s="99"/>
      <c r="L615" s="83"/>
      <c r="M615" s="103"/>
      <c r="N615" s="103"/>
      <c r="O615" s="103"/>
      <c r="P615" s="103"/>
      <c r="Q615" s="103"/>
      <c r="R615" s="83"/>
      <c r="S615" s="103"/>
      <c r="T615" s="103"/>
      <c r="U615" s="103"/>
    </row>
    <row r="616" customFormat="false" ht="22.5" hidden="false" customHeight="true" outlineLevel="0" collapsed="false">
      <c r="A616" s="110"/>
      <c r="B616" s="110"/>
      <c r="C616" s="110"/>
      <c r="D616" s="122"/>
      <c r="E616" s="110"/>
      <c r="F616" s="128" t="str">
        <f aca="false">IF(E616="CONTADO", 4%, IF(E616="TARJETA / CHEQUE", 3%, IF(OR(E616="FINANCIADO", E616="MCP"), 2.5%, "")))</f>
        <v/>
      </c>
      <c r="G616" s="122" t="str">
        <f aca="false">IF(F616="", "", F616*D616)</f>
        <v/>
      </c>
      <c r="H616" s="131" t="b">
        <f aca="false">FALSE()</f>
        <v>0</v>
      </c>
      <c r="I616" s="131" t="b">
        <f aca="false">FALSE()</f>
        <v>0</v>
      </c>
      <c r="J616" s="130"/>
      <c r="K616" s="110"/>
      <c r="L616" s="83"/>
      <c r="M616" s="103"/>
      <c r="N616" s="103"/>
      <c r="O616" s="103"/>
      <c r="P616" s="103"/>
      <c r="Q616" s="103"/>
      <c r="R616" s="83"/>
      <c r="S616" s="103"/>
      <c r="T616" s="103"/>
      <c r="U616" s="103"/>
    </row>
    <row r="617" customFormat="false" ht="22.5" hidden="false" customHeight="true" outlineLevel="0" collapsed="false">
      <c r="A617" s="99"/>
      <c r="B617" s="99"/>
      <c r="C617" s="99"/>
      <c r="D617" s="121"/>
      <c r="E617" s="99"/>
      <c r="F617" s="124" t="str">
        <f aca="false">IF(E617="CONTADO", 4%, IF(E617="TARJETA / CHEQUE", 3%, IF(OR(E617="FINANCIADO", E617="MCP"), 2.5%, "")))</f>
        <v/>
      </c>
      <c r="G617" s="121" t="str">
        <f aca="false">IF(F617="", "", F617*D617)</f>
        <v/>
      </c>
      <c r="H617" s="132" t="b">
        <f aca="false">FALSE()</f>
        <v>0</v>
      </c>
      <c r="I617" s="132" t="b">
        <f aca="false">FALSE()</f>
        <v>0</v>
      </c>
      <c r="J617" s="126"/>
      <c r="K617" s="99"/>
      <c r="L617" s="83"/>
      <c r="M617" s="103"/>
      <c r="N617" s="103"/>
      <c r="O617" s="103"/>
      <c r="P617" s="103"/>
      <c r="Q617" s="103"/>
      <c r="R617" s="83"/>
      <c r="S617" s="103"/>
      <c r="T617" s="103"/>
      <c r="U617" s="103"/>
    </row>
    <row r="618" customFormat="false" ht="22.5" hidden="false" customHeight="true" outlineLevel="0" collapsed="false">
      <c r="A618" s="110"/>
      <c r="B618" s="110"/>
      <c r="C618" s="110"/>
      <c r="D618" s="122"/>
      <c r="E618" s="110"/>
      <c r="F618" s="128" t="str">
        <f aca="false">IF(E618="CONTADO", 4%, IF(E618="TARJETA / CHEQUE", 3%, IF(OR(E618="FINANCIADO", E618="MCP"), 2.5%, "")))</f>
        <v/>
      </c>
      <c r="G618" s="122" t="str">
        <f aca="false">IF(F618="", "", F618*D618)</f>
        <v/>
      </c>
      <c r="H618" s="131" t="b">
        <f aca="false">FALSE()</f>
        <v>0</v>
      </c>
      <c r="I618" s="131" t="b">
        <f aca="false">FALSE()</f>
        <v>0</v>
      </c>
      <c r="J618" s="130"/>
      <c r="K618" s="110"/>
      <c r="L618" s="83"/>
      <c r="M618" s="103"/>
      <c r="N618" s="103"/>
      <c r="O618" s="103"/>
      <c r="P618" s="103"/>
      <c r="Q618" s="103"/>
      <c r="R618" s="83"/>
      <c r="S618" s="103"/>
      <c r="T618" s="103"/>
      <c r="U618" s="103"/>
    </row>
    <row r="619" customFormat="false" ht="22.5" hidden="false" customHeight="true" outlineLevel="0" collapsed="false">
      <c r="A619" s="99"/>
      <c r="B619" s="99"/>
      <c r="C619" s="99"/>
      <c r="D619" s="121"/>
      <c r="E619" s="99"/>
      <c r="F619" s="124" t="str">
        <f aca="false">IF(E619="CONTADO", 4%, IF(E619="TARJETA / CHEQUE", 3%, IF(OR(E619="FINANCIADO", E619="MCP"), 2.5%, "")))</f>
        <v/>
      </c>
      <c r="G619" s="121" t="str">
        <f aca="false">IF(F619="", "", F619*D619)</f>
        <v/>
      </c>
      <c r="H619" s="132" t="b">
        <f aca="false">FALSE()</f>
        <v>0</v>
      </c>
      <c r="I619" s="132" t="b">
        <f aca="false">FALSE()</f>
        <v>0</v>
      </c>
      <c r="J619" s="126"/>
      <c r="K619" s="99"/>
      <c r="L619" s="83"/>
      <c r="M619" s="103"/>
      <c r="N619" s="103"/>
      <c r="O619" s="103"/>
      <c r="P619" s="103"/>
      <c r="Q619" s="103"/>
      <c r="R619" s="83"/>
      <c r="S619" s="103"/>
      <c r="T619" s="103"/>
      <c r="U619" s="103"/>
    </row>
    <row r="620" customFormat="false" ht="22.5" hidden="false" customHeight="true" outlineLevel="0" collapsed="false">
      <c r="A620" s="110"/>
      <c r="B620" s="110"/>
      <c r="C620" s="110"/>
      <c r="D620" s="122"/>
      <c r="E620" s="110"/>
      <c r="F620" s="128" t="str">
        <f aca="false">IF(E620="CONTADO", 4%, IF(E620="TARJETA / CHEQUE", 3%, IF(OR(E620="FINANCIADO", E620="MCP"), 2.5%, "")))</f>
        <v/>
      </c>
      <c r="G620" s="122" t="str">
        <f aca="false">IF(F620="", "", F620*D620)</f>
        <v/>
      </c>
      <c r="H620" s="131" t="b">
        <f aca="false">FALSE()</f>
        <v>0</v>
      </c>
      <c r="I620" s="131" t="b">
        <f aca="false">FALSE()</f>
        <v>0</v>
      </c>
      <c r="J620" s="130"/>
      <c r="K620" s="110"/>
      <c r="L620" s="83"/>
      <c r="M620" s="103"/>
      <c r="N620" s="103"/>
      <c r="O620" s="103"/>
      <c r="P620" s="103"/>
      <c r="Q620" s="103"/>
      <c r="R620" s="83"/>
      <c r="S620" s="103"/>
      <c r="T620" s="103"/>
      <c r="U620" s="103"/>
    </row>
    <row r="621" customFormat="false" ht="22.5" hidden="false" customHeight="true" outlineLevel="0" collapsed="false">
      <c r="A621" s="99"/>
      <c r="B621" s="99"/>
      <c r="C621" s="99"/>
      <c r="D621" s="121"/>
      <c r="E621" s="99"/>
      <c r="F621" s="124" t="str">
        <f aca="false">IF(E621="CONTADO", 4%, IF(E621="TARJETA / CHEQUE", 3%, IF(OR(E621="FINANCIADO", E621="MCP"), 2.5%, "")))</f>
        <v/>
      </c>
      <c r="G621" s="121" t="str">
        <f aca="false">IF(F621="", "", F621*D621)</f>
        <v/>
      </c>
      <c r="H621" s="132" t="b">
        <f aca="false">FALSE()</f>
        <v>0</v>
      </c>
      <c r="I621" s="132" t="b">
        <f aca="false">FALSE()</f>
        <v>0</v>
      </c>
      <c r="J621" s="126"/>
      <c r="K621" s="99"/>
      <c r="L621" s="83"/>
      <c r="M621" s="103"/>
      <c r="N621" s="103"/>
      <c r="O621" s="103"/>
      <c r="P621" s="103"/>
      <c r="Q621" s="103"/>
      <c r="R621" s="83"/>
      <c r="S621" s="103"/>
      <c r="T621" s="103"/>
      <c r="U621" s="103"/>
    </row>
    <row r="622" customFormat="false" ht="22.5" hidden="false" customHeight="true" outlineLevel="0" collapsed="false">
      <c r="A622" s="110"/>
      <c r="B622" s="110"/>
      <c r="C622" s="110"/>
      <c r="D622" s="122"/>
      <c r="E622" s="110"/>
      <c r="F622" s="128" t="str">
        <f aca="false">IF(E622="CONTADO", 4%, IF(E622="TARJETA / CHEQUE", 3%, IF(OR(E622="FINANCIADO", E622="MCP"), 2.5%, "")))</f>
        <v/>
      </c>
      <c r="G622" s="122" t="str">
        <f aca="false">IF(F622="", "", F622*D622)</f>
        <v/>
      </c>
      <c r="H622" s="131" t="b">
        <f aca="false">FALSE()</f>
        <v>0</v>
      </c>
      <c r="I622" s="131" t="b">
        <f aca="false">FALSE()</f>
        <v>0</v>
      </c>
      <c r="J622" s="130"/>
      <c r="K622" s="110"/>
      <c r="L622" s="83"/>
      <c r="M622" s="103"/>
      <c r="N622" s="103"/>
      <c r="O622" s="103"/>
      <c r="P622" s="103"/>
      <c r="Q622" s="103"/>
      <c r="R622" s="83"/>
      <c r="S622" s="103"/>
      <c r="T622" s="103"/>
      <c r="U622" s="103"/>
    </row>
    <row r="623" customFormat="false" ht="22.5" hidden="false" customHeight="true" outlineLevel="0" collapsed="false">
      <c r="A623" s="99"/>
      <c r="B623" s="99"/>
      <c r="C623" s="99"/>
      <c r="D623" s="121"/>
      <c r="E623" s="99"/>
      <c r="F623" s="124" t="str">
        <f aca="false">IF(E623="CONTADO", 4%, IF(E623="TARJETA / CHEQUE", 3%, IF(OR(E623="FINANCIADO", E623="MCP"), 2.5%, "")))</f>
        <v/>
      </c>
      <c r="G623" s="121" t="str">
        <f aca="false">IF(F623="", "", F623*D623)</f>
        <v/>
      </c>
      <c r="H623" s="132" t="b">
        <f aca="false">FALSE()</f>
        <v>0</v>
      </c>
      <c r="I623" s="132" t="b">
        <f aca="false">FALSE()</f>
        <v>0</v>
      </c>
      <c r="J623" s="126"/>
      <c r="K623" s="99"/>
      <c r="L623" s="83"/>
      <c r="M623" s="103"/>
      <c r="N623" s="103"/>
      <c r="O623" s="103"/>
      <c r="P623" s="103"/>
      <c r="Q623" s="103"/>
      <c r="R623" s="83"/>
      <c r="S623" s="103"/>
      <c r="T623" s="103"/>
      <c r="U623" s="103"/>
    </row>
    <row r="624" customFormat="false" ht="22.5" hidden="false" customHeight="true" outlineLevel="0" collapsed="false">
      <c r="A624" s="110"/>
      <c r="B624" s="110"/>
      <c r="C624" s="110"/>
      <c r="D624" s="122"/>
      <c r="E624" s="110"/>
      <c r="F624" s="128" t="str">
        <f aca="false">IF(E624="CONTADO", 4%, IF(E624="TARJETA / CHEQUE", 3%, IF(OR(E624="FINANCIADO", E624="MCP"), 2.5%, "")))</f>
        <v/>
      </c>
      <c r="G624" s="122" t="str">
        <f aca="false">IF(F624="", "", F624*D624)</f>
        <v/>
      </c>
      <c r="H624" s="131" t="b">
        <f aca="false">FALSE()</f>
        <v>0</v>
      </c>
      <c r="I624" s="131" t="b">
        <f aca="false">FALSE()</f>
        <v>0</v>
      </c>
      <c r="J624" s="130"/>
      <c r="K624" s="110"/>
      <c r="L624" s="83"/>
      <c r="M624" s="103"/>
      <c r="N624" s="103"/>
      <c r="O624" s="103"/>
      <c r="P624" s="103"/>
      <c r="Q624" s="103"/>
      <c r="R624" s="83"/>
      <c r="S624" s="103"/>
      <c r="T624" s="103"/>
      <c r="U624" s="103"/>
    </row>
    <row r="625" customFormat="false" ht="22.5" hidden="false" customHeight="true" outlineLevel="0" collapsed="false">
      <c r="A625" s="99"/>
      <c r="B625" s="99"/>
      <c r="C625" s="99"/>
      <c r="D625" s="121"/>
      <c r="E625" s="99"/>
      <c r="F625" s="124" t="str">
        <f aca="false">IF(E625="CONTADO", 4%, IF(E625="TARJETA / CHEQUE", 3%, IF(OR(E625="FINANCIADO", E625="MCP"), 2.5%, "")))</f>
        <v/>
      </c>
      <c r="G625" s="121" t="str">
        <f aca="false">IF(F625="", "", F625*D625)</f>
        <v/>
      </c>
      <c r="H625" s="132" t="b">
        <f aca="false">FALSE()</f>
        <v>0</v>
      </c>
      <c r="I625" s="132" t="b">
        <f aca="false">FALSE()</f>
        <v>0</v>
      </c>
      <c r="J625" s="126"/>
      <c r="K625" s="99"/>
      <c r="L625" s="83"/>
      <c r="M625" s="103"/>
      <c r="N625" s="103"/>
      <c r="O625" s="103"/>
      <c r="P625" s="103"/>
      <c r="Q625" s="103"/>
      <c r="R625" s="83"/>
      <c r="S625" s="103"/>
      <c r="T625" s="103"/>
      <c r="U625" s="103"/>
    </row>
    <row r="626" customFormat="false" ht="22.5" hidden="false" customHeight="true" outlineLevel="0" collapsed="false">
      <c r="A626" s="110"/>
      <c r="B626" s="110"/>
      <c r="C626" s="110"/>
      <c r="D626" s="122"/>
      <c r="E626" s="110"/>
      <c r="F626" s="128" t="str">
        <f aca="false">IF(E626="CONTADO", 4%, IF(E626="TARJETA / CHEQUE", 3%, IF(OR(E626="FINANCIADO", E626="MCP"), 2.5%, "")))</f>
        <v/>
      </c>
      <c r="G626" s="122" t="str">
        <f aca="false">IF(F626="", "", F626*D626)</f>
        <v/>
      </c>
      <c r="H626" s="131" t="b">
        <f aca="false">FALSE()</f>
        <v>0</v>
      </c>
      <c r="I626" s="131" t="b">
        <f aca="false">FALSE()</f>
        <v>0</v>
      </c>
      <c r="J626" s="130"/>
      <c r="K626" s="110"/>
      <c r="L626" s="83"/>
      <c r="M626" s="103"/>
      <c r="N626" s="103"/>
      <c r="O626" s="103"/>
      <c r="P626" s="103"/>
      <c r="Q626" s="103"/>
      <c r="R626" s="83"/>
      <c r="S626" s="103"/>
      <c r="T626" s="103"/>
      <c r="U626" s="103"/>
    </row>
    <row r="627" customFormat="false" ht="22.5" hidden="false" customHeight="true" outlineLevel="0" collapsed="false">
      <c r="A627" s="99"/>
      <c r="B627" s="99"/>
      <c r="C627" s="99"/>
      <c r="D627" s="121"/>
      <c r="E627" s="99"/>
      <c r="F627" s="124" t="str">
        <f aca="false">IF(E627="CONTADO", 4%, IF(E627="TARJETA / CHEQUE", 3%, IF(OR(E627="FINANCIADO", E627="MCP"), 2.5%, "")))</f>
        <v/>
      </c>
      <c r="G627" s="121" t="str">
        <f aca="false">IF(F627="", "", F627*D627)</f>
        <v/>
      </c>
      <c r="H627" s="132" t="b">
        <f aca="false">FALSE()</f>
        <v>0</v>
      </c>
      <c r="I627" s="132" t="b">
        <f aca="false">FALSE()</f>
        <v>0</v>
      </c>
      <c r="J627" s="126"/>
      <c r="K627" s="99"/>
      <c r="L627" s="83"/>
      <c r="M627" s="103"/>
      <c r="N627" s="103"/>
      <c r="O627" s="103"/>
      <c r="P627" s="103"/>
      <c r="Q627" s="103"/>
      <c r="R627" s="83"/>
      <c r="S627" s="103"/>
      <c r="T627" s="103"/>
      <c r="U627" s="103"/>
    </row>
    <row r="628" customFormat="false" ht="22.5" hidden="false" customHeight="true" outlineLevel="0" collapsed="false">
      <c r="A628" s="110"/>
      <c r="B628" s="110"/>
      <c r="C628" s="110"/>
      <c r="D628" s="122"/>
      <c r="E628" s="110"/>
      <c r="F628" s="128" t="str">
        <f aca="false">IF(E628="CONTADO", 4%, IF(E628="TARJETA / CHEQUE", 3%, IF(OR(E628="FINANCIADO", E628="MCP"), 2.5%, "")))</f>
        <v/>
      </c>
      <c r="G628" s="122" t="str">
        <f aca="false">IF(F628="", "", F628*D628)</f>
        <v/>
      </c>
      <c r="H628" s="131" t="b">
        <f aca="false">FALSE()</f>
        <v>0</v>
      </c>
      <c r="I628" s="131" t="b">
        <f aca="false">FALSE()</f>
        <v>0</v>
      </c>
      <c r="J628" s="130"/>
      <c r="K628" s="110"/>
      <c r="L628" s="83"/>
      <c r="M628" s="103"/>
      <c r="N628" s="103"/>
      <c r="O628" s="103"/>
      <c r="P628" s="103"/>
      <c r="Q628" s="103"/>
      <c r="R628" s="83"/>
      <c r="S628" s="103"/>
      <c r="T628" s="103"/>
      <c r="U628" s="103"/>
    </row>
    <row r="629" customFormat="false" ht="22.5" hidden="false" customHeight="true" outlineLevel="0" collapsed="false">
      <c r="A629" s="99"/>
      <c r="B629" s="99"/>
      <c r="C629" s="99"/>
      <c r="D629" s="121"/>
      <c r="E629" s="99"/>
      <c r="F629" s="124" t="str">
        <f aca="false">IF(E629="CONTADO", 4%, IF(E629="TARJETA / CHEQUE", 3%, IF(OR(E629="FINANCIADO", E629="MCP"), 2.5%, "")))</f>
        <v/>
      </c>
      <c r="G629" s="121" t="str">
        <f aca="false">IF(F629="", "", F629*D629)</f>
        <v/>
      </c>
      <c r="H629" s="132" t="b">
        <f aca="false">FALSE()</f>
        <v>0</v>
      </c>
      <c r="I629" s="132" t="b">
        <f aca="false">FALSE()</f>
        <v>0</v>
      </c>
      <c r="J629" s="126"/>
      <c r="K629" s="99"/>
      <c r="L629" s="83"/>
      <c r="M629" s="103"/>
      <c r="N629" s="103"/>
      <c r="O629" s="103"/>
      <c r="P629" s="103"/>
      <c r="Q629" s="103"/>
      <c r="R629" s="83"/>
      <c r="S629" s="103"/>
      <c r="T629" s="103"/>
      <c r="U629" s="103"/>
    </row>
    <row r="630" customFormat="false" ht="22.5" hidden="false" customHeight="true" outlineLevel="0" collapsed="false">
      <c r="A630" s="110"/>
      <c r="B630" s="110"/>
      <c r="C630" s="110"/>
      <c r="D630" s="122"/>
      <c r="E630" s="110"/>
      <c r="F630" s="128" t="str">
        <f aca="false">IF(E630="CONTADO", 4%, IF(E630="TARJETA / CHEQUE", 3%, IF(OR(E630="FINANCIADO", E630="MCP"), 2.5%, "")))</f>
        <v/>
      </c>
      <c r="G630" s="122" t="str">
        <f aca="false">IF(F630="", "", F630*D630)</f>
        <v/>
      </c>
      <c r="H630" s="131" t="b">
        <f aca="false">FALSE()</f>
        <v>0</v>
      </c>
      <c r="I630" s="131" t="b">
        <f aca="false">FALSE()</f>
        <v>0</v>
      </c>
      <c r="J630" s="130"/>
      <c r="K630" s="110"/>
      <c r="L630" s="83"/>
      <c r="M630" s="103"/>
      <c r="N630" s="103"/>
      <c r="O630" s="103"/>
      <c r="P630" s="103"/>
      <c r="Q630" s="103"/>
      <c r="R630" s="83"/>
      <c r="S630" s="103"/>
      <c r="T630" s="103"/>
      <c r="U630" s="103"/>
    </row>
    <row r="631" customFormat="false" ht="22.5" hidden="false" customHeight="true" outlineLevel="0" collapsed="false">
      <c r="A631" s="99"/>
      <c r="B631" s="99"/>
      <c r="C631" s="99"/>
      <c r="D631" s="121"/>
      <c r="E631" s="99"/>
      <c r="F631" s="124" t="str">
        <f aca="false">IF(E631="CONTADO", 4%, IF(E631="TARJETA / CHEQUE", 3%, IF(OR(E631="FINANCIADO", E631="MCP"), 2.5%, "")))</f>
        <v/>
      </c>
      <c r="G631" s="121" t="str">
        <f aca="false">IF(F631="", "", F631*D631)</f>
        <v/>
      </c>
      <c r="H631" s="132" t="b">
        <f aca="false">FALSE()</f>
        <v>0</v>
      </c>
      <c r="I631" s="132" t="b">
        <f aca="false">FALSE()</f>
        <v>0</v>
      </c>
      <c r="J631" s="126"/>
      <c r="K631" s="99"/>
      <c r="L631" s="83"/>
      <c r="M631" s="103"/>
      <c r="N631" s="103"/>
      <c r="O631" s="103"/>
      <c r="P631" s="103"/>
      <c r="Q631" s="103"/>
      <c r="R631" s="83"/>
      <c r="S631" s="103"/>
      <c r="T631" s="103"/>
      <c r="U631" s="103"/>
    </row>
    <row r="632" customFormat="false" ht="22.5" hidden="false" customHeight="true" outlineLevel="0" collapsed="false">
      <c r="A632" s="110"/>
      <c r="B632" s="110"/>
      <c r="C632" s="110"/>
      <c r="D632" s="122"/>
      <c r="E632" s="110"/>
      <c r="F632" s="128" t="str">
        <f aca="false">IF(E632="CONTADO", 4%, IF(E632="TARJETA / CHEQUE", 3%, IF(OR(E632="FINANCIADO", E632="MCP"), 2.5%, "")))</f>
        <v/>
      </c>
      <c r="G632" s="122" t="str">
        <f aca="false">IF(F632="", "", F632*D632)</f>
        <v/>
      </c>
      <c r="H632" s="131" t="b">
        <f aca="false">FALSE()</f>
        <v>0</v>
      </c>
      <c r="I632" s="131" t="b">
        <f aca="false">FALSE()</f>
        <v>0</v>
      </c>
      <c r="J632" s="130"/>
      <c r="K632" s="110"/>
      <c r="L632" s="83"/>
      <c r="M632" s="103"/>
      <c r="N632" s="103"/>
      <c r="O632" s="103"/>
      <c r="P632" s="103"/>
      <c r="Q632" s="103"/>
      <c r="R632" s="83"/>
      <c r="S632" s="103"/>
      <c r="T632" s="103"/>
      <c r="U632" s="103"/>
    </row>
    <row r="633" customFormat="false" ht="22.5" hidden="false" customHeight="true" outlineLevel="0" collapsed="false">
      <c r="A633" s="99"/>
      <c r="B633" s="99"/>
      <c r="C633" s="99"/>
      <c r="D633" s="121"/>
      <c r="E633" s="99"/>
      <c r="F633" s="124" t="str">
        <f aca="false">IF(E633="CONTADO", 4%, IF(E633="TARJETA / CHEQUE", 3%, IF(OR(E633="FINANCIADO", E633="MCP"), 2.5%, "")))</f>
        <v/>
      </c>
      <c r="G633" s="121" t="str">
        <f aca="false">IF(F633="", "", F633*D633)</f>
        <v/>
      </c>
      <c r="H633" s="132" t="b">
        <f aca="false">FALSE()</f>
        <v>0</v>
      </c>
      <c r="I633" s="132" t="b">
        <f aca="false">FALSE()</f>
        <v>0</v>
      </c>
      <c r="J633" s="126"/>
      <c r="K633" s="99"/>
      <c r="L633" s="83"/>
      <c r="M633" s="103"/>
      <c r="N633" s="103"/>
      <c r="O633" s="103"/>
      <c r="P633" s="103"/>
      <c r="Q633" s="103"/>
      <c r="R633" s="83"/>
      <c r="S633" s="103"/>
      <c r="T633" s="103"/>
      <c r="U633" s="103"/>
    </row>
    <row r="634" customFormat="false" ht="22.5" hidden="false" customHeight="true" outlineLevel="0" collapsed="false">
      <c r="A634" s="110"/>
      <c r="B634" s="110"/>
      <c r="C634" s="110"/>
      <c r="D634" s="122"/>
      <c r="E634" s="110"/>
      <c r="F634" s="128" t="str">
        <f aca="false">IF(E634="CONTADO", 4%, IF(E634="TARJETA / CHEQUE", 3%, IF(OR(E634="FINANCIADO", E634="MCP"), 2.5%, "")))</f>
        <v/>
      </c>
      <c r="G634" s="122" t="str">
        <f aca="false">IF(F634="", "", F634*D634)</f>
        <v/>
      </c>
      <c r="H634" s="131" t="b">
        <f aca="false">FALSE()</f>
        <v>0</v>
      </c>
      <c r="I634" s="131" t="b">
        <f aca="false">FALSE()</f>
        <v>0</v>
      </c>
      <c r="J634" s="130"/>
      <c r="K634" s="110"/>
      <c r="L634" s="83"/>
      <c r="M634" s="103"/>
      <c r="N634" s="103"/>
      <c r="O634" s="103"/>
      <c r="P634" s="103"/>
      <c r="Q634" s="103"/>
      <c r="R634" s="83"/>
      <c r="S634" s="103"/>
      <c r="T634" s="103"/>
      <c r="U634" s="103"/>
    </row>
    <row r="635" customFormat="false" ht="22.5" hidden="false" customHeight="true" outlineLevel="0" collapsed="false">
      <c r="A635" s="99"/>
      <c r="B635" s="99"/>
      <c r="C635" s="99"/>
      <c r="D635" s="121"/>
      <c r="E635" s="99"/>
      <c r="F635" s="124" t="str">
        <f aca="false">IF(E635="CONTADO", 4%, IF(E635="TARJETA / CHEQUE", 3%, IF(OR(E635="FINANCIADO", E635="MCP"), 2.5%, "")))</f>
        <v/>
      </c>
      <c r="G635" s="121" t="str">
        <f aca="false">IF(F635="", "", F635*D635)</f>
        <v/>
      </c>
      <c r="H635" s="132" t="b">
        <f aca="false">FALSE()</f>
        <v>0</v>
      </c>
      <c r="I635" s="132" t="b">
        <f aca="false">FALSE()</f>
        <v>0</v>
      </c>
      <c r="J635" s="126"/>
      <c r="K635" s="99"/>
      <c r="L635" s="83"/>
      <c r="M635" s="103"/>
      <c r="N635" s="103"/>
      <c r="O635" s="103"/>
      <c r="P635" s="103"/>
      <c r="Q635" s="103"/>
      <c r="R635" s="83"/>
      <c r="S635" s="103"/>
      <c r="T635" s="103"/>
      <c r="U635" s="103"/>
    </row>
    <row r="636" customFormat="false" ht="22.5" hidden="false" customHeight="true" outlineLevel="0" collapsed="false">
      <c r="A636" s="110"/>
      <c r="B636" s="110"/>
      <c r="C636" s="110"/>
      <c r="D636" s="122"/>
      <c r="E636" s="110"/>
      <c r="F636" s="128" t="str">
        <f aca="false">IF(E636="CONTADO", 4%, IF(E636="TARJETA / CHEQUE", 3%, IF(OR(E636="FINANCIADO", E636="MCP"), 2.5%, "")))</f>
        <v/>
      </c>
      <c r="G636" s="122" t="str">
        <f aca="false">IF(F636="", "", F636*D636)</f>
        <v/>
      </c>
      <c r="H636" s="131" t="b">
        <f aca="false">FALSE()</f>
        <v>0</v>
      </c>
      <c r="I636" s="131" t="b">
        <f aca="false">FALSE()</f>
        <v>0</v>
      </c>
      <c r="J636" s="130"/>
      <c r="K636" s="110"/>
      <c r="L636" s="83"/>
      <c r="M636" s="103"/>
      <c r="N636" s="103"/>
      <c r="O636" s="103"/>
      <c r="P636" s="103"/>
      <c r="Q636" s="103"/>
      <c r="R636" s="83"/>
      <c r="S636" s="103"/>
      <c r="T636" s="103"/>
      <c r="U636" s="103"/>
    </row>
    <row r="637" customFormat="false" ht="22.5" hidden="false" customHeight="true" outlineLevel="0" collapsed="false">
      <c r="A637" s="99"/>
      <c r="B637" s="99"/>
      <c r="C637" s="99"/>
      <c r="D637" s="121"/>
      <c r="E637" s="99"/>
      <c r="F637" s="124" t="str">
        <f aca="false">IF(E637="CONTADO", 4%, IF(E637="TARJETA / CHEQUE", 3%, IF(OR(E637="FINANCIADO", E637="MCP"), 2.5%, "")))</f>
        <v/>
      </c>
      <c r="G637" s="121" t="str">
        <f aca="false">IF(F637="", "", F637*D637)</f>
        <v/>
      </c>
      <c r="H637" s="132" t="b">
        <f aca="false">FALSE()</f>
        <v>0</v>
      </c>
      <c r="I637" s="132" t="b">
        <f aca="false">FALSE()</f>
        <v>0</v>
      </c>
      <c r="J637" s="126"/>
      <c r="K637" s="99"/>
      <c r="L637" s="83"/>
      <c r="M637" s="103"/>
      <c r="N637" s="103"/>
      <c r="O637" s="103"/>
      <c r="P637" s="103"/>
      <c r="Q637" s="103"/>
      <c r="R637" s="83"/>
      <c r="S637" s="103"/>
      <c r="T637" s="103"/>
      <c r="U637" s="103"/>
    </row>
    <row r="638" customFormat="false" ht="22.5" hidden="false" customHeight="true" outlineLevel="0" collapsed="false">
      <c r="A638" s="110"/>
      <c r="B638" s="110"/>
      <c r="C638" s="110"/>
      <c r="D638" s="122"/>
      <c r="E638" s="110"/>
      <c r="F638" s="128" t="str">
        <f aca="false">IF(E638="CONTADO", 4%, IF(E638="TARJETA / CHEQUE", 3%, IF(OR(E638="FINANCIADO", E638="MCP"), 2.5%, "")))</f>
        <v/>
      </c>
      <c r="G638" s="122" t="str">
        <f aca="false">IF(F638="", "", F638*D638)</f>
        <v/>
      </c>
      <c r="H638" s="131" t="b">
        <f aca="false">FALSE()</f>
        <v>0</v>
      </c>
      <c r="I638" s="131" t="b">
        <f aca="false">FALSE()</f>
        <v>0</v>
      </c>
      <c r="J638" s="130"/>
      <c r="K638" s="110"/>
      <c r="L638" s="83"/>
      <c r="M638" s="103"/>
      <c r="N638" s="103"/>
      <c r="O638" s="103"/>
      <c r="P638" s="103"/>
      <c r="Q638" s="103"/>
      <c r="R638" s="83"/>
      <c r="S638" s="103"/>
      <c r="T638" s="103"/>
      <c r="U638" s="103"/>
    </row>
    <row r="639" customFormat="false" ht="22.5" hidden="false" customHeight="true" outlineLevel="0" collapsed="false">
      <c r="A639" s="99"/>
      <c r="B639" s="99"/>
      <c r="C639" s="99"/>
      <c r="D639" s="121"/>
      <c r="E639" s="99"/>
      <c r="F639" s="124" t="str">
        <f aca="false">IF(E639="CONTADO", 4%, IF(E639="TARJETA / CHEQUE", 3%, IF(OR(E639="FINANCIADO", E639="MCP"), 2.5%, "")))</f>
        <v/>
      </c>
      <c r="G639" s="121" t="str">
        <f aca="false">IF(F639="", "", F639*D639)</f>
        <v/>
      </c>
      <c r="H639" s="132" t="b">
        <f aca="false">FALSE()</f>
        <v>0</v>
      </c>
      <c r="I639" s="132" t="b">
        <f aca="false">FALSE()</f>
        <v>0</v>
      </c>
      <c r="J639" s="126"/>
      <c r="K639" s="99"/>
      <c r="L639" s="83"/>
      <c r="M639" s="103"/>
      <c r="N639" s="103"/>
      <c r="O639" s="103"/>
      <c r="P639" s="103"/>
      <c r="Q639" s="103"/>
      <c r="R639" s="83"/>
      <c r="S639" s="103"/>
      <c r="T639" s="103"/>
      <c r="U639" s="103"/>
    </row>
    <row r="640" customFormat="false" ht="22.5" hidden="false" customHeight="true" outlineLevel="0" collapsed="false">
      <c r="A640" s="110"/>
      <c r="B640" s="110"/>
      <c r="C640" s="110"/>
      <c r="D640" s="122"/>
      <c r="E640" s="110"/>
      <c r="F640" s="128" t="str">
        <f aca="false">IF(E640="CONTADO", 4%, IF(E640="TARJETA / CHEQUE", 3%, IF(OR(E640="FINANCIADO", E640="MCP"), 2.5%, "")))</f>
        <v/>
      </c>
      <c r="G640" s="122" t="str">
        <f aca="false">IF(F640="", "", F640*D640)</f>
        <v/>
      </c>
      <c r="H640" s="131" t="b">
        <f aca="false">FALSE()</f>
        <v>0</v>
      </c>
      <c r="I640" s="131" t="b">
        <f aca="false">FALSE()</f>
        <v>0</v>
      </c>
      <c r="J640" s="130"/>
      <c r="K640" s="110"/>
      <c r="L640" s="83"/>
      <c r="M640" s="103"/>
      <c r="N640" s="103"/>
      <c r="O640" s="103"/>
      <c r="P640" s="103"/>
      <c r="Q640" s="103"/>
      <c r="R640" s="83"/>
      <c r="S640" s="103"/>
      <c r="T640" s="103"/>
      <c r="U640" s="103"/>
    </row>
    <row r="641" customFormat="false" ht="22.5" hidden="false" customHeight="true" outlineLevel="0" collapsed="false">
      <c r="A641" s="99"/>
      <c r="B641" s="99"/>
      <c r="C641" s="99"/>
      <c r="D641" s="121"/>
      <c r="E641" s="99"/>
      <c r="F641" s="124" t="str">
        <f aca="false">IF(E641="CONTADO", 4%, IF(E641="TARJETA / CHEQUE", 3%, IF(OR(E641="FINANCIADO", E641="MCP"), 2.5%, "")))</f>
        <v/>
      </c>
      <c r="G641" s="121" t="str">
        <f aca="false">IF(F641="", "", F641*D641)</f>
        <v/>
      </c>
      <c r="H641" s="132" t="b">
        <f aca="false">FALSE()</f>
        <v>0</v>
      </c>
      <c r="I641" s="132" t="b">
        <f aca="false">FALSE()</f>
        <v>0</v>
      </c>
      <c r="J641" s="126"/>
      <c r="K641" s="99"/>
      <c r="L641" s="83"/>
      <c r="M641" s="103"/>
      <c r="N641" s="103"/>
      <c r="O641" s="103"/>
      <c r="P641" s="103"/>
      <c r="Q641" s="103"/>
      <c r="R641" s="83"/>
      <c r="S641" s="103"/>
      <c r="T641" s="103"/>
      <c r="U641" s="103"/>
    </row>
    <row r="642" customFormat="false" ht="22.5" hidden="false" customHeight="true" outlineLevel="0" collapsed="false">
      <c r="A642" s="110"/>
      <c r="B642" s="110"/>
      <c r="C642" s="110"/>
      <c r="D642" s="122"/>
      <c r="E642" s="110"/>
      <c r="F642" s="128" t="str">
        <f aca="false">IF(E642="CONTADO", 4%, IF(E642="TARJETA / CHEQUE", 3%, IF(OR(E642="FINANCIADO", E642="MCP"), 2.5%, "")))</f>
        <v/>
      </c>
      <c r="G642" s="122" t="str">
        <f aca="false">IF(F642="", "", F642*D642)</f>
        <v/>
      </c>
      <c r="H642" s="131" t="b">
        <f aca="false">FALSE()</f>
        <v>0</v>
      </c>
      <c r="I642" s="131" t="b">
        <f aca="false">FALSE()</f>
        <v>0</v>
      </c>
      <c r="J642" s="130"/>
      <c r="K642" s="110"/>
      <c r="L642" s="83"/>
      <c r="M642" s="103"/>
      <c r="N642" s="103"/>
      <c r="O642" s="103"/>
      <c r="P642" s="103"/>
      <c r="Q642" s="103"/>
      <c r="R642" s="83"/>
      <c r="S642" s="103"/>
      <c r="T642" s="103"/>
      <c r="U642" s="103"/>
    </row>
    <row r="643" customFormat="false" ht="22.5" hidden="false" customHeight="true" outlineLevel="0" collapsed="false">
      <c r="A643" s="99"/>
      <c r="B643" s="99"/>
      <c r="C643" s="99"/>
      <c r="D643" s="121"/>
      <c r="E643" s="99"/>
      <c r="F643" s="124" t="str">
        <f aca="false">IF(E643="CONTADO", 4%, IF(E643="TARJETA / CHEQUE", 3%, IF(OR(E643="FINANCIADO", E643="MCP"), 2.5%, "")))</f>
        <v/>
      </c>
      <c r="G643" s="121" t="str">
        <f aca="false">IF(F643="", "", F643*D643)</f>
        <v/>
      </c>
      <c r="H643" s="132" t="b">
        <f aca="false">FALSE()</f>
        <v>0</v>
      </c>
      <c r="I643" s="132" t="b">
        <f aca="false">FALSE()</f>
        <v>0</v>
      </c>
      <c r="J643" s="126"/>
      <c r="K643" s="99"/>
      <c r="L643" s="83"/>
      <c r="M643" s="103"/>
      <c r="N643" s="103"/>
      <c r="O643" s="103"/>
      <c r="P643" s="103"/>
      <c r="Q643" s="103"/>
      <c r="R643" s="83"/>
      <c r="S643" s="103"/>
      <c r="T643" s="103"/>
      <c r="U643" s="103"/>
    </row>
    <row r="644" customFormat="false" ht="22.5" hidden="false" customHeight="true" outlineLevel="0" collapsed="false">
      <c r="A644" s="110"/>
      <c r="B644" s="110"/>
      <c r="C644" s="110"/>
      <c r="D644" s="122"/>
      <c r="E644" s="110"/>
      <c r="F644" s="128" t="str">
        <f aca="false">IF(E644="CONTADO", 4%, IF(E644="TARJETA / CHEQUE", 3%, IF(OR(E644="FINANCIADO", E644="MCP"), 2.5%, "")))</f>
        <v/>
      </c>
      <c r="G644" s="122" t="str">
        <f aca="false">IF(F644="", "", F644*D644)</f>
        <v/>
      </c>
      <c r="H644" s="131" t="b">
        <f aca="false">FALSE()</f>
        <v>0</v>
      </c>
      <c r="I644" s="131" t="b">
        <f aca="false">FALSE()</f>
        <v>0</v>
      </c>
      <c r="J644" s="130"/>
      <c r="K644" s="110"/>
      <c r="L644" s="83"/>
      <c r="M644" s="103"/>
      <c r="N644" s="103"/>
      <c r="O644" s="103"/>
      <c r="P644" s="103"/>
      <c r="Q644" s="103"/>
      <c r="R644" s="83"/>
      <c r="S644" s="103"/>
      <c r="T644" s="103"/>
      <c r="U644" s="103"/>
    </row>
    <row r="645" customFormat="false" ht="22.5" hidden="false" customHeight="true" outlineLevel="0" collapsed="false">
      <c r="A645" s="99"/>
      <c r="B645" s="99"/>
      <c r="C645" s="99"/>
      <c r="D645" s="121"/>
      <c r="E645" s="99"/>
      <c r="F645" s="124" t="str">
        <f aca="false">IF(E645="CONTADO", 4%, IF(E645="TARJETA / CHEQUE", 3%, IF(OR(E645="FINANCIADO", E645="MCP"), 2.5%, "")))</f>
        <v/>
      </c>
      <c r="G645" s="121" t="str">
        <f aca="false">IF(F645="", "", F645*D645)</f>
        <v/>
      </c>
      <c r="H645" s="132" t="b">
        <f aca="false">FALSE()</f>
        <v>0</v>
      </c>
      <c r="I645" s="132" t="b">
        <f aca="false">FALSE()</f>
        <v>0</v>
      </c>
      <c r="J645" s="126"/>
      <c r="K645" s="99"/>
      <c r="L645" s="83"/>
      <c r="M645" s="103"/>
      <c r="N645" s="103"/>
      <c r="O645" s="103"/>
      <c r="P645" s="103"/>
      <c r="Q645" s="103"/>
      <c r="R645" s="83"/>
      <c r="S645" s="103"/>
      <c r="T645" s="103"/>
      <c r="U645" s="103"/>
    </row>
    <row r="646" customFormat="false" ht="22.5" hidden="false" customHeight="true" outlineLevel="0" collapsed="false">
      <c r="A646" s="110"/>
      <c r="B646" s="110"/>
      <c r="C646" s="110"/>
      <c r="D646" s="122"/>
      <c r="E646" s="110"/>
      <c r="F646" s="128" t="str">
        <f aca="false">IF(E646="CONTADO", 4%, IF(E646="TARJETA / CHEQUE", 3%, IF(OR(E646="FINANCIADO", E646="MCP"), 2.5%, "")))</f>
        <v/>
      </c>
      <c r="G646" s="122" t="str">
        <f aca="false">IF(F646="", "", F646*D646)</f>
        <v/>
      </c>
      <c r="H646" s="131" t="b">
        <f aca="false">FALSE()</f>
        <v>0</v>
      </c>
      <c r="I646" s="131" t="b">
        <f aca="false">FALSE()</f>
        <v>0</v>
      </c>
      <c r="J646" s="130"/>
      <c r="K646" s="110"/>
      <c r="L646" s="83"/>
      <c r="M646" s="103"/>
      <c r="N646" s="103"/>
      <c r="O646" s="103"/>
      <c r="P646" s="103"/>
      <c r="Q646" s="103"/>
      <c r="R646" s="83"/>
      <c r="S646" s="103"/>
      <c r="T646" s="103"/>
      <c r="U646" s="103"/>
    </row>
    <row r="647" customFormat="false" ht="22.5" hidden="false" customHeight="true" outlineLevel="0" collapsed="false">
      <c r="A647" s="99"/>
      <c r="B647" s="99"/>
      <c r="C647" s="99"/>
      <c r="D647" s="121"/>
      <c r="E647" s="99"/>
      <c r="F647" s="124" t="str">
        <f aca="false">IF(E647="CONTADO", 4%, IF(E647="TARJETA / CHEQUE", 3%, IF(OR(E647="FINANCIADO", E647="MCP"), 2.5%, "")))</f>
        <v/>
      </c>
      <c r="G647" s="121" t="str">
        <f aca="false">IF(F647="", "", F647*D647)</f>
        <v/>
      </c>
      <c r="H647" s="132" t="b">
        <f aca="false">FALSE()</f>
        <v>0</v>
      </c>
      <c r="I647" s="132" t="b">
        <f aca="false">FALSE()</f>
        <v>0</v>
      </c>
      <c r="J647" s="126"/>
      <c r="K647" s="99"/>
      <c r="L647" s="83"/>
      <c r="M647" s="103"/>
      <c r="N647" s="103"/>
      <c r="O647" s="103"/>
      <c r="P647" s="103"/>
      <c r="Q647" s="103"/>
      <c r="R647" s="83"/>
      <c r="S647" s="103"/>
      <c r="T647" s="103"/>
      <c r="U647" s="103"/>
    </row>
    <row r="648" customFormat="false" ht="22.5" hidden="false" customHeight="true" outlineLevel="0" collapsed="false">
      <c r="A648" s="110"/>
      <c r="B648" s="110"/>
      <c r="C648" s="110"/>
      <c r="D648" s="122"/>
      <c r="E648" s="110"/>
      <c r="F648" s="128" t="str">
        <f aca="false">IF(E648="CONTADO", 4%, IF(E648="TARJETA / CHEQUE", 3%, IF(OR(E648="FINANCIADO", E648="MCP"), 2.5%, "")))</f>
        <v/>
      </c>
      <c r="G648" s="122" t="str">
        <f aca="false">IF(F648="", "", F648*D648)</f>
        <v/>
      </c>
      <c r="H648" s="131" t="b">
        <f aca="false">FALSE()</f>
        <v>0</v>
      </c>
      <c r="I648" s="131" t="b">
        <f aca="false">FALSE()</f>
        <v>0</v>
      </c>
      <c r="J648" s="130"/>
      <c r="K648" s="110"/>
      <c r="L648" s="83"/>
      <c r="M648" s="103"/>
      <c r="N648" s="103"/>
      <c r="O648" s="103"/>
      <c r="P648" s="103"/>
      <c r="Q648" s="103"/>
      <c r="R648" s="83"/>
      <c r="S648" s="103"/>
      <c r="T648" s="103"/>
      <c r="U648" s="103"/>
    </row>
    <row r="649" customFormat="false" ht="22.5" hidden="false" customHeight="true" outlineLevel="0" collapsed="false">
      <c r="A649" s="99"/>
      <c r="B649" s="99"/>
      <c r="C649" s="99"/>
      <c r="D649" s="121"/>
      <c r="E649" s="99"/>
      <c r="F649" s="124" t="str">
        <f aca="false">IF(E649="CONTADO", 4%, IF(E649="TARJETA / CHEQUE", 3%, IF(OR(E649="FINANCIADO", E649="MCP"), 2.5%, "")))</f>
        <v/>
      </c>
      <c r="G649" s="121" t="str">
        <f aca="false">IF(F649="", "", F649*D649)</f>
        <v/>
      </c>
      <c r="H649" s="132" t="b">
        <f aca="false">FALSE()</f>
        <v>0</v>
      </c>
      <c r="I649" s="132" t="b">
        <f aca="false">FALSE()</f>
        <v>0</v>
      </c>
      <c r="J649" s="126"/>
      <c r="K649" s="99"/>
      <c r="L649" s="83"/>
      <c r="M649" s="103"/>
      <c r="N649" s="103"/>
      <c r="O649" s="103"/>
      <c r="P649" s="103"/>
      <c r="Q649" s="103"/>
      <c r="R649" s="83"/>
      <c r="S649" s="103"/>
      <c r="T649" s="103"/>
      <c r="U649" s="103"/>
    </row>
    <row r="650" customFormat="false" ht="22.5" hidden="false" customHeight="true" outlineLevel="0" collapsed="false">
      <c r="A650" s="110"/>
      <c r="B650" s="110"/>
      <c r="C650" s="110"/>
      <c r="D650" s="122"/>
      <c r="E650" s="110"/>
      <c r="F650" s="128" t="str">
        <f aca="false">IF(E650="CONTADO", 4%, IF(E650="TARJETA / CHEQUE", 3%, IF(OR(E650="FINANCIADO", E650="MCP"), 2.5%, "")))</f>
        <v/>
      </c>
      <c r="G650" s="122" t="str">
        <f aca="false">IF(F650="", "", F650*D650)</f>
        <v/>
      </c>
      <c r="H650" s="131" t="b">
        <f aca="false">FALSE()</f>
        <v>0</v>
      </c>
      <c r="I650" s="131" t="b">
        <f aca="false">FALSE()</f>
        <v>0</v>
      </c>
      <c r="J650" s="130"/>
      <c r="K650" s="110"/>
      <c r="L650" s="83"/>
      <c r="M650" s="103"/>
      <c r="N650" s="103"/>
      <c r="O650" s="103"/>
      <c r="P650" s="103"/>
      <c r="Q650" s="103"/>
      <c r="R650" s="83"/>
      <c r="S650" s="103"/>
      <c r="T650" s="103"/>
      <c r="U650" s="103"/>
    </row>
    <row r="651" customFormat="false" ht="22.5" hidden="false" customHeight="true" outlineLevel="0" collapsed="false">
      <c r="A651" s="99"/>
      <c r="B651" s="99"/>
      <c r="C651" s="99"/>
      <c r="D651" s="121"/>
      <c r="E651" s="99"/>
      <c r="F651" s="124" t="str">
        <f aca="false">IF(E651="CONTADO", 4%, IF(E651="TARJETA / CHEQUE", 3%, IF(OR(E651="FINANCIADO", E651="MCP"), 2.5%, "")))</f>
        <v/>
      </c>
      <c r="G651" s="121" t="str">
        <f aca="false">IF(F651="", "", F651*D651)</f>
        <v/>
      </c>
      <c r="H651" s="132" t="b">
        <f aca="false">FALSE()</f>
        <v>0</v>
      </c>
      <c r="I651" s="132" t="b">
        <f aca="false">FALSE()</f>
        <v>0</v>
      </c>
      <c r="J651" s="126"/>
      <c r="K651" s="99"/>
      <c r="L651" s="83"/>
      <c r="M651" s="103"/>
      <c r="N651" s="103"/>
      <c r="O651" s="103"/>
      <c r="P651" s="103"/>
      <c r="Q651" s="103"/>
      <c r="R651" s="83"/>
      <c r="S651" s="103"/>
      <c r="T651" s="103"/>
      <c r="U651" s="103"/>
    </row>
    <row r="652" customFormat="false" ht="22.5" hidden="false" customHeight="true" outlineLevel="0" collapsed="false">
      <c r="A652" s="110"/>
      <c r="B652" s="110"/>
      <c r="C652" s="110"/>
      <c r="D652" s="122"/>
      <c r="E652" s="110"/>
      <c r="F652" s="128" t="str">
        <f aca="false">IF(E652="CONTADO", 4%, IF(E652="TARJETA / CHEQUE", 3%, IF(OR(E652="FINANCIADO", E652="MCP"), 2.5%, "")))</f>
        <v/>
      </c>
      <c r="G652" s="122" t="str">
        <f aca="false">IF(F652="", "", F652*D652)</f>
        <v/>
      </c>
      <c r="H652" s="131" t="b">
        <f aca="false">FALSE()</f>
        <v>0</v>
      </c>
      <c r="I652" s="131" t="b">
        <f aca="false">FALSE()</f>
        <v>0</v>
      </c>
      <c r="J652" s="130"/>
      <c r="K652" s="110"/>
      <c r="L652" s="83"/>
      <c r="M652" s="103"/>
      <c r="N652" s="103"/>
      <c r="O652" s="103"/>
      <c r="P652" s="103"/>
      <c r="Q652" s="103"/>
      <c r="R652" s="83"/>
      <c r="S652" s="103"/>
      <c r="T652" s="103"/>
      <c r="U652" s="103"/>
    </row>
    <row r="653" customFormat="false" ht="22.5" hidden="false" customHeight="true" outlineLevel="0" collapsed="false">
      <c r="A653" s="99"/>
      <c r="B653" s="99"/>
      <c r="C653" s="99"/>
      <c r="D653" s="121"/>
      <c r="E653" s="99"/>
      <c r="F653" s="124" t="str">
        <f aca="false">IF(E653="CONTADO", 4%, IF(E653="TARJETA / CHEQUE", 3%, IF(OR(E653="FINANCIADO", E653="MCP"), 2.5%, "")))</f>
        <v/>
      </c>
      <c r="G653" s="121" t="str">
        <f aca="false">IF(F653="", "", F653*D653)</f>
        <v/>
      </c>
      <c r="H653" s="132" t="b">
        <f aca="false">FALSE()</f>
        <v>0</v>
      </c>
      <c r="I653" s="132" t="b">
        <f aca="false">FALSE()</f>
        <v>0</v>
      </c>
      <c r="J653" s="126"/>
      <c r="K653" s="99"/>
      <c r="L653" s="83"/>
      <c r="M653" s="103"/>
      <c r="N653" s="103"/>
      <c r="O653" s="103"/>
      <c r="P653" s="103"/>
      <c r="Q653" s="103"/>
      <c r="R653" s="83"/>
      <c r="S653" s="103"/>
      <c r="T653" s="103"/>
      <c r="U653" s="103"/>
    </row>
    <row r="654" customFormat="false" ht="22.5" hidden="false" customHeight="true" outlineLevel="0" collapsed="false">
      <c r="A654" s="110"/>
      <c r="B654" s="110"/>
      <c r="C654" s="110"/>
      <c r="D654" s="122"/>
      <c r="E654" s="110"/>
      <c r="F654" s="128" t="str">
        <f aca="false">IF(E654="CONTADO", 4%, IF(E654="TARJETA / CHEQUE", 3%, IF(OR(E654="FINANCIADO", E654="MCP"), 2.5%, "")))</f>
        <v/>
      </c>
      <c r="G654" s="122" t="str">
        <f aca="false">IF(F654="", "", F654*D654)</f>
        <v/>
      </c>
      <c r="H654" s="131" t="b">
        <f aca="false">FALSE()</f>
        <v>0</v>
      </c>
      <c r="I654" s="131" t="b">
        <f aca="false">FALSE()</f>
        <v>0</v>
      </c>
      <c r="J654" s="130"/>
      <c r="K654" s="110"/>
      <c r="L654" s="83"/>
      <c r="M654" s="103"/>
      <c r="N654" s="103"/>
      <c r="O654" s="103"/>
      <c r="P654" s="103"/>
      <c r="Q654" s="103"/>
      <c r="R654" s="83"/>
      <c r="S654" s="103"/>
      <c r="T654" s="103"/>
      <c r="U654" s="103"/>
    </row>
    <row r="655" customFormat="false" ht="22.5" hidden="false" customHeight="true" outlineLevel="0" collapsed="false">
      <c r="A655" s="99"/>
      <c r="B655" s="99"/>
      <c r="C655" s="99"/>
      <c r="D655" s="121"/>
      <c r="E655" s="99"/>
      <c r="F655" s="124" t="str">
        <f aca="false">IF(E655="CONTADO", 4%, IF(E655="TARJETA / CHEQUE", 3%, IF(OR(E655="FINANCIADO", E655="MCP"), 2.5%, "")))</f>
        <v/>
      </c>
      <c r="G655" s="121" t="str">
        <f aca="false">IF(F655="", "", F655*D655)</f>
        <v/>
      </c>
      <c r="H655" s="132" t="b">
        <f aca="false">FALSE()</f>
        <v>0</v>
      </c>
      <c r="I655" s="132" t="b">
        <f aca="false">FALSE()</f>
        <v>0</v>
      </c>
      <c r="J655" s="126"/>
      <c r="K655" s="99"/>
      <c r="L655" s="83"/>
      <c r="M655" s="103"/>
      <c r="N655" s="103"/>
      <c r="O655" s="103"/>
      <c r="P655" s="103"/>
      <c r="Q655" s="103"/>
      <c r="R655" s="83"/>
      <c r="S655" s="103"/>
      <c r="T655" s="103"/>
      <c r="U655" s="103"/>
    </row>
    <row r="656" customFormat="false" ht="22.5" hidden="false" customHeight="true" outlineLevel="0" collapsed="false">
      <c r="A656" s="110"/>
      <c r="B656" s="110"/>
      <c r="C656" s="110"/>
      <c r="D656" s="122"/>
      <c r="E656" s="110"/>
      <c r="F656" s="128" t="str">
        <f aca="false">IF(E656="CONTADO", 4%, IF(E656="TARJETA / CHEQUE", 3%, IF(OR(E656="FINANCIADO", E656="MCP"), 2.5%, "")))</f>
        <v/>
      </c>
      <c r="G656" s="122" t="str">
        <f aca="false">IF(F656="", "", F656*D656)</f>
        <v/>
      </c>
      <c r="H656" s="131" t="b">
        <f aca="false">FALSE()</f>
        <v>0</v>
      </c>
      <c r="I656" s="131" t="b">
        <f aca="false">FALSE()</f>
        <v>0</v>
      </c>
      <c r="J656" s="130"/>
      <c r="K656" s="110"/>
      <c r="L656" s="83"/>
      <c r="M656" s="103"/>
      <c r="N656" s="103"/>
      <c r="O656" s="103"/>
      <c r="P656" s="103"/>
      <c r="Q656" s="103"/>
      <c r="R656" s="83"/>
      <c r="S656" s="103"/>
      <c r="T656" s="103"/>
      <c r="U656" s="103"/>
    </row>
    <row r="657" customFormat="false" ht="22.5" hidden="false" customHeight="true" outlineLevel="0" collapsed="false">
      <c r="A657" s="99"/>
      <c r="B657" s="99"/>
      <c r="C657" s="99"/>
      <c r="D657" s="121"/>
      <c r="E657" s="99"/>
      <c r="F657" s="124" t="str">
        <f aca="false">IF(E657="CONTADO", 4%, IF(E657="TARJETA / CHEQUE", 3%, IF(OR(E657="FINANCIADO", E657="MCP"), 2.5%, "")))</f>
        <v/>
      </c>
      <c r="G657" s="121" t="str">
        <f aca="false">IF(F657="", "", F657*D657)</f>
        <v/>
      </c>
      <c r="H657" s="132" t="b">
        <f aca="false">FALSE()</f>
        <v>0</v>
      </c>
      <c r="I657" s="132" t="b">
        <f aca="false">FALSE()</f>
        <v>0</v>
      </c>
      <c r="J657" s="126"/>
      <c r="K657" s="99"/>
      <c r="L657" s="83"/>
      <c r="M657" s="103"/>
      <c r="N657" s="103"/>
      <c r="O657" s="103"/>
      <c r="P657" s="103"/>
      <c r="Q657" s="103"/>
      <c r="R657" s="83"/>
      <c r="S657" s="103"/>
      <c r="T657" s="103"/>
      <c r="U657" s="103"/>
    </row>
    <row r="658" customFormat="false" ht="22.5" hidden="false" customHeight="true" outlineLevel="0" collapsed="false">
      <c r="A658" s="110"/>
      <c r="B658" s="110"/>
      <c r="C658" s="110"/>
      <c r="D658" s="122"/>
      <c r="E658" s="110"/>
      <c r="F658" s="128" t="str">
        <f aca="false">IF(E658="CONTADO", 4%, IF(E658="TARJETA / CHEQUE", 3%, IF(OR(E658="FINANCIADO", E658="MCP"), 2.5%, "")))</f>
        <v/>
      </c>
      <c r="G658" s="122" t="str">
        <f aca="false">IF(F658="", "", F658*D658)</f>
        <v/>
      </c>
      <c r="H658" s="131" t="b">
        <f aca="false">FALSE()</f>
        <v>0</v>
      </c>
      <c r="I658" s="131" t="b">
        <f aca="false">FALSE()</f>
        <v>0</v>
      </c>
      <c r="J658" s="130"/>
      <c r="K658" s="110"/>
      <c r="L658" s="83"/>
      <c r="M658" s="103"/>
      <c r="N658" s="103"/>
      <c r="O658" s="103"/>
      <c r="P658" s="103"/>
      <c r="Q658" s="103"/>
      <c r="R658" s="83"/>
      <c r="S658" s="103"/>
      <c r="T658" s="103"/>
      <c r="U658" s="103"/>
    </row>
    <row r="659" customFormat="false" ht="22.5" hidden="false" customHeight="true" outlineLevel="0" collapsed="false">
      <c r="A659" s="99"/>
      <c r="B659" s="99"/>
      <c r="C659" s="99"/>
      <c r="D659" s="121"/>
      <c r="E659" s="99"/>
      <c r="F659" s="124" t="str">
        <f aca="false">IF(E659="CONTADO", 4%, IF(E659="TARJETA / CHEQUE", 3%, IF(OR(E659="FINANCIADO", E659="MCP"), 2.5%, "")))</f>
        <v/>
      </c>
      <c r="G659" s="121" t="str">
        <f aca="false">IF(F659="", "", F659*D659)</f>
        <v/>
      </c>
      <c r="H659" s="132" t="b">
        <f aca="false">FALSE()</f>
        <v>0</v>
      </c>
      <c r="I659" s="132" t="b">
        <f aca="false">FALSE()</f>
        <v>0</v>
      </c>
      <c r="J659" s="126"/>
      <c r="K659" s="99"/>
      <c r="L659" s="83"/>
      <c r="M659" s="103"/>
      <c r="N659" s="103"/>
      <c r="O659" s="103"/>
      <c r="P659" s="103"/>
      <c r="Q659" s="103"/>
      <c r="R659" s="83"/>
      <c r="S659" s="103"/>
      <c r="T659" s="103"/>
      <c r="U659" s="103"/>
    </row>
    <row r="660" customFormat="false" ht="22.5" hidden="false" customHeight="true" outlineLevel="0" collapsed="false">
      <c r="A660" s="110"/>
      <c r="B660" s="110"/>
      <c r="C660" s="110"/>
      <c r="D660" s="122"/>
      <c r="E660" s="110"/>
      <c r="F660" s="128" t="str">
        <f aca="false">IF(E660="CONTADO", 4%, IF(E660="TARJETA / CHEQUE", 3%, IF(OR(E660="FINANCIADO", E660="MCP"), 2.5%, "")))</f>
        <v/>
      </c>
      <c r="G660" s="122" t="str">
        <f aca="false">IF(F660="", "", F660*D660)</f>
        <v/>
      </c>
      <c r="H660" s="131" t="b">
        <f aca="false">FALSE()</f>
        <v>0</v>
      </c>
      <c r="I660" s="131" t="b">
        <f aca="false">FALSE()</f>
        <v>0</v>
      </c>
      <c r="J660" s="130"/>
      <c r="K660" s="110"/>
      <c r="L660" s="83"/>
      <c r="M660" s="103"/>
      <c r="N660" s="103"/>
      <c r="O660" s="103"/>
      <c r="P660" s="103"/>
      <c r="Q660" s="103"/>
      <c r="R660" s="83"/>
      <c r="S660" s="103"/>
      <c r="T660" s="103"/>
      <c r="U660" s="103"/>
    </row>
    <row r="661" customFormat="false" ht="22.5" hidden="false" customHeight="true" outlineLevel="0" collapsed="false">
      <c r="A661" s="99"/>
      <c r="B661" s="99"/>
      <c r="C661" s="99"/>
      <c r="D661" s="121"/>
      <c r="E661" s="99"/>
      <c r="F661" s="124" t="str">
        <f aca="false">IF(E661="CONTADO", 4%, IF(E661="TARJETA / CHEQUE", 3%, IF(OR(E661="FINANCIADO", E661="MCP"), 2.5%, "")))</f>
        <v/>
      </c>
      <c r="G661" s="121" t="str">
        <f aca="false">IF(F661="", "", F661*D661)</f>
        <v/>
      </c>
      <c r="H661" s="132" t="b">
        <f aca="false">FALSE()</f>
        <v>0</v>
      </c>
      <c r="I661" s="132" t="b">
        <f aca="false">FALSE()</f>
        <v>0</v>
      </c>
      <c r="J661" s="126"/>
      <c r="K661" s="99"/>
      <c r="L661" s="83"/>
      <c r="M661" s="103"/>
      <c r="N661" s="103"/>
      <c r="O661" s="103"/>
      <c r="P661" s="103"/>
      <c r="Q661" s="103"/>
      <c r="R661" s="83"/>
      <c r="S661" s="103"/>
      <c r="T661" s="103"/>
      <c r="U661" s="103"/>
    </row>
    <row r="662" customFormat="false" ht="22.5" hidden="false" customHeight="true" outlineLevel="0" collapsed="false">
      <c r="A662" s="110"/>
      <c r="B662" s="110"/>
      <c r="C662" s="110"/>
      <c r="D662" s="122"/>
      <c r="E662" s="110"/>
      <c r="F662" s="128" t="str">
        <f aca="false">IF(E662="CONTADO", 4%, IF(E662="TARJETA / CHEQUE", 3%, IF(OR(E662="FINANCIADO", E662="MCP"), 2.5%, "")))</f>
        <v/>
      </c>
      <c r="G662" s="122" t="str">
        <f aca="false">IF(F662="", "", F662*D662)</f>
        <v/>
      </c>
      <c r="H662" s="131" t="b">
        <f aca="false">FALSE()</f>
        <v>0</v>
      </c>
      <c r="I662" s="131" t="b">
        <f aca="false">FALSE()</f>
        <v>0</v>
      </c>
      <c r="J662" s="130"/>
      <c r="K662" s="110"/>
      <c r="L662" s="83"/>
      <c r="M662" s="103"/>
      <c r="N662" s="103"/>
      <c r="O662" s="103"/>
      <c r="P662" s="103"/>
      <c r="Q662" s="103"/>
      <c r="R662" s="83"/>
      <c r="S662" s="103"/>
      <c r="T662" s="103"/>
      <c r="U662" s="103"/>
    </row>
    <row r="663" customFormat="false" ht="22.5" hidden="false" customHeight="true" outlineLevel="0" collapsed="false">
      <c r="A663" s="99"/>
      <c r="B663" s="99"/>
      <c r="C663" s="99"/>
      <c r="D663" s="121"/>
      <c r="E663" s="99"/>
      <c r="F663" s="124" t="str">
        <f aca="false">IF(E663="CONTADO", 4%, IF(E663="TARJETA / CHEQUE", 3%, IF(OR(E663="FINANCIADO", E663="MCP"), 2.5%, "")))</f>
        <v/>
      </c>
      <c r="G663" s="121" t="str">
        <f aca="false">IF(F663="", "", F663*D663)</f>
        <v/>
      </c>
      <c r="H663" s="132" t="b">
        <f aca="false">FALSE()</f>
        <v>0</v>
      </c>
      <c r="I663" s="132" t="b">
        <f aca="false">FALSE()</f>
        <v>0</v>
      </c>
      <c r="J663" s="126"/>
      <c r="K663" s="99"/>
      <c r="L663" s="83"/>
      <c r="M663" s="103"/>
      <c r="N663" s="103"/>
      <c r="O663" s="103"/>
      <c r="P663" s="103"/>
      <c r="Q663" s="103"/>
      <c r="R663" s="83"/>
      <c r="S663" s="103"/>
      <c r="T663" s="103"/>
      <c r="U663" s="103"/>
    </row>
    <row r="664" customFormat="false" ht="22.5" hidden="false" customHeight="true" outlineLevel="0" collapsed="false">
      <c r="A664" s="110"/>
      <c r="B664" s="110"/>
      <c r="C664" s="110"/>
      <c r="D664" s="122"/>
      <c r="E664" s="110"/>
      <c r="F664" s="128" t="str">
        <f aca="false">IF(E664="CONTADO", 4%, IF(E664="TARJETA / CHEQUE", 3%, IF(OR(E664="FINANCIADO", E664="MCP"), 2.5%, "")))</f>
        <v/>
      </c>
      <c r="G664" s="122" t="str">
        <f aca="false">IF(F664="", "", F664*D664)</f>
        <v/>
      </c>
      <c r="H664" s="131" t="b">
        <f aca="false">FALSE()</f>
        <v>0</v>
      </c>
      <c r="I664" s="131" t="b">
        <f aca="false">FALSE()</f>
        <v>0</v>
      </c>
      <c r="J664" s="130"/>
      <c r="K664" s="110"/>
      <c r="L664" s="83"/>
      <c r="M664" s="103"/>
      <c r="N664" s="103"/>
      <c r="O664" s="103"/>
      <c r="P664" s="103"/>
      <c r="Q664" s="103"/>
      <c r="R664" s="83"/>
      <c r="S664" s="103"/>
      <c r="T664" s="103"/>
      <c r="U664" s="103"/>
    </row>
    <row r="665" customFormat="false" ht="22.5" hidden="false" customHeight="true" outlineLevel="0" collapsed="false">
      <c r="A665" s="99"/>
      <c r="B665" s="99"/>
      <c r="C665" s="99"/>
      <c r="D665" s="121"/>
      <c r="E665" s="99"/>
      <c r="F665" s="124" t="str">
        <f aca="false">IF(E665="CONTADO", 4%, IF(E665="TARJETA / CHEQUE", 3%, IF(OR(E665="FINANCIADO", E665="MCP"), 2.5%, "")))</f>
        <v/>
      </c>
      <c r="G665" s="121" t="str">
        <f aca="false">IF(F665="", "", F665*D665)</f>
        <v/>
      </c>
      <c r="H665" s="132" t="b">
        <f aca="false">FALSE()</f>
        <v>0</v>
      </c>
      <c r="I665" s="132" t="b">
        <f aca="false">FALSE()</f>
        <v>0</v>
      </c>
      <c r="J665" s="126"/>
      <c r="K665" s="99"/>
      <c r="L665" s="83"/>
      <c r="M665" s="103"/>
      <c r="N665" s="103"/>
      <c r="O665" s="103"/>
      <c r="P665" s="103"/>
      <c r="Q665" s="103"/>
      <c r="R665" s="83"/>
      <c r="S665" s="103"/>
      <c r="T665" s="103"/>
      <c r="U665" s="103"/>
    </row>
    <row r="666" customFormat="false" ht="22.5" hidden="false" customHeight="true" outlineLevel="0" collapsed="false">
      <c r="A666" s="110"/>
      <c r="B666" s="110"/>
      <c r="C666" s="110"/>
      <c r="D666" s="122"/>
      <c r="E666" s="110"/>
      <c r="F666" s="128" t="str">
        <f aca="false">IF(E666="CONTADO", 4%, IF(E666="TARJETA / CHEQUE", 3%, IF(OR(E666="FINANCIADO", E666="MCP"), 2.5%, "")))</f>
        <v/>
      </c>
      <c r="G666" s="122" t="str">
        <f aca="false">IF(F666="", "", F666*D666)</f>
        <v/>
      </c>
      <c r="H666" s="131" t="b">
        <f aca="false">FALSE()</f>
        <v>0</v>
      </c>
      <c r="I666" s="131" t="b">
        <f aca="false">FALSE()</f>
        <v>0</v>
      </c>
      <c r="J666" s="130"/>
      <c r="K666" s="110"/>
      <c r="L666" s="83"/>
      <c r="M666" s="103"/>
      <c r="N666" s="103"/>
      <c r="O666" s="103"/>
      <c r="P666" s="103"/>
      <c r="Q666" s="103"/>
      <c r="R666" s="83"/>
      <c r="S666" s="103"/>
      <c r="T666" s="103"/>
      <c r="U666" s="103"/>
    </row>
    <row r="667" customFormat="false" ht="22.5" hidden="false" customHeight="true" outlineLevel="0" collapsed="false">
      <c r="A667" s="99"/>
      <c r="B667" s="99"/>
      <c r="C667" s="99"/>
      <c r="D667" s="121"/>
      <c r="E667" s="99"/>
      <c r="F667" s="124" t="str">
        <f aca="false">IF(E667="CONTADO", 4%, IF(E667="TARJETA / CHEQUE", 3%, IF(OR(E667="FINANCIADO", E667="MCP"), 2.5%, "")))</f>
        <v/>
      </c>
      <c r="G667" s="121" t="str">
        <f aca="false">IF(F667="", "", F667*D667)</f>
        <v/>
      </c>
      <c r="H667" s="132" t="b">
        <f aca="false">FALSE()</f>
        <v>0</v>
      </c>
      <c r="I667" s="132" t="b">
        <f aca="false">FALSE()</f>
        <v>0</v>
      </c>
      <c r="J667" s="126"/>
      <c r="K667" s="99"/>
      <c r="L667" s="83"/>
      <c r="M667" s="103"/>
      <c r="N667" s="103"/>
      <c r="O667" s="103"/>
      <c r="P667" s="103"/>
      <c r="Q667" s="103"/>
      <c r="R667" s="83"/>
      <c r="S667" s="103"/>
      <c r="T667" s="103"/>
      <c r="U667" s="103"/>
    </row>
    <row r="668" customFormat="false" ht="22.5" hidden="false" customHeight="true" outlineLevel="0" collapsed="false">
      <c r="A668" s="110"/>
      <c r="B668" s="110"/>
      <c r="C668" s="110"/>
      <c r="D668" s="122"/>
      <c r="E668" s="110"/>
      <c r="F668" s="128" t="str">
        <f aca="false">IF(E668="CONTADO", 4%, IF(E668="TARJETA / CHEQUE", 3%, IF(OR(E668="FINANCIADO", E668="MCP"), 2.5%, "")))</f>
        <v/>
      </c>
      <c r="G668" s="122" t="str">
        <f aca="false">IF(F668="", "", F668*D668)</f>
        <v/>
      </c>
      <c r="H668" s="131" t="b">
        <f aca="false">FALSE()</f>
        <v>0</v>
      </c>
      <c r="I668" s="131" t="b">
        <f aca="false">FALSE()</f>
        <v>0</v>
      </c>
      <c r="J668" s="130"/>
      <c r="K668" s="110"/>
      <c r="L668" s="83"/>
      <c r="M668" s="103"/>
      <c r="N668" s="103"/>
      <c r="O668" s="103"/>
      <c r="P668" s="103"/>
      <c r="Q668" s="103"/>
      <c r="R668" s="83"/>
      <c r="S668" s="103"/>
      <c r="T668" s="103"/>
      <c r="U668" s="103"/>
    </row>
    <row r="669" customFormat="false" ht="22.5" hidden="false" customHeight="true" outlineLevel="0" collapsed="false">
      <c r="A669" s="99"/>
      <c r="B669" s="99"/>
      <c r="C669" s="99"/>
      <c r="D669" s="121"/>
      <c r="E669" s="99"/>
      <c r="F669" s="124" t="str">
        <f aca="false">IF(E669="CONTADO", 4%, IF(E669="TARJETA / CHEQUE", 3%, IF(OR(E669="FINANCIADO", E669="MCP"), 2.5%, "")))</f>
        <v/>
      </c>
      <c r="G669" s="121" t="str">
        <f aca="false">IF(F669="", "", F669*D669)</f>
        <v/>
      </c>
      <c r="H669" s="132" t="b">
        <f aca="false">FALSE()</f>
        <v>0</v>
      </c>
      <c r="I669" s="132" t="b">
        <f aca="false">FALSE()</f>
        <v>0</v>
      </c>
      <c r="J669" s="126"/>
      <c r="K669" s="99"/>
      <c r="L669" s="83"/>
      <c r="M669" s="103"/>
      <c r="N669" s="103"/>
      <c r="O669" s="103"/>
      <c r="P669" s="103"/>
      <c r="Q669" s="103"/>
      <c r="R669" s="83"/>
      <c r="S669" s="103"/>
      <c r="T669" s="103"/>
      <c r="U669" s="103"/>
    </row>
    <row r="670" customFormat="false" ht="22.5" hidden="false" customHeight="true" outlineLevel="0" collapsed="false">
      <c r="A670" s="110"/>
      <c r="B670" s="110"/>
      <c r="C670" s="110"/>
      <c r="D670" s="122"/>
      <c r="E670" s="110"/>
      <c r="F670" s="128" t="str">
        <f aca="false">IF(E670="CONTADO", 4%, IF(E670="TARJETA / CHEQUE", 3%, IF(OR(E670="FINANCIADO", E670="MCP"), 2.5%, "")))</f>
        <v/>
      </c>
      <c r="G670" s="122" t="str">
        <f aca="false">IF(F670="", "", F670*D670)</f>
        <v/>
      </c>
      <c r="H670" s="131" t="b">
        <f aca="false">FALSE()</f>
        <v>0</v>
      </c>
      <c r="I670" s="131" t="b">
        <f aca="false">FALSE()</f>
        <v>0</v>
      </c>
      <c r="J670" s="130"/>
      <c r="K670" s="110"/>
      <c r="L670" s="83"/>
      <c r="M670" s="103"/>
      <c r="N670" s="103"/>
      <c r="O670" s="103"/>
      <c r="P670" s="103"/>
      <c r="Q670" s="103"/>
      <c r="R670" s="83"/>
      <c r="S670" s="103"/>
      <c r="T670" s="103"/>
      <c r="U670" s="103"/>
    </row>
    <row r="671" customFormat="false" ht="22.5" hidden="false" customHeight="true" outlineLevel="0" collapsed="false">
      <c r="A671" s="99"/>
      <c r="B671" s="99"/>
      <c r="C671" s="99"/>
      <c r="D671" s="121"/>
      <c r="E671" s="99"/>
      <c r="F671" s="124" t="str">
        <f aca="false">IF(E671="CONTADO", 4%, IF(E671="TARJETA / CHEQUE", 3%, IF(OR(E671="FINANCIADO", E671="MCP"), 2.5%, "")))</f>
        <v/>
      </c>
      <c r="G671" s="121" t="str">
        <f aca="false">IF(F671="", "", F671*D671)</f>
        <v/>
      </c>
      <c r="H671" s="132" t="b">
        <f aca="false">FALSE()</f>
        <v>0</v>
      </c>
      <c r="I671" s="132" t="b">
        <f aca="false">FALSE()</f>
        <v>0</v>
      </c>
      <c r="J671" s="126"/>
      <c r="K671" s="99"/>
      <c r="L671" s="83"/>
      <c r="M671" s="103"/>
      <c r="N671" s="103"/>
      <c r="O671" s="103"/>
      <c r="P671" s="103"/>
      <c r="Q671" s="103"/>
      <c r="R671" s="83"/>
      <c r="S671" s="103"/>
      <c r="T671" s="103"/>
      <c r="U671" s="103"/>
    </row>
    <row r="672" customFormat="false" ht="22.5" hidden="false" customHeight="true" outlineLevel="0" collapsed="false">
      <c r="A672" s="110"/>
      <c r="B672" s="110"/>
      <c r="C672" s="110"/>
      <c r="D672" s="122"/>
      <c r="E672" s="110"/>
      <c r="F672" s="128" t="str">
        <f aca="false">IF(E672="CONTADO", 4%, IF(E672="TARJETA / CHEQUE", 3%, IF(OR(E672="FINANCIADO", E672="MCP"), 2.5%, "")))</f>
        <v/>
      </c>
      <c r="G672" s="122" t="str">
        <f aca="false">IF(F672="", "", F672*D672)</f>
        <v/>
      </c>
      <c r="H672" s="131" t="b">
        <f aca="false">FALSE()</f>
        <v>0</v>
      </c>
      <c r="I672" s="131" t="b">
        <f aca="false">FALSE()</f>
        <v>0</v>
      </c>
      <c r="J672" s="130"/>
      <c r="K672" s="110"/>
      <c r="L672" s="83"/>
      <c r="M672" s="103"/>
      <c r="N672" s="103"/>
      <c r="O672" s="103"/>
      <c r="P672" s="103"/>
      <c r="Q672" s="103"/>
      <c r="R672" s="83"/>
      <c r="S672" s="103"/>
      <c r="T672" s="103"/>
      <c r="U672" s="103"/>
    </row>
    <row r="673" customFormat="false" ht="22.5" hidden="false" customHeight="true" outlineLevel="0" collapsed="false">
      <c r="A673" s="99"/>
      <c r="B673" s="99"/>
      <c r="C673" s="99"/>
      <c r="D673" s="121"/>
      <c r="E673" s="99"/>
      <c r="F673" s="124" t="str">
        <f aca="false">IF(E673="CONTADO", 4%, IF(E673="TARJETA / CHEQUE", 3%, IF(OR(E673="FINANCIADO", E673="MCP"), 2.5%, "")))</f>
        <v/>
      </c>
      <c r="G673" s="121" t="str">
        <f aca="false">IF(F673="", "", F673*D673)</f>
        <v/>
      </c>
      <c r="H673" s="132" t="b">
        <f aca="false">FALSE()</f>
        <v>0</v>
      </c>
      <c r="I673" s="132" t="b">
        <f aca="false">FALSE()</f>
        <v>0</v>
      </c>
      <c r="J673" s="126"/>
      <c r="K673" s="99"/>
      <c r="L673" s="83"/>
      <c r="M673" s="103"/>
      <c r="N673" s="103"/>
      <c r="O673" s="103"/>
      <c r="P673" s="103"/>
      <c r="Q673" s="103"/>
      <c r="R673" s="83"/>
      <c r="S673" s="103"/>
      <c r="T673" s="103"/>
      <c r="U673" s="103"/>
    </row>
    <row r="674" customFormat="false" ht="22.5" hidden="false" customHeight="true" outlineLevel="0" collapsed="false">
      <c r="A674" s="110"/>
      <c r="B674" s="110"/>
      <c r="C674" s="110"/>
      <c r="D674" s="122"/>
      <c r="E674" s="110"/>
      <c r="F674" s="128" t="str">
        <f aca="false">IF(E674="CONTADO", 4%, IF(E674="TARJETA / CHEQUE", 3%, IF(OR(E674="FINANCIADO", E674="MCP"), 2.5%, "")))</f>
        <v/>
      </c>
      <c r="G674" s="122" t="str">
        <f aca="false">IF(F674="", "", F674*D674)</f>
        <v/>
      </c>
      <c r="H674" s="131" t="b">
        <f aca="false">FALSE()</f>
        <v>0</v>
      </c>
      <c r="I674" s="131" t="b">
        <f aca="false">FALSE()</f>
        <v>0</v>
      </c>
      <c r="J674" s="130"/>
      <c r="K674" s="110"/>
      <c r="L674" s="83"/>
      <c r="M674" s="103"/>
      <c r="N674" s="103"/>
      <c r="O674" s="103"/>
      <c r="P674" s="103"/>
      <c r="Q674" s="103"/>
      <c r="R674" s="83"/>
      <c r="S674" s="103"/>
      <c r="T674" s="103"/>
      <c r="U674" s="103"/>
    </row>
    <row r="675" customFormat="false" ht="22.5" hidden="false" customHeight="true" outlineLevel="0" collapsed="false">
      <c r="A675" s="99"/>
      <c r="B675" s="99"/>
      <c r="C675" s="99"/>
      <c r="D675" s="121"/>
      <c r="E675" s="99"/>
      <c r="F675" s="124" t="str">
        <f aca="false">IF(E675="CONTADO", 4%, IF(E675="TARJETA / CHEQUE", 3%, IF(OR(E675="FINANCIADO", E675="MCP"), 2.5%, "")))</f>
        <v/>
      </c>
      <c r="G675" s="121" t="str">
        <f aca="false">IF(F675="", "", F675*D675)</f>
        <v/>
      </c>
      <c r="H675" s="132" t="b">
        <f aca="false">FALSE()</f>
        <v>0</v>
      </c>
      <c r="I675" s="132" t="b">
        <f aca="false">FALSE()</f>
        <v>0</v>
      </c>
      <c r="J675" s="126"/>
      <c r="K675" s="99"/>
      <c r="L675" s="83"/>
      <c r="M675" s="103"/>
      <c r="N675" s="103"/>
      <c r="O675" s="103"/>
      <c r="P675" s="103"/>
      <c r="Q675" s="103"/>
      <c r="R675" s="83"/>
      <c r="S675" s="103"/>
      <c r="T675" s="103"/>
      <c r="U675" s="103"/>
    </row>
    <row r="676" customFormat="false" ht="22.5" hidden="false" customHeight="true" outlineLevel="0" collapsed="false">
      <c r="A676" s="110"/>
      <c r="B676" s="110"/>
      <c r="C676" s="110"/>
      <c r="D676" s="122"/>
      <c r="E676" s="110"/>
      <c r="F676" s="128" t="str">
        <f aca="false">IF(E676="CONTADO", 4%, IF(E676="TARJETA / CHEQUE", 3%, IF(OR(E676="FINANCIADO", E676="MCP"), 2.5%, "")))</f>
        <v/>
      </c>
      <c r="G676" s="122" t="str">
        <f aca="false">IF(F676="", "", F676*D676)</f>
        <v/>
      </c>
      <c r="H676" s="131" t="b">
        <f aca="false">FALSE()</f>
        <v>0</v>
      </c>
      <c r="I676" s="131" t="b">
        <f aca="false">FALSE()</f>
        <v>0</v>
      </c>
      <c r="J676" s="130"/>
      <c r="K676" s="110"/>
      <c r="L676" s="83"/>
      <c r="M676" s="103"/>
      <c r="N676" s="103"/>
      <c r="O676" s="103"/>
      <c r="P676" s="103"/>
      <c r="Q676" s="103"/>
      <c r="R676" s="83"/>
      <c r="S676" s="103"/>
      <c r="T676" s="103"/>
      <c r="U676" s="103"/>
    </row>
    <row r="677" customFormat="false" ht="22.5" hidden="false" customHeight="true" outlineLevel="0" collapsed="false">
      <c r="A677" s="99"/>
      <c r="B677" s="99"/>
      <c r="C677" s="99"/>
      <c r="D677" s="121"/>
      <c r="E677" s="99"/>
      <c r="F677" s="124" t="str">
        <f aca="false">IF(E677="CONTADO", 4%, IF(E677="TARJETA / CHEQUE", 3%, IF(OR(E677="FINANCIADO", E677="MCP"), 2.5%, "")))</f>
        <v/>
      </c>
      <c r="G677" s="121" t="str">
        <f aca="false">IF(F677="", "", F677*D677)</f>
        <v/>
      </c>
      <c r="H677" s="132" t="b">
        <f aca="false">FALSE()</f>
        <v>0</v>
      </c>
      <c r="I677" s="132" t="b">
        <f aca="false">FALSE()</f>
        <v>0</v>
      </c>
      <c r="J677" s="126"/>
      <c r="K677" s="99"/>
      <c r="L677" s="83"/>
      <c r="M677" s="103"/>
      <c r="N677" s="103"/>
      <c r="O677" s="103"/>
      <c r="P677" s="103"/>
      <c r="Q677" s="103"/>
      <c r="R677" s="83"/>
      <c r="S677" s="103"/>
      <c r="T677" s="103"/>
      <c r="U677" s="103"/>
    </row>
    <row r="678" customFormat="false" ht="22.5" hidden="false" customHeight="true" outlineLevel="0" collapsed="false">
      <c r="A678" s="110"/>
      <c r="B678" s="110"/>
      <c r="C678" s="110"/>
      <c r="D678" s="122"/>
      <c r="E678" s="110"/>
      <c r="F678" s="128" t="str">
        <f aca="false">IF(E678="CONTADO", 4%, IF(E678="TARJETA / CHEQUE", 3%, IF(OR(E678="FINANCIADO", E678="MCP"), 2.5%, "")))</f>
        <v/>
      </c>
      <c r="G678" s="122" t="str">
        <f aca="false">IF(F678="", "", F678*D678)</f>
        <v/>
      </c>
      <c r="H678" s="131" t="b">
        <f aca="false">FALSE()</f>
        <v>0</v>
      </c>
      <c r="I678" s="131" t="b">
        <f aca="false">FALSE()</f>
        <v>0</v>
      </c>
      <c r="J678" s="130"/>
      <c r="K678" s="110"/>
      <c r="L678" s="83"/>
      <c r="M678" s="103"/>
      <c r="N678" s="103"/>
      <c r="O678" s="103"/>
      <c r="P678" s="103"/>
      <c r="Q678" s="103"/>
      <c r="R678" s="83"/>
      <c r="S678" s="103"/>
      <c r="T678" s="103"/>
      <c r="U678" s="103"/>
    </row>
    <row r="679" customFormat="false" ht="22.5" hidden="false" customHeight="true" outlineLevel="0" collapsed="false">
      <c r="A679" s="99"/>
      <c r="B679" s="99"/>
      <c r="C679" s="99"/>
      <c r="D679" s="121"/>
      <c r="E679" s="99"/>
      <c r="F679" s="124" t="str">
        <f aca="false">IF(E679="CONTADO", 4%, IF(E679="TARJETA / CHEQUE", 3%, IF(OR(E679="FINANCIADO", E679="MCP"), 2.5%, "")))</f>
        <v/>
      </c>
      <c r="G679" s="121" t="str">
        <f aca="false">IF(F679="", "", F679*D679)</f>
        <v/>
      </c>
      <c r="H679" s="132" t="b">
        <f aca="false">FALSE()</f>
        <v>0</v>
      </c>
      <c r="I679" s="132" t="b">
        <f aca="false">FALSE()</f>
        <v>0</v>
      </c>
      <c r="J679" s="126"/>
      <c r="K679" s="99"/>
      <c r="L679" s="83"/>
      <c r="M679" s="103"/>
      <c r="N679" s="103"/>
      <c r="O679" s="103"/>
      <c r="P679" s="103"/>
      <c r="Q679" s="103"/>
      <c r="R679" s="83"/>
      <c r="S679" s="103"/>
      <c r="T679" s="103"/>
      <c r="U679" s="103"/>
    </row>
    <row r="680" customFormat="false" ht="22.5" hidden="false" customHeight="true" outlineLevel="0" collapsed="false">
      <c r="A680" s="110"/>
      <c r="B680" s="110"/>
      <c r="C680" s="110"/>
      <c r="D680" s="122"/>
      <c r="E680" s="110"/>
      <c r="F680" s="128" t="str">
        <f aca="false">IF(E680="CONTADO", 4%, IF(E680="TARJETA / CHEQUE", 3%, IF(OR(E680="FINANCIADO", E680="MCP"), 2.5%, "")))</f>
        <v/>
      </c>
      <c r="G680" s="122" t="str">
        <f aca="false">IF(F680="", "", F680*D680)</f>
        <v/>
      </c>
      <c r="H680" s="131" t="b">
        <f aca="false">FALSE()</f>
        <v>0</v>
      </c>
      <c r="I680" s="131" t="b">
        <f aca="false">FALSE()</f>
        <v>0</v>
      </c>
      <c r="J680" s="130"/>
      <c r="K680" s="110"/>
      <c r="L680" s="83"/>
      <c r="M680" s="103"/>
      <c r="N680" s="103"/>
      <c r="O680" s="103"/>
      <c r="P680" s="103"/>
      <c r="Q680" s="103"/>
      <c r="R680" s="83"/>
      <c r="S680" s="103"/>
      <c r="T680" s="103"/>
      <c r="U680" s="103"/>
    </row>
    <row r="681" customFormat="false" ht="22.5" hidden="false" customHeight="true" outlineLevel="0" collapsed="false">
      <c r="A681" s="99"/>
      <c r="B681" s="99"/>
      <c r="C681" s="99"/>
      <c r="D681" s="121"/>
      <c r="E681" s="99"/>
      <c r="F681" s="124" t="str">
        <f aca="false">IF(E681="CONTADO", 4%, IF(E681="TARJETA / CHEQUE", 3%, IF(OR(E681="FINANCIADO", E681="MCP"), 2.5%, "")))</f>
        <v/>
      </c>
      <c r="G681" s="121" t="str">
        <f aca="false">IF(F681="", "", F681*D681)</f>
        <v/>
      </c>
      <c r="H681" s="132" t="b">
        <f aca="false">FALSE()</f>
        <v>0</v>
      </c>
      <c r="I681" s="132" t="b">
        <f aca="false">FALSE()</f>
        <v>0</v>
      </c>
      <c r="J681" s="126"/>
      <c r="K681" s="99"/>
      <c r="L681" s="83"/>
      <c r="M681" s="103"/>
      <c r="N681" s="103"/>
      <c r="O681" s="103"/>
      <c r="P681" s="103"/>
      <c r="Q681" s="103"/>
      <c r="R681" s="83"/>
      <c r="S681" s="103"/>
      <c r="T681" s="103"/>
      <c r="U681" s="103"/>
    </row>
    <row r="682" customFormat="false" ht="22.5" hidden="false" customHeight="true" outlineLevel="0" collapsed="false">
      <c r="A682" s="110"/>
      <c r="B682" s="110"/>
      <c r="C682" s="110"/>
      <c r="D682" s="122"/>
      <c r="E682" s="110"/>
      <c r="F682" s="128" t="str">
        <f aca="false">IF(E682="CONTADO", 4%, IF(E682="TARJETA / CHEQUE", 3%, IF(OR(E682="FINANCIADO", E682="MCP"), 2.5%, "")))</f>
        <v/>
      </c>
      <c r="G682" s="122" t="str">
        <f aca="false">IF(F682="", "", F682*D682)</f>
        <v/>
      </c>
      <c r="H682" s="131" t="b">
        <f aca="false">FALSE()</f>
        <v>0</v>
      </c>
      <c r="I682" s="131" t="b">
        <f aca="false">FALSE()</f>
        <v>0</v>
      </c>
      <c r="J682" s="130"/>
      <c r="K682" s="110"/>
      <c r="L682" s="83"/>
      <c r="M682" s="103"/>
      <c r="N682" s="103"/>
      <c r="O682" s="103"/>
      <c r="P682" s="103"/>
      <c r="Q682" s="103"/>
      <c r="R682" s="83"/>
      <c r="S682" s="103"/>
      <c r="T682" s="103"/>
      <c r="U682" s="103"/>
    </row>
    <row r="683" customFormat="false" ht="22.5" hidden="false" customHeight="true" outlineLevel="0" collapsed="false">
      <c r="A683" s="99"/>
      <c r="B683" s="99"/>
      <c r="C683" s="99"/>
      <c r="D683" s="121"/>
      <c r="E683" s="99"/>
      <c r="F683" s="124" t="str">
        <f aca="false">IF(E683="CONTADO", 4%, IF(E683="TARJETA / CHEQUE", 3%, IF(OR(E683="FINANCIADO", E683="MCP"), 2.5%, "")))</f>
        <v/>
      </c>
      <c r="G683" s="121" t="str">
        <f aca="false">IF(F683="", "", F683*D683)</f>
        <v/>
      </c>
      <c r="H683" s="132" t="b">
        <f aca="false">FALSE()</f>
        <v>0</v>
      </c>
      <c r="I683" s="132" t="b">
        <f aca="false">FALSE()</f>
        <v>0</v>
      </c>
      <c r="J683" s="126"/>
      <c r="K683" s="99"/>
      <c r="L683" s="83"/>
      <c r="M683" s="103"/>
      <c r="N683" s="103"/>
      <c r="O683" s="103"/>
      <c r="P683" s="103"/>
      <c r="Q683" s="103"/>
      <c r="R683" s="83"/>
      <c r="S683" s="103"/>
      <c r="T683" s="103"/>
      <c r="U683" s="103"/>
    </row>
    <row r="684" customFormat="false" ht="22.5" hidden="false" customHeight="true" outlineLevel="0" collapsed="false">
      <c r="A684" s="110"/>
      <c r="B684" s="110"/>
      <c r="C684" s="110"/>
      <c r="D684" s="122"/>
      <c r="E684" s="110"/>
      <c r="F684" s="128" t="str">
        <f aca="false">IF(E684="CONTADO", 4%, IF(E684="TARJETA / CHEQUE", 3%, IF(OR(E684="FINANCIADO", E684="MCP"), 2.5%, "")))</f>
        <v/>
      </c>
      <c r="G684" s="122" t="str">
        <f aca="false">IF(F684="", "", F684*D684)</f>
        <v/>
      </c>
      <c r="H684" s="131" t="b">
        <f aca="false">FALSE()</f>
        <v>0</v>
      </c>
      <c r="I684" s="131" t="b">
        <f aca="false">FALSE()</f>
        <v>0</v>
      </c>
      <c r="J684" s="130"/>
      <c r="K684" s="110"/>
      <c r="L684" s="83"/>
      <c r="M684" s="103"/>
      <c r="N684" s="103"/>
      <c r="O684" s="103"/>
      <c r="P684" s="103"/>
      <c r="Q684" s="103"/>
      <c r="R684" s="83"/>
      <c r="S684" s="103"/>
      <c r="T684" s="103"/>
      <c r="U684" s="103"/>
    </row>
    <row r="685" customFormat="false" ht="22.5" hidden="false" customHeight="true" outlineLevel="0" collapsed="false">
      <c r="A685" s="99"/>
      <c r="B685" s="99"/>
      <c r="C685" s="99"/>
      <c r="D685" s="121"/>
      <c r="E685" s="99"/>
      <c r="F685" s="124" t="str">
        <f aca="false">IF(E685="CONTADO", 4%, IF(E685="TARJETA / CHEQUE", 3%, IF(OR(E685="FINANCIADO", E685="MCP"), 2.5%, "")))</f>
        <v/>
      </c>
      <c r="G685" s="121" t="str">
        <f aca="false">IF(F685="", "", F685*D685)</f>
        <v/>
      </c>
      <c r="H685" s="132" t="b">
        <f aca="false">FALSE()</f>
        <v>0</v>
      </c>
      <c r="I685" s="132" t="b">
        <f aca="false">FALSE()</f>
        <v>0</v>
      </c>
      <c r="J685" s="126"/>
      <c r="K685" s="99"/>
      <c r="L685" s="83"/>
      <c r="M685" s="103"/>
      <c r="N685" s="103"/>
      <c r="O685" s="103"/>
      <c r="P685" s="103"/>
      <c r="Q685" s="103"/>
      <c r="R685" s="83"/>
      <c r="S685" s="103"/>
      <c r="T685" s="103"/>
      <c r="U685" s="103"/>
    </row>
    <row r="686" customFormat="false" ht="22.5" hidden="false" customHeight="true" outlineLevel="0" collapsed="false">
      <c r="A686" s="110"/>
      <c r="B686" s="110"/>
      <c r="C686" s="110"/>
      <c r="D686" s="122"/>
      <c r="E686" s="110"/>
      <c r="F686" s="128" t="str">
        <f aca="false">IF(E686="CONTADO", 4%, IF(E686="TARJETA / CHEQUE", 3%, IF(OR(E686="FINANCIADO", E686="MCP"), 2.5%, "")))</f>
        <v/>
      </c>
      <c r="G686" s="122" t="str">
        <f aca="false">IF(F686="", "", F686*D686)</f>
        <v/>
      </c>
      <c r="H686" s="131" t="b">
        <f aca="false">FALSE()</f>
        <v>0</v>
      </c>
      <c r="I686" s="131" t="b">
        <f aca="false">FALSE()</f>
        <v>0</v>
      </c>
      <c r="J686" s="130"/>
      <c r="K686" s="110"/>
      <c r="L686" s="83"/>
      <c r="M686" s="103"/>
      <c r="N686" s="103"/>
      <c r="O686" s="103"/>
      <c r="P686" s="103"/>
      <c r="Q686" s="103"/>
      <c r="R686" s="83"/>
      <c r="S686" s="103"/>
      <c r="T686" s="103"/>
      <c r="U686" s="103"/>
    </row>
    <row r="687" customFormat="false" ht="22.5" hidden="false" customHeight="true" outlineLevel="0" collapsed="false">
      <c r="A687" s="99"/>
      <c r="B687" s="99"/>
      <c r="C687" s="99"/>
      <c r="D687" s="121"/>
      <c r="E687" s="99"/>
      <c r="F687" s="124" t="str">
        <f aca="false">IF(E687="CONTADO", 4%, IF(E687="TARJETA / CHEQUE", 3%, IF(OR(E687="FINANCIADO", E687="MCP"), 2.5%, "")))</f>
        <v/>
      </c>
      <c r="G687" s="121" t="str">
        <f aca="false">IF(F687="", "", F687*D687)</f>
        <v/>
      </c>
      <c r="H687" s="132" t="b">
        <f aca="false">FALSE()</f>
        <v>0</v>
      </c>
      <c r="I687" s="132" t="b">
        <f aca="false">FALSE()</f>
        <v>0</v>
      </c>
      <c r="J687" s="126"/>
      <c r="K687" s="99"/>
      <c r="L687" s="83"/>
      <c r="M687" s="103"/>
      <c r="N687" s="103"/>
      <c r="O687" s="103"/>
      <c r="P687" s="103"/>
      <c r="Q687" s="103"/>
      <c r="R687" s="83"/>
      <c r="S687" s="103"/>
      <c r="T687" s="103"/>
      <c r="U687" s="103"/>
    </row>
    <row r="688" customFormat="false" ht="22.5" hidden="false" customHeight="true" outlineLevel="0" collapsed="false">
      <c r="A688" s="110"/>
      <c r="B688" s="110"/>
      <c r="C688" s="110"/>
      <c r="D688" s="122"/>
      <c r="E688" s="110"/>
      <c r="F688" s="128" t="str">
        <f aca="false">IF(E688="CONTADO", 4%, IF(E688="TARJETA / CHEQUE", 3%, IF(OR(E688="FINANCIADO", E688="MCP"), 2.5%, "")))</f>
        <v/>
      </c>
      <c r="G688" s="122" t="str">
        <f aca="false">IF(F688="", "", F688*D688)</f>
        <v/>
      </c>
      <c r="H688" s="131" t="b">
        <f aca="false">FALSE()</f>
        <v>0</v>
      </c>
      <c r="I688" s="131" t="b">
        <f aca="false">FALSE()</f>
        <v>0</v>
      </c>
      <c r="J688" s="130"/>
      <c r="K688" s="110"/>
      <c r="L688" s="83"/>
      <c r="M688" s="103"/>
      <c r="N688" s="103"/>
      <c r="O688" s="103"/>
      <c r="P688" s="103"/>
      <c r="Q688" s="103"/>
      <c r="R688" s="83"/>
      <c r="S688" s="103"/>
      <c r="T688" s="103"/>
      <c r="U688" s="103"/>
    </row>
    <row r="689" customFormat="false" ht="22.5" hidden="false" customHeight="true" outlineLevel="0" collapsed="false">
      <c r="A689" s="99"/>
      <c r="B689" s="99"/>
      <c r="C689" s="99"/>
      <c r="D689" s="121"/>
      <c r="E689" s="99"/>
      <c r="F689" s="124" t="str">
        <f aca="false">IF(E689="CONTADO", 4%, IF(E689="TARJETA / CHEQUE", 3%, IF(OR(E689="FINANCIADO", E689="MCP"), 2.5%, "")))</f>
        <v/>
      </c>
      <c r="G689" s="121" t="str">
        <f aca="false">IF(F689="", "", F689*D689)</f>
        <v/>
      </c>
      <c r="H689" s="132" t="b">
        <f aca="false">FALSE()</f>
        <v>0</v>
      </c>
      <c r="I689" s="132" t="b">
        <f aca="false">FALSE()</f>
        <v>0</v>
      </c>
      <c r="J689" s="126"/>
      <c r="K689" s="99"/>
      <c r="L689" s="83"/>
      <c r="M689" s="103"/>
      <c r="N689" s="103"/>
      <c r="O689" s="103"/>
      <c r="P689" s="103"/>
      <c r="Q689" s="103"/>
      <c r="R689" s="83"/>
      <c r="S689" s="103"/>
      <c r="T689" s="103"/>
      <c r="U689" s="103"/>
    </row>
    <row r="690" customFormat="false" ht="22.5" hidden="false" customHeight="true" outlineLevel="0" collapsed="false">
      <c r="A690" s="110"/>
      <c r="B690" s="110"/>
      <c r="C690" s="110"/>
      <c r="D690" s="122"/>
      <c r="E690" s="110"/>
      <c r="F690" s="128" t="str">
        <f aca="false">IF(E690="CONTADO", 4%, IF(E690="TARJETA / CHEQUE", 3%, IF(OR(E690="FINANCIADO", E690="MCP"), 2.5%, "")))</f>
        <v/>
      </c>
      <c r="G690" s="122" t="str">
        <f aca="false">IF(F690="", "", F690*D690)</f>
        <v/>
      </c>
      <c r="H690" s="131" t="b">
        <f aca="false">FALSE()</f>
        <v>0</v>
      </c>
      <c r="I690" s="131" t="b">
        <f aca="false">FALSE()</f>
        <v>0</v>
      </c>
      <c r="J690" s="130"/>
      <c r="K690" s="110"/>
      <c r="L690" s="83"/>
      <c r="M690" s="103"/>
      <c r="N690" s="103"/>
      <c r="O690" s="103"/>
      <c r="P690" s="103"/>
      <c r="Q690" s="103"/>
      <c r="R690" s="83"/>
      <c r="S690" s="103"/>
      <c r="T690" s="103"/>
      <c r="U690" s="103"/>
    </row>
    <row r="691" customFormat="false" ht="22.5" hidden="false" customHeight="true" outlineLevel="0" collapsed="false">
      <c r="A691" s="99"/>
      <c r="B691" s="99"/>
      <c r="C691" s="99"/>
      <c r="D691" s="121"/>
      <c r="E691" s="99"/>
      <c r="F691" s="124" t="str">
        <f aca="false">IF(E691="CONTADO", 4%, IF(E691="TARJETA / CHEQUE", 3%, IF(OR(E691="FINANCIADO", E691="MCP"), 2.5%, "")))</f>
        <v/>
      </c>
      <c r="G691" s="121" t="str">
        <f aca="false">IF(F691="", "", F691*D691)</f>
        <v/>
      </c>
      <c r="H691" s="132" t="b">
        <f aca="false">FALSE()</f>
        <v>0</v>
      </c>
      <c r="I691" s="132" t="b">
        <f aca="false">FALSE()</f>
        <v>0</v>
      </c>
      <c r="J691" s="126"/>
      <c r="K691" s="99"/>
      <c r="L691" s="83"/>
      <c r="M691" s="103"/>
      <c r="N691" s="103"/>
      <c r="O691" s="103"/>
      <c r="P691" s="103"/>
      <c r="Q691" s="103"/>
      <c r="R691" s="83"/>
      <c r="S691" s="103"/>
      <c r="T691" s="103"/>
      <c r="U691" s="103"/>
    </row>
    <row r="692" customFormat="false" ht="22.5" hidden="false" customHeight="true" outlineLevel="0" collapsed="false">
      <c r="A692" s="110"/>
      <c r="B692" s="110"/>
      <c r="C692" s="110"/>
      <c r="D692" s="122"/>
      <c r="E692" s="110"/>
      <c r="F692" s="128" t="str">
        <f aca="false">IF(E692="CONTADO", 4%, IF(E692="TARJETA / CHEQUE", 3%, IF(OR(E692="FINANCIADO", E692="MCP"), 2.5%, "")))</f>
        <v/>
      </c>
      <c r="G692" s="122" t="str">
        <f aca="false">IF(F692="", "", F692*D692)</f>
        <v/>
      </c>
      <c r="H692" s="131" t="b">
        <f aca="false">FALSE()</f>
        <v>0</v>
      </c>
      <c r="I692" s="131" t="b">
        <f aca="false">FALSE()</f>
        <v>0</v>
      </c>
      <c r="J692" s="130"/>
      <c r="K692" s="110"/>
      <c r="L692" s="83"/>
      <c r="M692" s="103"/>
      <c r="N692" s="103"/>
      <c r="O692" s="103"/>
      <c r="P692" s="103"/>
      <c r="Q692" s="103"/>
      <c r="R692" s="83"/>
      <c r="S692" s="103"/>
      <c r="T692" s="103"/>
      <c r="U692" s="103"/>
    </row>
    <row r="693" customFormat="false" ht="22.5" hidden="false" customHeight="true" outlineLevel="0" collapsed="false">
      <c r="A693" s="99"/>
      <c r="B693" s="99"/>
      <c r="C693" s="99"/>
      <c r="D693" s="121"/>
      <c r="E693" s="99"/>
      <c r="F693" s="124" t="str">
        <f aca="false">IF(E693="CONTADO", 4%, IF(E693="TARJETA / CHEQUE", 3%, IF(OR(E693="FINANCIADO", E693="MCP"), 2.5%, "")))</f>
        <v/>
      </c>
      <c r="G693" s="121" t="str">
        <f aca="false">IF(F693="", "", F693*D693)</f>
        <v/>
      </c>
      <c r="H693" s="132" t="b">
        <f aca="false">FALSE()</f>
        <v>0</v>
      </c>
      <c r="I693" s="132" t="b">
        <f aca="false">FALSE()</f>
        <v>0</v>
      </c>
      <c r="J693" s="126"/>
      <c r="K693" s="99"/>
      <c r="L693" s="83"/>
      <c r="M693" s="103"/>
      <c r="N693" s="103"/>
      <c r="O693" s="103"/>
      <c r="P693" s="103"/>
      <c r="Q693" s="103"/>
      <c r="R693" s="83"/>
      <c r="S693" s="103"/>
      <c r="T693" s="103"/>
      <c r="U693" s="103"/>
    </row>
    <row r="694" customFormat="false" ht="22.5" hidden="false" customHeight="true" outlineLevel="0" collapsed="false">
      <c r="A694" s="110"/>
      <c r="B694" s="110"/>
      <c r="C694" s="110"/>
      <c r="D694" s="122"/>
      <c r="E694" s="110"/>
      <c r="F694" s="128" t="str">
        <f aca="false">IF(E694="CONTADO", 4%, IF(E694="TARJETA / CHEQUE", 3%, IF(OR(E694="FINANCIADO", E694="MCP"), 2.5%, "")))</f>
        <v/>
      </c>
      <c r="G694" s="122" t="str">
        <f aca="false">IF(F694="", "", F694*D694)</f>
        <v/>
      </c>
      <c r="H694" s="131" t="b">
        <f aca="false">FALSE()</f>
        <v>0</v>
      </c>
      <c r="I694" s="131" t="b">
        <f aca="false">FALSE()</f>
        <v>0</v>
      </c>
      <c r="J694" s="130"/>
      <c r="K694" s="110"/>
      <c r="L694" s="83"/>
      <c r="M694" s="103"/>
      <c r="N694" s="103"/>
      <c r="O694" s="103"/>
      <c r="P694" s="103"/>
      <c r="Q694" s="103"/>
      <c r="R694" s="83"/>
      <c r="S694" s="103"/>
      <c r="T694" s="103"/>
      <c r="U694" s="103"/>
    </row>
    <row r="695" customFormat="false" ht="22.5" hidden="false" customHeight="true" outlineLevel="0" collapsed="false">
      <c r="A695" s="99"/>
      <c r="B695" s="99"/>
      <c r="C695" s="99"/>
      <c r="D695" s="121"/>
      <c r="E695" s="99"/>
      <c r="F695" s="124" t="str">
        <f aca="false">IF(E695="CONTADO", 4%, IF(E695="TARJETA / CHEQUE", 3%, IF(OR(E695="FINANCIADO", E695="MCP"), 2.5%, "")))</f>
        <v/>
      </c>
      <c r="G695" s="121" t="str">
        <f aca="false">IF(F695="", "", F695*D695)</f>
        <v/>
      </c>
      <c r="H695" s="132" t="b">
        <f aca="false">FALSE()</f>
        <v>0</v>
      </c>
      <c r="I695" s="132" t="b">
        <f aca="false">FALSE()</f>
        <v>0</v>
      </c>
      <c r="J695" s="126"/>
      <c r="K695" s="99"/>
      <c r="L695" s="83"/>
      <c r="M695" s="103"/>
      <c r="N695" s="103"/>
      <c r="O695" s="103"/>
      <c r="P695" s="103"/>
      <c r="Q695" s="103"/>
      <c r="R695" s="83"/>
      <c r="S695" s="103"/>
      <c r="T695" s="103"/>
      <c r="U695" s="103"/>
    </row>
    <row r="696" customFormat="false" ht="22.5" hidden="false" customHeight="true" outlineLevel="0" collapsed="false">
      <c r="A696" s="110"/>
      <c r="B696" s="110"/>
      <c r="C696" s="110"/>
      <c r="D696" s="122"/>
      <c r="E696" s="110"/>
      <c r="F696" s="128" t="str">
        <f aca="false">IF(E696="CONTADO", 4%, IF(E696="TARJETA / CHEQUE", 3%, IF(OR(E696="FINANCIADO", E696="MCP"), 2.5%, "")))</f>
        <v/>
      </c>
      <c r="G696" s="122" t="str">
        <f aca="false">IF(F696="", "", F696*D696)</f>
        <v/>
      </c>
      <c r="H696" s="131" t="b">
        <f aca="false">FALSE()</f>
        <v>0</v>
      </c>
      <c r="I696" s="131" t="b">
        <f aca="false">FALSE()</f>
        <v>0</v>
      </c>
      <c r="J696" s="130"/>
      <c r="K696" s="110"/>
      <c r="L696" s="83"/>
      <c r="M696" s="103"/>
      <c r="N696" s="103"/>
      <c r="O696" s="103"/>
      <c r="P696" s="103"/>
      <c r="Q696" s="103"/>
      <c r="R696" s="83"/>
      <c r="S696" s="103"/>
      <c r="T696" s="103"/>
      <c r="U696" s="103"/>
    </row>
    <row r="697" customFormat="false" ht="22.5" hidden="false" customHeight="true" outlineLevel="0" collapsed="false">
      <c r="A697" s="99"/>
      <c r="B697" s="99"/>
      <c r="C697" s="99"/>
      <c r="D697" s="121"/>
      <c r="E697" s="99"/>
      <c r="F697" s="124" t="str">
        <f aca="false">IF(E697="CONTADO", 4%, IF(E697="TARJETA / CHEQUE", 3%, IF(OR(E697="FINANCIADO", E697="MCP"), 2.5%, "")))</f>
        <v/>
      </c>
      <c r="G697" s="121" t="str">
        <f aca="false">IF(F697="", "", F697*D697)</f>
        <v/>
      </c>
      <c r="H697" s="132" t="b">
        <f aca="false">FALSE()</f>
        <v>0</v>
      </c>
      <c r="I697" s="132" t="b">
        <f aca="false">FALSE()</f>
        <v>0</v>
      </c>
      <c r="J697" s="126"/>
      <c r="K697" s="99"/>
      <c r="L697" s="83"/>
      <c r="M697" s="103"/>
      <c r="N697" s="103"/>
      <c r="O697" s="103"/>
      <c r="P697" s="103"/>
      <c r="Q697" s="103"/>
      <c r="R697" s="83"/>
      <c r="S697" s="103"/>
      <c r="T697" s="103"/>
      <c r="U697" s="103"/>
    </row>
    <row r="698" customFormat="false" ht="22.5" hidden="false" customHeight="true" outlineLevel="0" collapsed="false">
      <c r="A698" s="110"/>
      <c r="B698" s="110"/>
      <c r="C698" s="110"/>
      <c r="D698" s="122"/>
      <c r="E698" s="110"/>
      <c r="F698" s="128" t="str">
        <f aca="false">IF(E698="CONTADO", 4%, IF(E698="TARJETA / CHEQUE", 3%, IF(OR(E698="FINANCIADO", E698="MCP"), 2.5%, "")))</f>
        <v/>
      </c>
      <c r="G698" s="122" t="str">
        <f aca="false">IF(F698="", "", F698*D698)</f>
        <v/>
      </c>
      <c r="H698" s="131" t="b">
        <f aca="false">FALSE()</f>
        <v>0</v>
      </c>
      <c r="I698" s="131" t="b">
        <f aca="false">FALSE()</f>
        <v>0</v>
      </c>
      <c r="J698" s="130"/>
      <c r="K698" s="110"/>
      <c r="L698" s="83"/>
      <c r="M698" s="103"/>
      <c r="N698" s="103"/>
      <c r="O698" s="103"/>
      <c r="P698" s="103"/>
      <c r="Q698" s="103"/>
      <c r="R698" s="83"/>
      <c r="S698" s="103"/>
      <c r="T698" s="103"/>
      <c r="U698" s="103"/>
    </row>
    <row r="699" customFormat="false" ht="22.5" hidden="false" customHeight="true" outlineLevel="0" collapsed="false">
      <c r="A699" s="99"/>
      <c r="B699" s="99"/>
      <c r="C699" s="99"/>
      <c r="D699" s="121"/>
      <c r="E699" s="99"/>
      <c r="F699" s="124" t="str">
        <f aca="false">IF(E699="CONTADO", 4%, IF(E699="TARJETA / CHEQUE", 3%, IF(OR(E699="FINANCIADO", E699="MCP"), 2.5%, "")))</f>
        <v/>
      </c>
      <c r="G699" s="121" t="str">
        <f aca="false">IF(F699="", "", F699*D699)</f>
        <v/>
      </c>
      <c r="H699" s="132" t="b">
        <f aca="false">FALSE()</f>
        <v>0</v>
      </c>
      <c r="I699" s="132" t="b">
        <f aca="false">FALSE()</f>
        <v>0</v>
      </c>
      <c r="J699" s="126"/>
      <c r="K699" s="99"/>
      <c r="L699" s="83"/>
      <c r="M699" s="103"/>
      <c r="N699" s="103"/>
      <c r="O699" s="103"/>
      <c r="P699" s="103"/>
      <c r="Q699" s="103"/>
      <c r="R699" s="83"/>
      <c r="S699" s="103"/>
      <c r="T699" s="103"/>
      <c r="U699" s="103"/>
    </row>
    <row r="700" customFormat="false" ht="22.5" hidden="false" customHeight="true" outlineLevel="0" collapsed="false">
      <c r="A700" s="110"/>
      <c r="B700" s="110"/>
      <c r="C700" s="110"/>
      <c r="D700" s="122"/>
      <c r="E700" s="110"/>
      <c r="F700" s="128" t="str">
        <f aca="false">IF(E700="CONTADO", 4%, IF(E700="TARJETA / CHEQUE", 3%, IF(OR(E700="FINANCIADO", E700="MCP"), 2.5%, "")))</f>
        <v/>
      </c>
      <c r="G700" s="122" t="str">
        <f aca="false">IF(F700="", "", F700*D700)</f>
        <v/>
      </c>
      <c r="H700" s="131" t="b">
        <f aca="false">FALSE()</f>
        <v>0</v>
      </c>
      <c r="I700" s="131" t="b">
        <f aca="false">FALSE()</f>
        <v>0</v>
      </c>
      <c r="J700" s="130"/>
      <c r="K700" s="110"/>
      <c r="L700" s="83"/>
      <c r="M700" s="103"/>
      <c r="N700" s="103"/>
      <c r="O700" s="103"/>
      <c r="P700" s="103"/>
      <c r="Q700" s="103"/>
      <c r="R700" s="83"/>
      <c r="S700" s="103"/>
      <c r="T700" s="103"/>
      <c r="U700" s="103"/>
    </row>
    <row r="701" customFormat="false" ht="22.5" hidden="false" customHeight="true" outlineLevel="0" collapsed="false">
      <c r="A701" s="99"/>
      <c r="B701" s="99"/>
      <c r="C701" s="99"/>
      <c r="D701" s="121"/>
      <c r="E701" s="99"/>
      <c r="F701" s="124" t="str">
        <f aca="false">IF(E701="CONTADO", 4%, IF(E701="TARJETA / CHEQUE", 3%, IF(OR(E701="FINANCIADO", E701="MCP"), 2.5%, "")))</f>
        <v/>
      </c>
      <c r="G701" s="121" t="str">
        <f aca="false">IF(F701="", "", F701*D701)</f>
        <v/>
      </c>
      <c r="H701" s="132" t="b">
        <f aca="false">FALSE()</f>
        <v>0</v>
      </c>
      <c r="I701" s="132" t="b">
        <f aca="false">FALSE()</f>
        <v>0</v>
      </c>
      <c r="J701" s="126"/>
      <c r="K701" s="99"/>
      <c r="L701" s="83"/>
      <c r="M701" s="103"/>
      <c r="N701" s="103"/>
      <c r="O701" s="103"/>
      <c r="P701" s="103"/>
      <c r="Q701" s="103"/>
      <c r="R701" s="83"/>
      <c r="S701" s="103"/>
      <c r="T701" s="103"/>
      <c r="U701" s="103"/>
    </row>
    <row r="702" customFormat="false" ht="22.5" hidden="false" customHeight="true" outlineLevel="0" collapsed="false">
      <c r="A702" s="110"/>
      <c r="B702" s="110"/>
      <c r="C702" s="110"/>
      <c r="D702" s="122"/>
      <c r="E702" s="110"/>
      <c r="F702" s="128" t="str">
        <f aca="false">IF(E702="CONTADO", 4%, IF(E702="TARJETA / CHEQUE", 3%, IF(OR(E702="FINANCIADO", E702="MCP"), 2.5%, "")))</f>
        <v/>
      </c>
      <c r="G702" s="122" t="str">
        <f aca="false">IF(F702="", "", F702*D702)</f>
        <v/>
      </c>
      <c r="H702" s="131" t="b">
        <f aca="false">FALSE()</f>
        <v>0</v>
      </c>
      <c r="I702" s="131" t="b">
        <f aca="false">FALSE()</f>
        <v>0</v>
      </c>
      <c r="J702" s="130"/>
      <c r="K702" s="110"/>
      <c r="L702" s="83"/>
      <c r="M702" s="103"/>
      <c r="N702" s="103"/>
      <c r="O702" s="103"/>
      <c r="P702" s="103"/>
      <c r="Q702" s="103"/>
      <c r="R702" s="83"/>
      <c r="S702" s="103"/>
      <c r="T702" s="103"/>
      <c r="U702" s="103"/>
    </row>
    <row r="703" customFormat="false" ht="22.5" hidden="false" customHeight="true" outlineLevel="0" collapsed="false">
      <c r="A703" s="99"/>
      <c r="B703" s="99"/>
      <c r="C703" s="99"/>
      <c r="D703" s="121"/>
      <c r="E703" s="99"/>
      <c r="F703" s="124" t="str">
        <f aca="false">IF(E703="CONTADO", 4%, IF(E703="TARJETA / CHEQUE", 3%, IF(OR(E703="FINANCIADO", E703="MCP"), 2.5%, "")))</f>
        <v/>
      </c>
      <c r="G703" s="121" t="str">
        <f aca="false">IF(F703="", "", F703*D703)</f>
        <v/>
      </c>
      <c r="H703" s="132" t="b">
        <f aca="false">FALSE()</f>
        <v>0</v>
      </c>
      <c r="I703" s="132" t="b">
        <f aca="false">FALSE()</f>
        <v>0</v>
      </c>
      <c r="J703" s="126"/>
      <c r="K703" s="99"/>
      <c r="L703" s="83"/>
      <c r="M703" s="103"/>
      <c r="N703" s="103"/>
      <c r="O703" s="103"/>
      <c r="P703" s="103"/>
      <c r="Q703" s="103"/>
      <c r="R703" s="83"/>
      <c r="S703" s="103"/>
      <c r="T703" s="103"/>
      <c r="U703" s="103"/>
    </row>
    <row r="704" customFormat="false" ht="22.5" hidden="false" customHeight="true" outlineLevel="0" collapsed="false">
      <c r="A704" s="110"/>
      <c r="B704" s="110"/>
      <c r="C704" s="110"/>
      <c r="D704" s="122"/>
      <c r="E704" s="110"/>
      <c r="F704" s="128" t="str">
        <f aca="false">IF(E704="CONTADO", 4%, IF(E704="TARJETA / CHEQUE", 3%, IF(OR(E704="FINANCIADO", E704="MCP"), 2.5%, "")))</f>
        <v/>
      </c>
      <c r="G704" s="122" t="str">
        <f aca="false">IF(F704="", "", F704*D704)</f>
        <v/>
      </c>
      <c r="H704" s="131" t="b">
        <f aca="false">FALSE()</f>
        <v>0</v>
      </c>
      <c r="I704" s="131" t="b">
        <f aca="false">FALSE()</f>
        <v>0</v>
      </c>
      <c r="J704" s="130"/>
      <c r="K704" s="110"/>
      <c r="L704" s="83"/>
      <c r="M704" s="103"/>
      <c r="N704" s="103"/>
      <c r="O704" s="103"/>
      <c r="P704" s="103"/>
      <c r="Q704" s="103"/>
      <c r="R704" s="83"/>
      <c r="S704" s="103"/>
      <c r="T704" s="103"/>
      <c r="U704" s="103"/>
    </row>
    <row r="705" customFormat="false" ht="22.5" hidden="false" customHeight="true" outlineLevel="0" collapsed="false">
      <c r="A705" s="99"/>
      <c r="B705" s="99"/>
      <c r="C705" s="99"/>
      <c r="D705" s="121"/>
      <c r="E705" s="99"/>
      <c r="F705" s="124" t="str">
        <f aca="false">IF(E705="CONTADO", 4%, IF(E705="TARJETA / CHEQUE", 3%, IF(OR(E705="FINANCIADO", E705="MCP"), 2.5%, "")))</f>
        <v/>
      </c>
      <c r="G705" s="121" t="str">
        <f aca="false">IF(F705="", "", F705*D705)</f>
        <v/>
      </c>
      <c r="H705" s="132" t="b">
        <f aca="false">FALSE()</f>
        <v>0</v>
      </c>
      <c r="I705" s="132" t="b">
        <f aca="false">FALSE()</f>
        <v>0</v>
      </c>
      <c r="J705" s="126"/>
      <c r="K705" s="99"/>
      <c r="L705" s="83"/>
      <c r="M705" s="103"/>
      <c r="N705" s="103"/>
      <c r="O705" s="103"/>
      <c r="P705" s="103"/>
      <c r="Q705" s="103"/>
      <c r="R705" s="83"/>
      <c r="S705" s="103"/>
      <c r="T705" s="103"/>
      <c r="U705" s="103"/>
    </row>
    <row r="706" customFormat="false" ht="22.5" hidden="false" customHeight="true" outlineLevel="0" collapsed="false">
      <c r="A706" s="110"/>
      <c r="B706" s="110"/>
      <c r="C706" s="110"/>
      <c r="D706" s="122"/>
      <c r="E706" s="110"/>
      <c r="F706" s="128" t="str">
        <f aca="false">IF(E706="CONTADO", 4%, IF(E706="TARJETA / CHEQUE", 3%, IF(OR(E706="FINANCIADO", E706="MCP"), 2.5%, "")))</f>
        <v/>
      </c>
      <c r="G706" s="122" t="str">
        <f aca="false">IF(F706="", "", F706*D706)</f>
        <v/>
      </c>
      <c r="H706" s="131" t="b">
        <f aca="false">FALSE()</f>
        <v>0</v>
      </c>
      <c r="I706" s="131" t="b">
        <f aca="false">FALSE()</f>
        <v>0</v>
      </c>
      <c r="J706" s="130"/>
      <c r="K706" s="110"/>
      <c r="L706" s="83"/>
      <c r="M706" s="103"/>
      <c r="N706" s="103"/>
      <c r="O706" s="103"/>
      <c r="P706" s="103"/>
      <c r="Q706" s="103"/>
      <c r="R706" s="83"/>
      <c r="S706" s="103"/>
      <c r="T706" s="103"/>
      <c r="U706" s="103"/>
    </row>
    <row r="707" customFormat="false" ht="22.5" hidden="false" customHeight="true" outlineLevel="0" collapsed="false">
      <c r="A707" s="99"/>
      <c r="B707" s="99"/>
      <c r="C707" s="99"/>
      <c r="D707" s="121"/>
      <c r="E707" s="99"/>
      <c r="F707" s="124" t="str">
        <f aca="false">IF(E707="CONTADO", 4%, IF(E707="TARJETA / CHEQUE", 3%, IF(OR(E707="FINANCIADO", E707="MCP"), 2.5%, "")))</f>
        <v/>
      </c>
      <c r="G707" s="121" t="str">
        <f aca="false">IF(F707="", "", F707*D707)</f>
        <v/>
      </c>
      <c r="H707" s="132" t="b">
        <f aca="false">FALSE()</f>
        <v>0</v>
      </c>
      <c r="I707" s="132" t="b">
        <f aca="false">FALSE()</f>
        <v>0</v>
      </c>
      <c r="J707" s="126"/>
      <c r="K707" s="99"/>
      <c r="L707" s="83"/>
      <c r="M707" s="103"/>
      <c r="N707" s="103"/>
      <c r="O707" s="103"/>
      <c r="P707" s="103"/>
      <c r="Q707" s="103"/>
      <c r="R707" s="83"/>
      <c r="S707" s="103"/>
      <c r="T707" s="103"/>
      <c r="U707" s="103"/>
    </row>
    <row r="708" customFormat="false" ht="22.5" hidden="false" customHeight="true" outlineLevel="0" collapsed="false">
      <c r="A708" s="110"/>
      <c r="B708" s="110"/>
      <c r="C708" s="110"/>
      <c r="D708" s="122"/>
      <c r="E708" s="110"/>
      <c r="F708" s="128" t="str">
        <f aca="false">IF(E708="CONTADO", 4%, IF(E708="TARJETA / CHEQUE", 3%, IF(OR(E708="FINANCIADO", E708="MCP"), 2.5%, "")))</f>
        <v/>
      </c>
      <c r="G708" s="122" t="str">
        <f aca="false">IF(F708="", "", F708*D708)</f>
        <v/>
      </c>
      <c r="H708" s="131" t="b">
        <f aca="false">FALSE()</f>
        <v>0</v>
      </c>
      <c r="I708" s="131" t="b">
        <f aca="false">FALSE()</f>
        <v>0</v>
      </c>
      <c r="J708" s="130"/>
      <c r="K708" s="110"/>
      <c r="L708" s="83"/>
      <c r="M708" s="103"/>
      <c r="N708" s="103"/>
      <c r="O708" s="103"/>
      <c r="P708" s="103"/>
      <c r="Q708" s="103"/>
      <c r="R708" s="83"/>
      <c r="S708" s="103"/>
      <c r="T708" s="103"/>
      <c r="U708" s="103"/>
    </row>
    <row r="709" customFormat="false" ht="22.5" hidden="false" customHeight="true" outlineLevel="0" collapsed="false">
      <c r="A709" s="99"/>
      <c r="B709" s="99"/>
      <c r="C709" s="99"/>
      <c r="D709" s="121"/>
      <c r="E709" s="99"/>
      <c r="F709" s="124" t="str">
        <f aca="false">IF(E709="CONTADO", 4%, IF(E709="TARJETA / CHEQUE", 3%, IF(OR(E709="FINANCIADO", E709="MCP"), 2.5%, "")))</f>
        <v/>
      </c>
      <c r="G709" s="121" t="str">
        <f aca="false">IF(F709="", "", F709*D709)</f>
        <v/>
      </c>
      <c r="H709" s="132" t="b">
        <f aca="false">FALSE()</f>
        <v>0</v>
      </c>
      <c r="I709" s="132" t="b">
        <f aca="false">FALSE()</f>
        <v>0</v>
      </c>
      <c r="J709" s="126"/>
      <c r="K709" s="99"/>
      <c r="L709" s="83"/>
      <c r="M709" s="103"/>
      <c r="N709" s="103"/>
      <c r="O709" s="103"/>
      <c r="P709" s="103"/>
      <c r="Q709" s="103"/>
      <c r="R709" s="83"/>
      <c r="S709" s="103"/>
      <c r="T709" s="103"/>
      <c r="U709" s="103"/>
    </row>
    <row r="710" customFormat="false" ht="22.5" hidden="false" customHeight="true" outlineLevel="0" collapsed="false">
      <c r="A710" s="110"/>
      <c r="B710" s="110"/>
      <c r="C710" s="110"/>
      <c r="D710" s="122"/>
      <c r="E710" s="110"/>
      <c r="F710" s="128" t="str">
        <f aca="false">IF(E710="CONTADO", 4%, IF(E710="TARJETA / CHEQUE", 3%, IF(OR(E710="FINANCIADO", E710="MCP"), 2.5%, "")))</f>
        <v/>
      </c>
      <c r="G710" s="122" t="str">
        <f aca="false">IF(F710="", "", F710*D710)</f>
        <v/>
      </c>
      <c r="H710" s="131" t="b">
        <f aca="false">FALSE()</f>
        <v>0</v>
      </c>
      <c r="I710" s="131" t="b">
        <f aca="false">FALSE()</f>
        <v>0</v>
      </c>
      <c r="J710" s="130"/>
      <c r="K710" s="110"/>
      <c r="L710" s="83"/>
      <c r="M710" s="103"/>
      <c r="N710" s="103"/>
      <c r="O710" s="103"/>
      <c r="P710" s="103"/>
      <c r="Q710" s="103"/>
      <c r="R710" s="83"/>
      <c r="S710" s="103"/>
      <c r="T710" s="103"/>
      <c r="U710" s="103"/>
    </row>
    <row r="711" customFormat="false" ht="22.5" hidden="false" customHeight="true" outlineLevel="0" collapsed="false">
      <c r="A711" s="99"/>
      <c r="B711" s="99"/>
      <c r="C711" s="99"/>
      <c r="D711" s="121"/>
      <c r="E711" s="99"/>
      <c r="F711" s="124" t="str">
        <f aca="false">IF(E711="CONTADO", 4%, IF(E711="TARJETA / CHEQUE", 3%, IF(OR(E711="FINANCIADO", E711="MCP"), 2.5%, "")))</f>
        <v/>
      </c>
      <c r="G711" s="121" t="str">
        <f aca="false">IF(F711="", "", F711*D711)</f>
        <v/>
      </c>
      <c r="H711" s="132" t="b">
        <f aca="false">FALSE()</f>
        <v>0</v>
      </c>
      <c r="I711" s="132" t="b">
        <f aca="false">FALSE()</f>
        <v>0</v>
      </c>
      <c r="J711" s="126"/>
      <c r="K711" s="99"/>
      <c r="L711" s="83"/>
      <c r="M711" s="103"/>
      <c r="N711" s="103"/>
      <c r="O711" s="103"/>
      <c r="P711" s="103"/>
      <c r="Q711" s="103"/>
      <c r="R711" s="83"/>
      <c r="S711" s="103"/>
      <c r="T711" s="103"/>
      <c r="U711" s="103"/>
    </row>
    <row r="712" customFormat="false" ht="22.5" hidden="false" customHeight="true" outlineLevel="0" collapsed="false">
      <c r="A712" s="110"/>
      <c r="B712" s="110"/>
      <c r="C712" s="110"/>
      <c r="D712" s="122"/>
      <c r="E712" s="110"/>
      <c r="F712" s="128" t="str">
        <f aca="false">IF(E712="CONTADO", 4%, IF(E712="TARJETA / CHEQUE", 3%, IF(OR(E712="FINANCIADO", E712="MCP"), 2.5%, "")))</f>
        <v/>
      </c>
      <c r="G712" s="122" t="str">
        <f aca="false">IF(F712="", "", F712*D712)</f>
        <v/>
      </c>
      <c r="H712" s="131" t="b">
        <f aca="false">FALSE()</f>
        <v>0</v>
      </c>
      <c r="I712" s="131" t="b">
        <f aca="false">FALSE()</f>
        <v>0</v>
      </c>
      <c r="J712" s="130"/>
      <c r="K712" s="110"/>
      <c r="L712" s="83"/>
      <c r="M712" s="103"/>
      <c r="N712" s="103"/>
      <c r="O712" s="103"/>
      <c r="P712" s="103"/>
      <c r="Q712" s="103"/>
      <c r="R712" s="83"/>
      <c r="S712" s="103"/>
      <c r="T712" s="103"/>
      <c r="U712" s="103"/>
    </row>
    <row r="713" customFormat="false" ht="22.5" hidden="false" customHeight="true" outlineLevel="0" collapsed="false">
      <c r="A713" s="99"/>
      <c r="B713" s="99"/>
      <c r="C713" s="99"/>
      <c r="D713" s="121"/>
      <c r="E713" s="99"/>
      <c r="F713" s="124" t="str">
        <f aca="false">IF(E713="CONTADO", 4%, IF(E713="TARJETA / CHEQUE", 3%, IF(OR(E713="FINANCIADO", E713="MCP"), 2.5%, "")))</f>
        <v/>
      </c>
      <c r="G713" s="121" t="str">
        <f aca="false">IF(F713="", "", F713*D713)</f>
        <v/>
      </c>
      <c r="H713" s="132" t="b">
        <f aca="false">FALSE()</f>
        <v>0</v>
      </c>
      <c r="I713" s="132" t="b">
        <f aca="false">FALSE()</f>
        <v>0</v>
      </c>
      <c r="J713" s="126"/>
      <c r="K713" s="99"/>
      <c r="L713" s="83"/>
      <c r="M713" s="103"/>
      <c r="N713" s="103"/>
      <c r="O713" s="103"/>
      <c r="P713" s="103"/>
      <c r="Q713" s="103"/>
      <c r="R713" s="83"/>
      <c r="S713" s="103"/>
      <c r="T713" s="103"/>
      <c r="U713" s="103"/>
    </row>
    <row r="714" customFormat="false" ht="22.5" hidden="false" customHeight="true" outlineLevel="0" collapsed="false">
      <c r="A714" s="110"/>
      <c r="B714" s="110"/>
      <c r="C714" s="110"/>
      <c r="D714" s="122"/>
      <c r="E714" s="110"/>
      <c r="F714" s="128" t="str">
        <f aca="false">IF(E714="CONTADO", 4%, IF(E714="TARJETA / CHEQUE", 3%, IF(OR(E714="FINANCIADO", E714="MCP"), 2.5%, "")))</f>
        <v/>
      </c>
      <c r="G714" s="122" t="str">
        <f aca="false">IF(F714="", "", F714*D714)</f>
        <v/>
      </c>
      <c r="H714" s="131" t="b">
        <f aca="false">FALSE()</f>
        <v>0</v>
      </c>
      <c r="I714" s="131" t="b">
        <f aca="false">FALSE()</f>
        <v>0</v>
      </c>
      <c r="J714" s="130"/>
      <c r="K714" s="110"/>
      <c r="L714" s="83"/>
      <c r="M714" s="103"/>
      <c r="N714" s="103"/>
      <c r="O714" s="103"/>
      <c r="P714" s="103"/>
      <c r="Q714" s="103"/>
      <c r="R714" s="83"/>
      <c r="S714" s="103"/>
      <c r="T714" s="103"/>
      <c r="U714" s="103"/>
    </row>
    <row r="715" customFormat="false" ht="22.5" hidden="false" customHeight="true" outlineLevel="0" collapsed="false">
      <c r="A715" s="99"/>
      <c r="B715" s="99"/>
      <c r="C715" s="99"/>
      <c r="D715" s="121"/>
      <c r="E715" s="99"/>
      <c r="F715" s="124" t="str">
        <f aca="false">IF(E715="CONTADO", 4%, IF(E715="TARJETA / CHEQUE", 3%, IF(OR(E715="FINANCIADO", E715="MCP"), 2.5%, "")))</f>
        <v/>
      </c>
      <c r="G715" s="121" t="str">
        <f aca="false">IF(F715="", "", F715*D715)</f>
        <v/>
      </c>
      <c r="H715" s="132" t="b">
        <f aca="false">FALSE()</f>
        <v>0</v>
      </c>
      <c r="I715" s="132" t="b">
        <f aca="false">FALSE()</f>
        <v>0</v>
      </c>
      <c r="J715" s="126"/>
      <c r="K715" s="99"/>
      <c r="L715" s="83"/>
      <c r="M715" s="103"/>
      <c r="N715" s="103"/>
      <c r="O715" s="103"/>
      <c r="P715" s="103"/>
      <c r="Q715" s="103"/>
      <c r="R715" s="83"/>
      <c r="S715" s="103"/>
      <c r="T715" s="103"/>
      <c r="U715" s="103"/>
    </row>
    <row r="716" customFormat="false" ht="22.5" hidden="false" customHeight="true" outlineLevel="0" collapsed="false">
      <c r="A716" s="110"/>
      <c r="B716" s="110"/>
      <c r="C716" s="110"/>
      <c r="D716" s="122"/>
      <c r="E716" s="110"/>
      <c r="F716" s="128" t="str">
        <f aca="false">IF(E716="CONTADO", 4%, IF(E716="TARJETA / CHEQUE", 3%, IF(OR(E716="FINANCIADO", E716="MCP"), 2.5%, "")))</f>
        <v/>
      </c>
      <c r="G716" s="122" t="str">
        <f aca="false">IF(F716="", "", F716*D716)</f>
        <v/>
      </c>
      <c r="H716" s="131" t="b">
        <f aca="false">FALSE()</f>
        <v>0</v>
      </c>
      <c r="I716" s="131" t="b">
        <f aca="false">FALSE()</f>
        <v>0</v>
      </c>
      <c r="J716" s="130"/>
      <c r="K716" s="110"/>
      <c r="L716" s="83"/>
      <c r="M716" s="103"/>
      <c r="N716" s="103"/>
      <c r="O716" s="103"/>
      <c r="P716" s="103"/>
      <c r="Q716" s="103"/>
      <c r="R716" s="83"/>
      <c r="S716" s="103"/>
      <c r="T716" s="103"/>
      <c r="U716" s="103"/>
    </row>
    <row r="717" customFormat="false" ht="22.5" hidden="false" customHeight="true" outlineLevel="0" collapsed="false">
      <c r="A717" s="99"/>
      <c r="B717" s="99"/>
      <c r="C717" s="99"/>
      <c r="D717" s="121"/>
      <c r="E717" s="99"/>
      <c r="F717" s="124" t="str">
        <f aca="false">IF(E717="CONTADO", 4%, IF(E717="TARJETA / CHEQUE", 3%, IF(OR(E717="FINANCIADO", E717="MCP"), 2.5%, "")))</f>
        <v/>
      </c>
      <c r="G717" s="121" t="str">
        <f aca="false">IF(F717="", "", F717*D717)</f>
        <v/>
      </c>
      <c r="H717" s="132" t="b">
        <f aca="false">FALSE()</f>
        <v>0</v>
      </c>
      <c r="I717" s="132" t="b">
        <f aca="false">FALSE()</f>
        <v>0</v>
      </c>
      <c r="J717" s="126"/>
      <c r="K717" s="99"/>
      <c r="L717" s="83"/>
      <c r="M717" s="103"/>
      <c r="N717" s="103"/>
      <c r="O717" s="103"/>
      <c r="P717" s="103"/>
      <c r="Q717" s="103"/>
      <c r="R717" s="83"/>
      <c r="S717" s="103"/>
      <c r="T717" s="103"/>
      <c r="U717" s="103"/>
    </row>
    <row r="718" customFormat="false" ht="22.5" hidden="false" customHeight="true" outlineLevel="0" collapsed="false">
      <c r="A718" s="110"/>
      <c r="B718" s="110"/>
      <c r="C718" s="110"/>
      <c r="D718" s="122"/>
      <c r="E718" s="110"/>
      <c r="F718" s="128" t="str">
        <f aca="false">IF(E718="CONTADO", 4%, IF(E718="TARJETA / CHEQUE", 3%, IF(OR(E718="FINANCIADO", E718="MCP"), 2.5%, "")))</f>
        <v/>
      </c>
      <c r="G718" s="122" t="str">
        <f aca="false">IF(F718="", "", F718*D718)</f>
        <v/>
      </c>
      <c r="H718" s="131" t="b">
        <f aca="false">FALSE()</f>
        <v>0</v>
      </c>
      <c r="I718" s="131" t="b">
        <f aca="false">FALSE()</f>
        <v>0</v>
      </c>
      <c r="J718" s="130"/>
      <c r="K718" s="110"/>
      <c r="L718" s="83"/>
      <c r="M718" s="103"/>
      <c r="N718" s="103"/>
      <c r="O718" s="103"/>
      <c r="P718" s="103"/>
      <c r="Q718" s="103"/>
      <c r="R718" s="83"/>
      <c r="S718" s="103"/>
      <c r="T718" s="103"/>
      <c r="U718" s="103"/>
    </row>
    <row r="719" customFormat="false" ht="22.5" hidden="false" customHeight="true" outlineLevel="0" collapsed="false">
      <c r="A719" s="99"/>
      <c r="B719" s="99"/>
      <c r="C719" s="99"/>
      <c r="D719" s="121"/>
      <c r="E719" s="99"/>
      <c r="F719" s="124" t="str">
        <f aca="false">IF(E719="CONTADO", 4%, IF(E719="TARJETA / CHEQUE", 3%, IF(OR(E719="FINANCIADO", E719="MCP"), 2.5%, "")))</f>
        <v/>
      </c>
      <c r="G719" s="121" t="str">
        <f aca="false">IF(F719="", "", F719*D719)</f>
        <v/>
      </c>
      <c r="H719" s="132" t="b">
        <f aca="false">FALSE()</f>
        <v>0</v>
      </c>
      <c r="I719" s="132" t="b">
        <f aca="false">FALSE()</f>
        <v>0</v>
      </c>
      <c r="J719" s="126"/>
      <c r="K719" s="99"/>
      <c r="L719" s="83"/>
      <c r="M719" s="103"/>
      <c r="N719" s="103"/>
      <c r="O719" s="103"/>
      <c r="P719" s="103"/>
      <c r="Q719" s="103"/>
      <c r="R719" s="83"/>
      <c r="S719" s="103"/>
      <c r="T719" s="103"/>
      <c r="U719" s="103"/>
    </row>
    <row r="720" customFormat="false" ht="22.5" hidden="false" customHeight="true" outlineLevel="0" collapsed="false">
      <c r="A720" s="110"/>
      <c r="B720" s="110"/>
      <c r="C720" s="110"/>
      <c r="D720" s="122"/>
      <c r="E720" s="110"/>
      <c r="F720" s="128" t="str">
        <f aca="false">IF(E720="CONTADO", 4%, IF(E720="TARJETA / CHEQUE", 3%, IF(OR(E720="FINANCIADO", E720="MCP"), 2.5%, "")))</f>
        <v/>
      </c>
      <c r="G720" s="122" t="str">
        <f aca="false">IF(F720="", "", F720*D720)</f>
        <v/>
      </c>
      <c r="H720" s="131" t="b">
        <f aca="false">FALSE()</f>
        <v>0</v>
      </c>
      <c r="I720" s="131" t="b">
        <f aca="false">FALSE()</f>
        <v>0</v>
      </c>
      <c r="J720" s="130"/>
      <c r="K720" s="110"/>
      <c r="L720" s="83"/>
      <c r="M720" s="103"/>
      <c r="N720" s="103"/>
      <c r="O720" s="103"/>
      <c r="P720" s="103"/>
      <c r="Q720" s="103"/>
      <c r="R720" s="83"/>
      <c r="S720" s="103"/>
      <c r="T720" s="103"/>
      <c r="U720" s="103"/>
    </row>
    <row r="721" customFormat="false" ht="22.5" hidden="false" customHeight="true" outlineLevel="0" collapsed="false">
      <c r="A721" s="99"/>
      <c r="B721" s="99"/>
      <c r="C721" s="99"/>
      <c r="D721" s="121"/>
      <c r="E721" s="99"/>
      <c r="F721" s="124" t="str">
        <f aca="false">IF(E721="CONTADO", 4%, IF(E721="TARJETA / CHEQUE", 3%, IF(OR(E721="FINANCIADO", E721="MCP"), 2.5%, "")))</f>
        <v/>
      </c>
      <c r="G721" s="121" t="str">
        <f aca="false">IF(F721="", "", F721*D721)</f>
        <v/>
      </c>
      <c r="H721" s="132" t="b">
        <f aca="false">FALSE()</f>
        <v>0</v>
      </c>
      <c r="I721" s="132" t="b">
        <f aca="false">FALSE()</f>
        <v>0</v>
      </c>
      <c r="J721" s="126"/>
      <c r="K721" s="99"/>
      <c r="L721" s="83"/>
      <c r="M721" s="103"/>
      <c r="N721" s="103"/>
      <c r="O721" s="103"/>
      <c r="P721" s="103"/>
      <c r="Q721" s="103"/>
      <c r="R721" s="83"/>
      <c r="S721" s="103"/>
      <c r="T721" s="103"/>
      <c r="U721" s="103"/>
    </row>
    <row r="722" customFormat="false" ht="22.5" hidden="false" customHeight="true" outlineLevel="0" collapsed="false">
      <c r="A722" s="110"/>
      <c r="B722" s="110"/>
      <c r="C722" s="110"/>
      <c r="D722" s="122"/>
      <c r="E722" s="110"/>
      <c r="F722" s="128" t="str">
        <f aca="false">IF(E722="CONTADO", 4%, IF(E722="TARJETA / CHEQUE", 3%, IF(OR(E722="FINANCIADO", E722="MCP"), 2.5%, "")))</f>
        <v/>
      </c>
      <c r="G722" s="122" t="str">
        <f aca="false">IF(F722="", "", F722*D722)</f>
        <v/>
      </c>
      <c r="H722" s="131" t="b">
        <f aca="false">FALSE()</f>
        <v>0</v>
      </c>
      <c r="I722" s="131" t="b">
        <f aca="false">FALSE()</f>
        <v>0</v>
      </c>
      <c r="J722" s="130"/>
      <c r="K722" s="110"/>
      <c r="L722" s="83"/>
      <c r="M722" s="103"/>
      <c r="N722" s="103"/>
      <c r="O722" s="103"/>
      <c r="P722" s="103"/>
      <c r="Q722" s="103"/>
      <c r="R722" s="83"/>
      <c r="S722" s="103"/>
      <c r="T722" s="103"/>
      <c r="U722" s="103"/>
    </row>
    <row r="723" customFormat="false" ht="22.5" hidden="false" customHeight="true" outlineLevel="0" collapsed="false">
      <c r="A723" s="99"/>
      <c r="B723" s="99"/>
      <c r="C723" s="99"/>
      <c r="D723" s="121"/>
      <c r="E723" s="99"/>
      <c r="F723" s="124" t="str">
        <f aca="false">IF(E723="CONTADO", 4%, IF(E723="TARJETA / CHEQUE", 3%, IF(OR(E723="FINANCIADO", E723="MCP"), 2.5%, "")))</f>
        <v/>
      </c>
      <c r="G723" s="121" t="str">
        <f aca="false">IF(F723="", "", F723*D723)</f>
        <v/>
      </c>
      <c r="H723" s="132" t="b">
        <f aca="false">FALSE()</f>
        <v>0</v>
      </c>
      <c r="I723" s="132" t="b">
        <f aca="false">FALSE()</f>
        <v>0</v>
      </c>
      <c r="J723" s="126"/>
      <c r="K723" s="99"/>
      <c r="L723" s="83"/>
      <c r="M723" s="103"/>
      <c r="N723" s="103"/>
      <c r="O723" s="103"/>
      <c r="P723" s="103"/>
      <c r="Q723" s="103"/>
      <c r="R723" s="83"/>
      <c r="S723" s="103"/>
      <c r="T723" s="103"/>
      <c r="U723" s="103"/>
    </row>
    <row r="724" customFormat="false" ht="22.5" hidden="false" customHeight="true" outlineLevel="0" collapsed="false">
      <c r="A724" s="110"/>
      <c r="B724" s="110"/>
      <c r="C724" s="110"/>
      <c r="D724" s="122"/>
      <c r="E724" s="110"/>
      <c r="F724" s="128" t="str">
        <f aca="false">IF(E724="CONTADO", 4%, IF(E724="TARJETA / CHEQUE", 3%, IF(OR(E724="FINANCIADO", E724="MCP"), 2.5%, "")))</f>
        <v/>
      </c>
      <c r="G724" s="122" t="str">
        <f aca="false">IF(F724="", "", F724*D724)</f>
        <v/>
      </c>
      <c r="H724" s="131" t="b">
        <f aca="false">FALSE()</f>
        <v>0</v>
      </c>
      <c r="I724" s="131" t="b">
        <f aca="false">FALSE()</f>
        <v>0</v>
      </c>
      <c r="J724" s="130"/>
      <c r="K724" s="110"/>
      <c r="L724" s="83"/>
      <c r="M724" s="103"/>
      <c r="N724" s="103"/>
      <c r="O724" s="103"/>
      <c r="P724" s="103"/>
      <c r="Q724" s="103"/>
      <c r="R724" s="83"/>
      <c r="S724" s="103"/>
      <c r="T724" s="103"/>
      <c r="U724" s="103"/>
    </row>
    <row r="725" customFormat="false" ht="22.5" hidden="false" customHeight="true" outlineLevel="0" collapsed="false">
      <c r="A725" s="99"/>
      <c r="B725" s="99"/>
      <c r="C725" s="99"/>
      <c r="D725" s="121"/>
      <c r="E725" s="99"/>
      <c r="F725" s="124" t="str">
        <f aca="false">IF(E725="CONTADO", 4%, IF(E725="TARJETA / CHEQUE", 3%, IF(OR(E725="FINANCIADO", E725="MCP"), 2.5%, "")))</f>
        <v/>
      </c>
      <c r="G725" s="121" t="str">
        <f aca="false">IF(F725="", "", F725*D725)</f>
        <v/>
      </c>
      <c r="H725" s="132" t="b">
        <f aca="false">FALSE()</f>
        <v>0</v>
      </c>
      <c r="I725" s="132" t="b">
        <f aca="false">FALSE()</f>
        <v>0</v>
      </c>
      <c r="J725" s="126"/>
      <c r="K725" s="99"/>
      <c r="L725" s="83"/>
      <c r="M725" s="103"/>
      <c r="N725" s="103"/>
      <c r="O725" s="103"/>
      <c r="P725" s="103"/>
      <c r="Q725" s="103"/>
      <c r="R725" s="83"/>
      <c r="S725" s="103"/>
      <c r="T725" s="103"/>
      <c r="U725" s="103"/>
    </row>
    <row r="726" customFormat="false" ht="22.5" hidden="false" customHeight="true" outlineLevel="0" collapsed="false">
      <c r="A726" s="110"/>
      <c r="B726" s="110"/>
      <c r="C726" s="110"/>
      <c r="D726" s="122"/>
      <c r="E726" s="110"/>
      <c r="F726" s="128" t="str">
        <f aca="false">IF(E726="CONTADO", 4%, IF(E726="TARJETA / CHEQUE", 3%, IF(OR(E726="FINANCIADO", E726="MCP"), 2.5%, "")))</f>
        <v/>
      </c>
      <c r="G726" s="122" t="str">
        <f aca="false">IF(F726="", "", F726*D726)</f>
        <v/>
      </c>
      <c r="H726" s="131" t="b">
        <f aca="false">FALSE()</f>
        <v>0</v>
      </c>
      <c r="I726" s="131" t="b">
        <f aca="false">FALSE()</f>
        <v>0</v>
      </c>
      <c r="J726" s="130"/>
      <c r="K726" s="110"/>
      <c r="L726" s="83"/>
      <c r="M726" s="103"/>
      <c r="N726" s="103"/>
      <c r="O726" s="103"/>
      <c r="P726" s="103"/>
      <c r="Q726" s="103"/>
      <c r="R726" s="83"/>
      <c r="S726" s="103"/>
      <c r="T726" s="103"/>
      <c r="U726" s="103"/>
    </row>
    <row r="727" customFormat="false" ht="22.5" hidden="false" customHeight="true" outlineLevel="0" collapsed="false">
      <c r="A727" s="99"/>
      <c r="B727" s="99"/>
      <c r="C727" s="99"/>
      <c r="D727" s="121"/>
      <c r="E727" s="99"/>
      <c r="F727" s="124" t="str">
        <f aca="false">IF(E727="CONTADO", 4%, IF(E727="TARJETA / CHEQUE", 3%, IF(OR(E727="FINANCIADO", E727="MCP"), 2.5%, "")))</f>
        <v/>
      </c>
      <c r="G727" s="121" t="str">
        <f aca="false">IF(F727="", "", F727*D727)</f>
        <v/>
      </c>
      <c r="H727" s="132" t="b">
        <f aca="false">FALSE()</f>
        <v>0</v>
      </c>
      <c r="I727" s="132" t="b">
        <f aca="false">FALSE()</f>
        <v>0</v>
      </c>
      <c r="J727" s="126"/>
      <c r="K727" s="99"/>
      <c r="L727" s="83"/>
      <c r="M727" s="103"/>
      <c r="N727" s="103"/>
      <c r="O727" s="103"/>
      <c r="P727" s="103"/>
      <c r="Q727" s="103"/>
      <c r="R727" s="83"/>
      <c r="S727" s="103"/>
      <c r="T727" s="103"/>
      <c r="U727" s="103"/>
    </row>
    <row r="728" customFormat="false" ht="22.5" hidden="false" customHeight="true" outlineLevel="0" collapsed="false">
      <c r="A728" s="110"/>
      <c r="B728" s="110"/>
      <c r="C728" s="110"/>
      <c r="D728" s="122"/>
      <c r="E728" s="110"/>
      <c r="F728" s="128" t="str">
        <f aca="false">IF(E728="CONTADO", 4%, IF(E728="TARJETA / CHEQUE", 3%, IF(OR(E728="FINANCIADO", E728="MCP"), 2.5%, "")))</f>
        <v/>
      </c>
      <c r="G728" s="122" t="str">
        <f aca="false">IF(F728="", "", F728*D728)</f>
        <v/>
      </c>
      <c r="H728" s="131" t="b">
        <f aca="false">FALSE()</f>
        <v>0</v>
      </c>
      <c r="I728" s="131" t="b">
        <f aca="false">FALSE()</f>
        <v>0</v>
      </c>
      <c r="J728" s="130"/>
      <c r="K728" s="110"/>
      <c r="L728" s="83"/>
      <c r="M728" s="103"/>
      <c r="N728" s="103"/>
      <c r="O728" s="103"/>
      <c r="P728" s="103"/>
      <c r="Q728" s="103"/>
      <c r="R728" s="83"/>
      <c r="S728" s="103"/>
      <c r="T728" s="103"/>
      <c r="U728" s="103"/>
    </row>
    <row r="729" customFormat="false" ht="22.5" hidden="false" customHeight="true" outlineLevel="0" collapsed="false">
      <c r="A729" s="99"/>
      <c r="B729" s="99"/>
      <c r="C729" s="99"/>
      <c r="D729" s="121"/>
      <c r="E729" s="99"/>
      <c r="F729" s="124" t="str">
        <f aca="false">IF(E729="CONTADO", 4%, IF(E729="TARJETA / CHEQUE", 3%, IF(OR(E729="FINANCIADO", E729="MCP"), 2.5%, "")))</f>
        <v/>
      </c>
      <c r="G729" s="121" t="str">
        <f aca="false">IF(F729="", "", F729*D729)</f>
        <v/>
      </c>
      <c r="H729" s="132" t="b">
        <f aca="false">FALSE()</f>
        <v>0</v>
      </c>
      <c r="I729" s="132" t="b">
        <f aca="false">FALSE()</f>
        <v>0</v>
      </c>
      <c r="J729" s="126"/>
      <c r="K729" s="99"/>
      <c r="L729" s="83"/>
      <c r="M729" s="103"/>
      <c r="N729" s="103"/>
      <c r="O729" s="103"/>
      <c r="P729" s="103"/>
      <c r="Q729" s="103"/>
      <c r="R729" s="83"/>
      <c r="S729" s="103"/>
      <c r="T729" s="103"/>
      <c r="U729" s="103"/>
    </row>
    <row r="730" customFormat="false" ht="22.5" hidden="false" customHeight="true" outlineLevel="0" collapsed="false">
      <c r="A730" s="110"/>
      <c r="B730" s="110"/>
      <c r="C730" s="110"/>
      <c r="D730" s="122"/>
      <c r="E730" s="110"/>
      <c r="F730" s="128" t="str">
        <f aca="false">IF(E730="CONTADO", 4%, IF(E730="TARJETA / CHEQUE", 3%, IF(OR(E730="FINANCIADO", E730="MCP"), 2.5%, "")))</f>
        <v/>
      </c>
      <c r="G730" s="122" t="str">
        <f aca="false">IF(F730="", "", F730*D730)</f>
        <v/>
      </c>
      <c r="H730" s="131" t="b">
        <f aca="false">FALSE()</f>
        <v>0</v>
      </c>
      <c r="I730" s="131" t="b">
        <f aca="false">FALSE()</f>
        <v>0</v>
      </c>
      <c r="J730" s="130"/>
      <c r="K730" s="110"/>
      <c r="L730" s="83"/>
      <c r="M730" s="103"/>
      <c r="N730" s="103"/>
      <c r="O730" s="103"/>
      <c r="P730" s="103"/>
      <c r="Q730" s="103"/>
      <c r="R730" s="83"/>
      <c r="S730" s="103"/>
      <c r="T730" s="103"/>
      <c r="U730" s="103"/>
    </row>
    <row r="731" customFormat="false" ht="22.5" hidden="false" customHeight="true" outlineLevel="0" collapsed="false">
      <c r="A731" s="99"/>
      <c r="B731" s="99"/>
      <c r="C731" s="99"/>
      <c r="D731" s="121"/>
      <c r="E731" s="99"/>
      <c r="F731" s="124" t="str">
        <f aca="false">IF(E731="CONTADO", 4%, IF(E731="TARJETA / CHEQUE", 3%, IF(OR(E731="FINANCIADO", E731="MCP"), 2.5%, "")))</f>
        <v/>
      </c>
      <c r="G731" s="121" t="str">
        <f aca="false">IF(F731="", "", F731*D731)</f>
        <v/>
      </c>
      <c r="H731" s="132" t="b">
        <f aca="false">FALSE()</f>
        <v>0</v>
      </c>
      <c r="I731" s="132" t="b">
        <f aca="false">FALSE()</f>
        <v>0</v>
      </c>
      <c r="J731" s="126"/>
      <c r="K731" s="99"/>
      <c r="L731" s="83"/>
      <c r="M731" s="103"/>
      <c r="N731" s="103"/>
      <c r="O731" s="103"/>
      <c r="P731" s="103"/>
      <c r="Q731" s="103"/>
      <c r="R731" s="83"/>
      <c r="S731" s="103"/>
      <c r="T731" s="103"/>
      <c r="U731" s="103"/>
    </row>
    <row r="732" customFormat="false" ht="22.5" hidden="false" customHeight="true" outlineLevel="0" collapsed="false">
      <c r="A732" s="110"/>
      <c r="B732" s="110"/>
      <c r="C732" s="110"/>
      <c r="D732" s="122"/>
      <c r="E732" s="110"/>
      <c r="F732" s="128" t="str">
        <f aca="false">IF(E732="CONTADO", 4%, IF(E732="TARJETA / CHEQUE", 3%, IF(OR(E732="FINANCIADO", E732="MCP"), 2.5%, "")))</f>
        <v/>
      </c>
      <c r="G732" s="122" t="str">
        <f aca="false">IF(F732="", "", F732*D732)</f>
        <v/>
      </c>
      <c r="H732" s="131" t="b">
        <f aca="false">FALSE()</f>
        <v>0</v>
      </c>
      <c r="I732" s="131" t="b">
        <f aca="false">FALSE()</f>
        <v>0</v>
      </c>
      <c r="J732" s="130"/>
      <c r="K732" s="110"/>
      <c r="L732" s="83"/>
      <c r="M732" s="103"/>
      <c r="N732" s="103"/>
      <c r="O732" s="103"/>
      <c r="P732" s="103"/>
      <c r="Q732" s="103"/>
      <c r="R732" s="83"/>
      <c r="S732" s="103"/>
      <c r="T732" s="103"/>
      <c r="U732" s="103"/>
    </row>
    <row r="733" customFormat="false" ht="22.5" hidden="false" customHeight="true" outlineLevel="0" collapsed="false">
      <c r="A733" s="99"/>
      <c r="B733" s="99"/>
      <c r="C733" s="99"/>
      <c r="D733" s="121"/>
      <c r="E733" s="99"/>
      <c r="F733" s="124" t="str">
        <f aca="false">IF(E733="CONTADO", 4%, IF(E733="TARJETA / CHEQUE", 3%, IF(OR(E733="FINANCIADO", E733="MCP"), 2.5%, "")))</f>
        <v/>
      </c>
      <c r="G733" s="121" t="str">
        <f aca="false">IF(F733="", "", F733*D733)</f>
        <v/>
      </c>
      <c r="H733" s="132" t="b">
        <f aca="false">FALSE()</f>
        <v>0</v>
      </c>
      <c r="I733" s="132" t="b">
        <f aca="false">FALSE()</f>
        <v>0</v>
      </c>
      <c r="J733" s="126"/>
      <c r="K733" s="99"/>
      <c r="L733" s="83"/>
      <c r="M733" s="103"/>
      <c r="N733" s="103"/>
      <c r="O733" s="103"/>
      <c r="P733" s="103"/>
      <c r="Q733" s="103"/>
      <c r="R733" s="83"/>
      <c r="S733" s="103"/>
      <c r="T733" s="103"/>
      <c r="U733" s="103"/>
    </row>
    <row r="734" customFormat="false" ht="22.5" hidden="false" customHeight="true" outlineLevel="0" collapsed="false">
      <c r="A734" s="110"/>
      <c r="B734" s="110"/>
      <c r="C734" s="110"/>
      <c r="D734" s="122"/>
      <c r="E734" s="110"/>
      <c r="F734" s="128" t="str">
        <f aca="false">IF(E734="CONTADO", 4%, IF(E734="TARJETA / CHEQUE", 3%, IF(OR(E734="FINANCIADO", E734="MCP"), 2.5%, "")))</f>
        <v/>
      </c>
      <c r="G734" s="122" t="str">
        <f aca="false">IF(F734="", "", F734*D734)</f>
        <v/>
      </c>
      <c r="H734" s="131" t="b">
        <f aca="false">FALSE()</f>
        <v>0</v>
      </c>
      <c r="I734" s="131" t="b">
        <f aca="false">FALSE()</f>
        <v>0</v>
      </c>
      <c r="J734" s="130"/>
      <c r="K734" s="110"/>
      <c r="L734" s="83"/>
      <c r="M734" s="103"/>
      <c r="N734" s="103"/>
      <c r="O734" s="103"/>
      <c r="P734" s="103"/>
      <c r="Q734" s="103"/>
      <c r="R734" s="83"/>
      <c r="S734" s="103"/>
      <c r="T734" s="103"/>
      <c r="U734" s="103"/>
    </row>
    <row r="735" customFormat="false" ht="22.5" hidden="false" customHeight="true" outlineLevel="0" collapsed="false">
      <c r="A735" s="99"/>
      <c r="B735" s="99"/>
      <c r="C735" s="99"/>
      <c r="D735" s="121"/>
      <c r="E735" s="99"/>
      <c r="F735" s="124" t="str">
        <f aca="false">IF(E735="CONTADO", 4%, IF(E735="TARJETA / CHEQUE", 3%, IF(OR(E735="FINANCIADO", E735="MCP"), 2.5%, "")))</f>
        <v/>
      </c>
      <c r="G735" s="121" t="str">
        <f aca="false">IF(F735="", "", F735*D735)</f>
        <v/>
      </c>
      <c r="H735" s="132" t="b">
        <f aca="false">FALSE()</f>
        <v>0</v>
      </c>
      <c r="I735" s="132" t="b">
        <f aca="false">FALSE()</f>
        <v>0</v>
      </c>
      <c r="J735" s="126"/>
      <c r="K735" s="99"/>
      <c r="L735" s="83"/>
      <c r="M735" s="103"/>
      <c r="N735" s="103"/>
      <c r="O735" s="103"/>
      <c r="P735" s="103"/>
      <c r="Q735" s="103"/>
      <c r="R735" s="83"/>
      <c r="S735" s="103"/>
      <c r="T735" s="103"/>
      <c r="U735" s="103"/>
    </row>
    <row r="736" customFormat="false" ht="22.5" hidden="false" customHeight="true" outlineLevel="0" collapsed="false">
      <c r="A736" s="110"/>
      <c r="B736" s="110"/>
      <c r="C736" s="110"/>
      <c r="D736" s="122"/>
      <c r="E736" s="110"/>
      <c r="F736" s="128" t="str">
        <f aca="false">IF(E736="CONTADO", 4%, IF(E736="TARJETA / CHEQUE", 3%, IF(OR(E736="FINANCIADO", E736="MCP"), 2.5%, "")))</f>
        <v/>
      </c>
      <c r="G736" s="122" t="str">
        <f aca="false">IF(F736="", "", F736*D736)</f>
        <v/>
      </c>
      <c r="H736" s="131" t="b">
        <f aca="false">FALSE()</f>
        <v>0</v>
      </c>
      <c r="I736" s="131" t="b">
        <f aca="false">FALSE()</f>
        <v>0</v>
      </c>
      <c r="J736" s="130"/>
      <c r="K736" s="110"/>
      <c r="L736" s="83"/>
      <c r="M736" s="103"/>
      <c r="N736" s="103"/>
      <c r="O736" s="103"/>
      <c r="P736" s="103"/>
      <c r="Q736" s="103"/>
      <c r="R736" s="83"/>
      <c r="S736" s="103"/>
      <c r="T736" s="103"/>
      <c r="U736" s="103"/>
    </row>
    <row r="737" customFormat="false" ht="22.5" hidden="false" customHeight="true" outlineLevel="0" collapsed="false">
      <c r="A737" s="99"/>
      <c r="B737" s="99"/>
      <c r="C737" s="99"/>
      <c r="D737" s="121"/>
      <c r="E737" s="99"/>
      <c r="F737" s="124" t="str">
        <f aca="false">IF(E737="CONTADO", 4%, IF(E737="TARJETA / CHEQUE", 3%, IF(OR(E737="FINANCIADO", E737="MCP"), 2.5%, "")))</f>
        <v/>
      </c>
      <c r="G737" s="121" t="str">
        <f aca="false">IF(F737="", "", F737*D737)</f>
        <v/>
      </c>
      <c r="H737" s="132" t="b">
        <f aca="false">FALSE()</f>
        <v>0</v>
      </c>
      <c r="I737" s="132" t="b">
        <f aca="false">FALSE()</f>
        <v>0</v>
      </c>
      <c r="J737" s="126"/>
      <c r="K737" s="99"/>
      <c r="L737" s="83"/>
      <c r="M737" s="103"/>
      <c r="N737" s="103"/>
      <c r="O737" s="103"/>
      <c r="P737" s="103"/>
      <c r="Q737" s="103"/>
      <c r="R737" s="83"/>
      <c r="S737" s="103"/>
      <c r="T737" s="103"/>
      <c r="U737" s="103"/>
    </row>
    <row r="738" customFormat="false" ht="22.5" hidden="false" customHeight="true" outlineLevel="0" collapsed="false">
      <c r="A738" s="110"/>
      <c r="B738" s="110"/>
      <c r="C738" s="110"/>
      <c r="D738" s="122"/>
      <c r="E738" s="110"/>
      <c r="F738" s="128" t="str">
        <f aca="false">IF(E738="CONTADO", 4%, IF(E738="TARJETA / CHEQUE", 3%, IF(OR(E738="FINANCIADO", E738="MCP"), 2.5%, "")))</f>
        <v/>
      </c>
      <c r="G738" s="122" t="str">
        <f aca="false">IF(F738="", "", F738*D738)</f>
        <v/>
      </c>
      <c r="H738" s="131" t="b">
        <f aca="false">FALSE()</f>
        <v>0</v>
      </c>
      <c r="I738" s="131" t="b">
        <f aca="false">FALSE()</f>
        <v>0</v>
      </c>
      <c r="J738" s="130"/>
      <c r="K738" s="110"/>
      <c r="L738" s="83"/>
      <c r="M738" s="103"/>
      <c r="N738" s="103"/>
      <c r="O738" s="103"/>
      <c r="P738" s="103"/>
      <c r="Q738" s="103"/>
      <c r="R738" s="83"/>
      <c r="S738" s="103"/>
      <c r="T738" s="103"/>
      <c r="U738" s="103"/>
    </row>
    <row r="739" customFormat="false" ht="22.5" hidden="false" customHeight="true" outlineLevel="0" collapsed="false">
      <c r="A739" s="99"/>
      <c r="B739" s="99"/>
      <c r="C739" s="99"/>
      <c r="D739" s="121"/>
      <c r="E739" s="99"/>
      <c r="F739" s="124" t="str">
        <f aca="false">IF(E739="CONTADO", 4%, IF(E739="TARJETA / CHEQUE", 3%, IF(OR(E739="FINANCIADO", E739="MCP"), 2.5%, "")))</f>
        <v/>
      </c>
      <c r="G739" s="121" t="str">
        <f aca="false">IF(F739="", "", F739*D739)</f>
        <v/>
      </c>
      <c r="H739" s="132" t="b">
        <f aca="false">FALSE()</f>
        <v>0</v>
      </c>
      <c r="I739" s="132" t="b">
        <f aca="false">FALSE()</f>
        <v>0</v>
      </c>
      <c r="J739" s="126"/>
      <c r="K739" s="99"/>
      <c r="L739" s="83"/>
      <c r="M739" s="103"/>
      <c r="N739" s="103"/>
      <c r="O739" s="103"/>
      <c r="P739" s="103"/>
      <c r="Q739" s="103"/>
      <c r="R739" s="83"/>
      <c r="S739" s="103"/>
      <c r="T739" s="103"/>
      <c r="U739" s="103"/>
    </row>
    <row r="740" customFormat="false" ht="22.5" hidden="false" customHeight="true" outlineLevel="0" collapsed="false">
      <c r="A740" s="110"/>
      <c r="B740" s="110"/>
      <c r="C740" s="110"/>
      <c r="D740" s="122"/>
      <c r="E740" s="110"/>
      <c r="F740" s="128" t="str">
        <f aca="false">IF(E740="CONTADO", 4%, IF(E740="TARJETA / CHEQUE", 3%, IF(OR(E740="FINANCIADO", E740="MCP"), 2.5%, "")))</f>
        <v/>
      </c>
      <c r="G740" s="122" t="str">
        <f aca="false">IF(F740="", "", F740*D740)</f>
        <v/>
      </c>
      <c r="H740" s="131" t="b">
        <f aca="false">FALSE()</f>
        <v>0</v>
      </c>
      <c r="I740" s="131" t="b">
        <f aca="false">FALSE()</f>
        <v>0</v>
      </c>
      <c r="J740" s="130"/>
      <c r="K740" s="110"/>
      <c r="L740" s="83"/>
      <c r="M740" s="103"/>
      <c r="N740" s="103"/>
      <c r="O740" s="103"/>
      <c r="P740" s="103"/>
      <c r="Q740" s="103"/>
      <c r="R740" s="83"/>
      <c r="S740" s="103"/>
      <c r="T740" s="103"/>
      <c r="U740" s="103"/>
    </row>
    <row r="741" customFormat="false" ht="22.5" hidden="false" customHeight="true" outlineLevel="0" collapsed="false">
      <c r="A741" s="99"/>
      <c r="B741" s="99"/>
      <c r="C741" s="99"/>
      <c r="D741" s="121"/>
      <c r="E741" s="99"/>
      <c r="F741" s="124" t="str">
        <f aca="false">IF(E741="CONTADO", 4%, IF(E741="TARJETA / CHEQUE", 3%, IF(OR(E741="FINANCIADO", E741="MCP"), 2.5%, "")))</f>
        <v/>
      </c>
      <c r="G741" s="121" t="str">
        <f aca="false">IF(F741="", "", F741*D741)</f>
        <v/>
      </c>
      <c r="H741" s="132" t="b">
        <f aca="false">FALSE()</f>
        <v>0</v>
      </c>
      <c r="I741" s="132" t="b">
        <f aca="false">FALSE()</f>
        <v>0</v>
      </c>
      <c r="J741" s="126"/>
      <c r="K741" s="99"/>
      <c r="L741" s="83"/>
      <c r="M741" s="103"/>
      <c r="N741" s="103"/>
      <c r="O741" s="103"/>
      <c r="P741" s="103"/>
      <c r="Q741" s="103"/>
      <c r="R741" s="83"/>
      <c r="S741" s="103"/>
      <c r="T741" s="103"/>
      <c r="U741" s="103"/>
    </row>
    <row r="742" customFormat="false" ht="22.5" hidden="false" customHeight="true" outlineLevel="0" collapsed="false">
      <c r="A742" s="110"/>
      <c r="B742" s="110"/>
      <c r="C742" s="110"/>
      <c r="D742" s="122"/>
      <c r="E742" s="110"/>
      <c r="F742" s="128" t="str">
        <f aca="false">IF(E742="CONTADO", 4%, IF(E742="TARJETA / CHEQUE", 3%, IF(OR(E742="FINANCIADO", E742="MCP"), 2.5%, "")))</f>
        <v/>
      </c>
      <c r="G742" s="122" t="str">
        <f aca="false">IF(F742="", "", F742*D742)</f>
        <v/>
      </c>
      <c r="H742" s="131" t="b">
        <f aca="false">FALSE()</f>
        <v>0</v>
      </c>
      <c r="I742" s="131" t="b">
        <f aca="false">FALSE()</f>
        <v>0</v>
      </c>
      <c r="J742" s="130"/>
      <c r="K742" s="110"/>
      <c r="L742" s="83"/>
      <c r="M742" s="103"/>
      <c r="N742" s="103"/>
      <c r="O742" s="103"/>
      <c r="P742" s="103"/>
      <c r="Q742" s="103"/>
      <c r="R742" s="83"/>
      <c r="S742" s="103"/>
      <c r="T742" s="103"/>
      <c r="U742" s="103"/>
    </row>
    <row r="743" customFormat="false" ht="22.5" hidden="false" customHeight="true" outlineLevel="0" collapsed="false">
      <c r="A743" s="99"/>
      <c r="B743" s="99"/>
      <c r="C743" s="99"/>
      <c r="D743" s="121"/>
      <c r="E743" s="99"/>
      <c r="F743" s="124" t="str">
        <f aca="false">IF(E743="CONTADO", 4%, IF(E743="TARJETA / CHEQUE", 3%, IF(OR(E743="FINANCIADO", E743="MCP"), 2.5%, "")))</f>
        <v/>
      </c>
      <c r="G743" s="121" t="str">
        <f aca="false">IF(F743="", "", F743*D743)</f>
        <v/>
      </c>
      <c r="H743" s="132" t="b">
        <f aca="false">FALSE()</f>
        <v>0</v>
      </c>
      <c r="I743" s="132" t="b">
        <f aca="false">FALSE()</f>
        <v>0</v>
      </c>
      <c r="J743" s="126"/>
      <c r="K743" s="99"/>
      <c r="L743" s="83"/>
      <c r="M743" s="103"/>
      <c r="N743" s="103"/>
      <c r="O743" s="103"/>
      <c r="P743" s="103"/>
      <c r="Q743" s="103"/>
      <c r="R743" s="83"/>
      <c r="S743" s="103"/>
      <c r="T743" s="103"/>
      <c r="U743" s="103"/>
    </row>
    <row r="744" customFormat="false" ht="22.5" hidden="false" customHeight="true" outlineLevel="0" collapsed="false">
      <c r="A744" s="110"/>
      <c r="B744" s="110"/>
      <c r="C744" s="110"/>
      <c r="D744" s="122"/>
      <c r="E744" s="110"/>
      <c r="F744" s="128" t="str">
        <f aca="false">IF(E744="CONTADO", 4%, IF(E744="TARJETA / CHEQUE", 3%, IF(OR(E744="FINANCIADO", E744="MCP"), 2.5%, "")))</f>
        <v/>
      </c>
      <c r="G744" s="122" t="str">
        <f aca="false">IF(F744="", "", F744*D744)</f>
        <v/>
      </c>
      <c r="H744" s="131" t="b">
        <f aca="false">FALSE()</f>
        <v>0</v>
      </c>
      <c r="I744" s="131" t="b">
        <f aca="false">FALSE()</f>
        <v>0</v>
      </c>
      <c r="J744" s="130"/>
      <c r="K744" s="110"/>
      <c r="L744" s="83"/>
      <c r="M744" s="103"/>
      <c r="N744" s="103"/>
      <c r="O744" s="103"/>
      <c r="P744" s="103"/>
      <c r="Q744" s="103"/>
      <c r="R744" s="83"/>
      <c r="S744" s="103"/>
      <c r="T744" s="103"/>
      <c r="U744" s="103"/>
    </row>
    <row r="745" customFormat="false" ht="22.5" hidden="false" customHeight="true" outlineLevel="0" collapsed="false">
      <c r="A745" s="99"/>
      <c r="B745" s="99"/>
      <c r="C745" s="99"/>
      <c r="D745" s="121"/>
      <c r="E745" s="99"/>
      <c r="F745" s="124" t="str">
        <f aca="false">IF(E745="CONTADO", 4%, IF(E745="TARJETA / CHEQUE", 3%, IF(OR(E745="FINANCIADO", E745="MCP"), 2.5%, "")))</f>
        <v/>
      </c>
      <c r="G745" s="121" t="str">
        <f aca="false">IF(F745="", "", F745*D745)</f>
        <v/>
      </c>
      <c r="H745" s="132" t="b">
        <f aca="false">FALSE()</f>
        <v>0</v>
      </c>
      <c r="I745" s="132" t="b">
        <f aca="false">FALSE()</f>
        <v>0</v>
      </c>
      <c r="J745" s="126"/>
      <c r="K745" s="99"/>
      <c r="L745" s="83"/>
      <c r="M745" s="103"/>
      <c r="N745" s="103"/>
      <c r="O745" s="103"/>
      <c r="P745" s="103"/>
      <c r="Q745" s="103"/>
      <c r="R745" s="83"/>
      <c r="S745" s="103"/>
      <c r="T745" s="103"/>
      <c r="U745" s="103"/>
    </row>
    <row r="746" customFormat="false" ht="22.5" hidden="false" customHeight="true" outlineLevel="0" collapsed="false">
      <c r="A746" s="110"/>
      <c r="B746" s="110"/>
      <c r="C746" s="110"/>
      <c r="D746" s="122"/>
      <c r="E746" s="110"/>
      <c r="F746" s="128" t="str">
        <f aca="false">IF(E746="CONTADO", 4%, IF(E746="TARJETA / CHEQUE", 3%, IF(OR(E746="FINANCIADO", E746="MCP"), 2.5%, "")))</f>
        <v/>
      </c>
      <c r="G746" s="122" t="str">
        <f aca="false">IF(F746="", "", F746*D746)</f>
        <v/>
      </c>
      <c r="H746" s="131" t="b">
        <f aca="false">FALSE()</f>
        <v>0</v>
      </c>
      <c r="I746" s="131" t="b">
        <f aca="false">FALSE()</f>
        <v>0</v>
      </c>
      <c r="J746" s="130"/>
      <c r="K746" s="110"/>
      <c r="L746" s="83"/>
      <c r="M746" s="103"/>
      <c r="N746" s="103"/>
      <c r="O746" s="103"/>
      <c r="P746" s="103"/>
      <c r="Q746" s="103"/>
      <c r="R746" s="83"/>
      <c r="S746" s="103"/>
      <c r="T746" s="103"/>
      <c r="U746" s="103"/>
    </row>
    <row r="747" customFormat="false" ht="22.5" hidden="false" customHeight="true" outlineLevel="0" collapsed="false">
      <c r="A747" s="99"/>
      <c r="B747" s="99"/>
      <c r="C747" s="99"/>
      <c r="D747" s="121"/>
      <c r="E747" s="99"/>
      <c r="F747" s="124" t="str">
        <f aca="false">IF(E747="CONTADO", 4%, IF(E747="TARJETA / CHEQUE", 3%, IF(OR(E747="FINANCIADO", E747="MCP"), 2.5%, "")))</f>
        <v/>
      </c>
      <c r="G747" s="121" t="str">
        <f aca="false">IF(F747="", "", F747*D747)</f>
        <v/>
      </c>
      <c r="H747" s="132" t="b">
        <f aca="false">FALSE()</f>
        <v>0</v>
      </c>
      <c r="I747" s="132" t="b">
        <f aca="false">FALSE()</f>
        <v>0</v>
      </c>
      <c r="J747" s="126"/>
      <c r="K747" s="99"/>
      <c r="L747" s="83"/>
      <c r="M747" s="103"/>
      <c r="N747" s="103"/>
      <c r="O747" s="103"/>
      <c r="P747" s="103"/>
      <c r="Q747" s="103"/>
      <c r="R747" s="83"/>
      <c r="S747" s="103"/>
      <c r="T747" s="103"/>
      <c r="U747" s="103"/>
    </row>
    <row r="748" customFormat="false" ht="22.5" hidden="false" customHeight="true" outlineLevel="0" collapsed="false">
      <c r="A748" s="110"/>
      <c r="B748" s="110"/>
      <c r="C748" s="110"/>
      <c r="D748" s="122"/>
      <c r="E748" s="110"/>
      <c r="F748" s="128" t="str">
        <f aca="false">IF(E748="CONTADO", 4%, IF(E748="TARJETA / CHEQUE", 3%, IF(OR(E748="FINANCIADO", E748="MCP"), 2.5%, "")))</f>
        <v/>
      </c>
      <c r="G748" s="122" t="str">
        <f aca="false">IF(F748="", "", F748*D748)</f>
        <v/>
      </c>
      <c r="H748" s="131" t="b">
        <f aca="false">FALSE()</f>
        <v>0</v>
      </c>
      <c r="I748" s="131" t="b">
        <f aca="false">FALSE()</f>
        <v>0</v>
      </c>
      <c r="J748" s="130"/>
      <c r="K748" s="110"/>
      <c r="L748" s="83"/>
      <c r="M748" s="103"/>
      <c r="N748" s="103"/>
      <c r="O748" s="103"/>
      <c r="P748" s="103"/>
      <c r="Q748" s="103"/>
      <c r="R748" s="83"/>
      <c r="S748" s="103"/>
      <c r="T748" s="103"/>
      <c r="U748" s="103"/>
    </row>
    <row r="749" customFormat="false" ht="22.5" hidden="false" customHeight="true" outlineLevel="0" collapsed="false">
      <c r="A749" s="99"/>
      <c r="B749" s="99"/>
      <c r="C749" s="99"/>
      <c r="D749" s="121"/>
      <c r="E749" s="99"/>
      <c r="F749" s="124" t="str">
        <f aca="false">IF(E749="CONTADO", 4%, IF(E749="TARJETA / CHEQUE", 3%, IF(OR(E749="FINANCIADO", E749="MCP"), 2.5%, "")))</f>
        <v/>
      </c>
      <c r="G749" s="121" t="str">
        <f aca="false">IF(F749="", "", F749*D749)</f>
        <v/>
      </c>
      <c r="H749" s="132" t="b">
        <f aca="false">FALSE()</f>
        <v>0</v>
      </c>
      <c r="I749" s="132" t="b">
        <f aca="false">FALSE()</f>
        <v>0</v>
      </c>
      <c r="J749" s="126"/>
      <c r="K749" s="99"/>
      <c r="L749" s="83"/>
      <c r="M749" s="103"/>
      <c r="N749" s="103"/>
      <c r="O749" s="103"/>
      <c r="P749" s="103"/>
      <c r="Q749" s="103"/>
      <c r="R749" s="83"/>
      <c r="S749" s="103"/>
      <c r="T749" s="103"/>
      <c r="U749" s="103"/>
    </row>
    <row r="750" customFormat="false" ht="22.5" hidden="false" customHeight="true" outlineLevel="0" collapsed="false">
      <c r="A750" s="110"/>
      <c r="B750" s="110"/>
      <c r="C750" s="110"/>
      <c r="D750" s="122"/>
      <c r="E750" s="110"/>
      <c r="F750" s="128" t="str">
        <f aca="false">IF(E750="CONTADO", 4%, IF(E750="TARJETA / CHEQUE", 3%, IF(OR(E750="FINANCIADO", E750="MCP"), 2.5%, "")))</f>
        <v/>
      </c>
      <c r="G750" s="122" t="str">
        <f aca="false">IF(F750="", "", F750*D750)</f>
        <v/>
      </c>
      <c r="H750" s="131" t="b">
        <f aca="false">FALSE()</f>
        <v>0</v>
      </c>
      <c r="I750" s="131" t="b">
        <f aca="false">FALSE()</f>
        <v>0</v>
      </c>
      <c r="J750" s="130"/>
      <c r="K750" s="110"/>
      <c r="L750" s="83"/>
      <c r="M750" s="103"/>
      <c r="N750" s="103"/>
      <c r="O750" s="103"/>
      <c r="P750" s="103"/>
      <c r="Q750" s="103"/>
      <c r="R750" s="83"/>
      <c r="S750" s="103"/>
      <c r="T750" s="103"/>
      <c r="U750" s="103"/>
    </row>
    <row r="751" customFormat="false" ht="22.5" hidden="false" customHeight="true" outlineLevel="0" collapsed="false">
      <c r="A751" s="99"/>
      <c r="B751" s="99"/>
      <c r="C751" s="99"/>
      <c r="D751" s="121"/>
      <c r="E751" s="99"/>
      <c r="F751" s="124" t="str">
        <f aca="false">IF(E751="CONTADO", 4%, IF(E751="TARJETA / CHEQUE", 3%, IF(OR(E751="FINANCIADO", E751="MCP"), 2.5%, "")))</f>
        <v/>
      </c>
      <c r="G751" s="121" t="str">
        <f aca="false">IF(F751="", "", F751*D751)</f>
        <v/>
      </c>
      <c r="H751" s="132" t="b">
        <f aca="false">FALSE()</f>
        <v>0</v>
      </c>
      <c r="I751" s="132" t="b">
        <f aca="false">FALSE()</f>
        <v>0</v>
      </c>
      <c r="J751" s="126"/>
      <c r="K751" s="99"/>
      <c r="L751" s="83"/>
      <c r="M751" s="103"/>
      <c r="N751" s="103"/>
      <c r="O751" s="103"/>
      <c r="P751" s="103"/>
      <c r="Q751" s="103"/>
      <c r="R751" s="83"/>
      <c r="S751" s="103"/>
      <c r="T751" s="103"/>
      <c r="U751" s="103"/>
    </row>
    <row r="752" customFormat="false" ht="22.5" hidden="false" customHeight="true" outlineLevel="0" collapsed="false">
      <c r="A752" s="110"/>
      <c r="B752" s="110"/>
      <c r="C752" s="110"/>
      <c r="D752" s="122"/>
      <c r="E752" s="110"/>
      <c r="F752" s="128" t="str">
        <f aca="false">IF(E752="CONTADO", 4%, IF(E752="TARJETA / CHEQUE", 3%, IF(OR(E752="FINANCIADO", E752="MCP"), 2.5%, "")))</f>
        <v/>
      </c>
      <c r="G752" s="122" t="str">
        <f aca="false">IF(F752="", "", F752*D752)</f>
        <v/>
      </c>
      <c r="H752" s="131" t="b">
        <f aca="false">FALSE()</f>
        <v>0</v>
      </c>
      <c r="I752" s="131" t="b">
        <f aca="false">FALSE()</f>
        <v>0</v>
      </c>
      <c r="J752" s="130"/>
      <c r="K752" s="110"/>
      <c r="L752" s="83"/>
      <c r="M752" s="103"/>
      <c r="N752" s="103"/>
      <c r="O752" s="103"/>
      <c r="P752" s="103"/>
      <c r="Q752" s="103"/>
      <c r="R752" s="83"/>
      <c r="S752" s="103"/>
      <c r="T752" s="103"/>
      <c r="U752" s="103"/>
    </row>
    <row r="753" customFormat="false" ht="22.5" hidden="false" customHeight="true" outlineLevel="0" collapsed="false">
      <c r="A753" s="99"/>
      <c r="B753" s="99"/>
      <c r="C753" s="99"/>
      <c r="D753" s="121"/>
      <c r="E753" s="99"/>
      <c r="F753" s="124" t="str">
        <f aca="false">IF(E753="CONTADO", 4%, IF(E753="TARJETA / CHEQUE", 3%, IF(OR(E753="FINANCIADO", E753="MCP"), 2.5%, "")))</f>
        <v/>
      </c>
      <c r="G753" s="121" t="str">
        <f aca="false">IF(F753="", "", F753*D753)</f>
        <v/>
      </c>
      <c r="H753" s="132" t="b">
        <f aca="false">FALSE()</f>
        <v>0</v>
      </c>
      <c r="I753" s="132" t="b">
        <f aca="false">FALSE()</f>
        <v>0</v>
      </c>
      <c r="J753" s="126"/>
      <c r="K753" s="99"/>
      <c r="L753" s="83"/>
      <c r="M753" s="103"/>
      <c r="N753" s="103"/>
      <c r="O753" s="103"/>
      <c r="P753" s="103"/>
      <c r="Q753" s="103"/>
      <c r="R753" s="83"/>
      <c r="S753" s="103"/>
      <c r="T753" s="103"/>
      <c r="U753" s="103"/>
    </row>
    <row r="754" customFormat="false" ht="22.5" hidden="false" customHeight="true" outlineLevel="0" collapsed="false">
      <c r="A754" s="110"/>
      <c r="B754" s="110"/>
      <c r="C754" s="110"/>
      <c r="D754" s="122"/>
      <c r="E754" s="110"/>
      <c r="F754" s="128" t="str">
        <f aca="false">IF(E754="CONTADO", 4%, IF(E754="TARJETA / CHEQUE", 3%, IF(OR(E754="FINANCIADO", E754="MCP"), 2.5%, "")))</f>
        <v/>
      </c>
      <c r="G754" s="122" t="str">
        <f aca="false">IF(F754="", "", F754*D754)</f>
        <v/>
      </c>
      <c r="H754" s="131" t="b">
        <f aca="false">FALSE()</f>
        <v>0</v>
      </c>
      <c r="I754" s="131" t="b">
        <f aca="false">FALSE()</f>
        <v>0</v>
      </c>
      <c r="J754" s="130"/>
      <c r="K754" s="110"/>
      <c r="L754" s="83"/>
      <c r="M754" s="103"/>
      <c r="N754" s="103"/>
      <c r="O754" s="103"/>
      <c r="P754" s="103"/>
      <c r="Q754" s="103"/>
      <c r="R754" s="83"/>
      <c r="S754" s="103"/>
      <c r="T754" s="103"/>
      <c r="U754" s="103"/>
    </row>
    <row r="755" customFormat="false" ht="22.5" hidden="false" customHeight="true" outlineLevel="0" collapsed="false">
      <c r="A755" s="99"/>
      <c r="B755" s="99"/>
      <c r="C755" s="99"/>
      <c r="D755" s="121"/>
      <c r="E755" s="99"/>
      <c r="F755" s="124" t="str">
        <f aca="false">IF(E755="CONTADO", 4%, IF(E755="TARJETA / CHEQUE", 3%, IF(OR(E755="FINANCIADO", E755="MCP"), 2.5%, "")))</f>
        <v/>
      </c>
      <c r="G755" s="121" t="str">
        <f aca="false">IF(F755="", "", F755*D755)</f>
        <v/>
      </c>
      <c r="H755" s="132" t="b">
        <f aca="false">FALSE()</f>
        <v>0</v>
      </c>
      <c r="I755" s="132" t="b">
        <f aca="false">FALSE()</f>
        <v>0</v>
      </c>
      <c r="J755" s="126"/>
      <c r="K755" s="99"/>
      <c r="L755" s="83"/>
      <c r="M755" s="103"/>
      <c r="N755" s="103"/>
      <c r="O755" s="103"/>
      <c r="P755" s="103"/>
      <c r="Q755" s="103"/>
      <c r="R755" s="83"/>
      <c r="S755" s="103"/>
      <c r="T755" s="103"/>
      <c r="U755" s="103"/>
    </row>
    <row r="756" customFormat="false" ht="22.5" hidden="false" customHeight="true" outlineLevel="0" collapsed="false">
      <c r="A756" s="110"/>
      <c r="B756" s="110"/>
      <c r="C756" s="110"/>
      <c r="D756" s="122"/>
      <c r="E756" s="110"/>
      <c r="F756" s="128" t="str">
        <f aca="false">IF(E756="CONTADO", 4%, IF(E756="TARJETA / CHEQUE", 3%, IF(OR(E756="FINANCIADO", E756="MCP"), 2.5%, "")))</f>
        <v/>
      </c>
      <c r="G756" s="122" t="str">
        <f aca="false">IF(F756="", "", F756*D756)</f>
        <v/>
      </c>
      <c r="H756" s="131" t="b">
        <f aca="false">FALSE()</f>
        <v>0</v>
      </c>
      <c r="I756" s="131" t="b">
        <f aca="false">FALSE()</f>
        <v>0</v>
      </c>
      <c r="J756" s="130"/>
      <c r="K756" s="110"/>
      <c r="L756" s="83"/>
      <c r="M756" s="103"/>
      <c r="N756" s="103"/>
      <c r="O756" s="103"/>
      <c r="P756" s="103"/>
      <c r="Q756" s="103"/>
      <c r="R756" s="83"/>
      <c r="S756" s="103"/>
      <c r="T756" s="103"/>
      <c r="U756" s="103"/>
    </row>
    <row r="757" customFormat="false" ht="22.5" hidden="false" customHeight="true" outlineLevel="0" collapsed="false">
      <c r="A757" s="99"/>
      <c r="B757" s="99"/>
      <c r="C757" s="99"/>
      <c r="D757" s="121"/>
      <c r="E757" s="99"/>
      <c r="F757" s="124" t="str">
        <f aca="false">IF(E757="CONTADO", 4%, IF(E757="TARJETA / CHEQUE", 3%, IF(OR(E757="FINANCIADO", E757="MCP"), 2.5%, "")))</f>
        <v/>
      </c>
      <c r="G757" s="121" t="str">
        <f aca="false">IF(F757="", "", F757*D757)</f>
        <v/>
      </c>
      <c r="H757" s="132" t="b">
        <f aca="false">FALSE()</f>
        <v>0</v>
      </c>
      <c r="I757" s="132" t="b">
        <f aca="false">FALSE()</f>
        <v>0</v>
      </c>
      <c r="J757" s="126"/>
      <c r="K757" s="99"/>
      <c r="L757" s="83"/>
      <c r="M757" s="103"/>
      <c r="N757" s="103"/>
      <c r="O757" s="103"/>
      <c r="P757" s="103"/>
      <c r="Q757" s="103"/>
      <c r="R757" s="83"/>
      <c r="S757" s="103"/>
      <c r="T757" s="103"/>
      <c r="U757" s="103"/>
    </row>
    <row r="758" customFormat="false" ht="22.5" hidden="false" customHeight="true" outlineLevel="0" collapsed="false">
      <c r="A758" s="110"/>
      <c r="B758" s="110"/>
      <c r="C758" s="110"/>
      <c r="D758" s="122"/>
      <c r="E758" s="110"/>
      <c r="F758" s="128" t="str">
        <f aca="false">IF(E758="CONTADO", 4%, IF(E758="TARJETA / CHEQUE", 3%, IF(OR(E758="FINANCIADO", E758="MCP"), 2.5%, "")))</f>
        <v/>
      </c>
      <c r="G758" s="122" t="str">
        <f aca="false">IF(F758="", "", F758*D758)</f>
        <v/>
      </c>
      <c r="H758" s="131" t="b">
        <f aca="false">FALSE()</f>
        <v>0</v>
      </c>
      <c r="I758" s="131" t="b">
        <f aca="false">FALSE()</f>
        <v>0</v>
      </c>
      <c r="J758" s="130"/>
      <c r="K758" s="110"/>
      <c r="L758" s="83"/>
      <c r="M758" s="103"/>
      <c r="N758" s="103"/>
      <c r="O758" s="103"/>
      <c r="P758" s="103"/>
      <c r="Q758" s="103"/>
      <c r="R758" s="83"/>
      <c r="S758" s="103"/>
      <c r="T758" s="103"/>
      <c r="U758" s="103"/>
    </row>
    <row r="759" customFormat="false" ht="22.5" hidden="false" customHeight="true" outlineLevel="0" collapsed="false">
      <c r="A759" s="99"/>
      <c r="B759" s="99"/>
      <c r="C759" s="99"/>
      <c r="D759" s="121"/>
      <c r="E759" s="99"/>
      <c r="F759" s="124" t="str">
        <f aca="false">IF(E759="CONTADO", 4%, IF(E759="TARJETA / CHEQUE", 3%, IF(OR(E759="FINANCIADO", E759="MCP"), 2.5%, "")))</f>
        <v/>
      </c>
      <c r="G759" s="121" t="str">
        <f aca="false">IF(F759="", "", F759*D759)</f>
        <v/>
      </c>
      <c r="H759" s="132" t="b">
        <f aca="false">FALSE()</f>
        <v>0</v>
      </c>
      <c r="I759" s="132" t="b">
        <f aca="false">FALSE()</f>
        <v>0</v>
      </c>
      <c r="J759" s="126"/>
      <c r="K759" s="99"/>
      <c r="L759" s="83"/>
      <c r="M759" s="103"/>
      <c r="N759" s="103"/>
      <c r="O759" s="103"/>
      <c r="P759" s="103"/>
      <c r="Q759" s="103"/>
      <c r="R759" s="83"/>
      <c r="S759" s="103"/>
      <c r="T759" s="103"/>
      <c r="U759" s="103"/>
    </row>
    <row r="760" customFormat="false" ht="22.5" hidden="false" customHeight="true" outlineLevel="0" collapsed="false">
      <c r="A760" s="110"/>
      <c r="B760" s="110"/>
      <c r="C760" s="110"/>
      <c r="D760" s="122"/>
      <c r="E760" s="110"/>
      <c r="F760" s="128" t="str">
        <f aca="false">IF(E760="CONTADO", 4%, IF(E760="TARJETA / CHEQUE", 3%, IF(OR(E760="FINANCIADO", E760="MCP"), 2.5%, "")))</f>
        <v/>
      </c>
      <c r="G760" s="122" t="str">
        <f aca="false">IF(F760="", "", F760*D760)</f>
        <v/>
      </c>
      <c r="H760" s="131" t="b">
        <f aca="false">FALSE()</f>
        <v>0</v>
      </c>
      <c r="I760" s="131" t="b">
        <f aca="false">FALSE()</f>
        <v>0</v>
      </c>
      <c r="J760" s="130"/>
      <c r="K760" s="110"/>
      <c r="L760" s="83"/>
      <c r="M760" s="103"/>
      <c r="N760" s="103"/>
      <c r="O760" s="103"/>
      <c r="P760" s="103"/>
      <c r="Q760" s="103"/>
      <c r="R760" s="83"/>
      <c r="S760" s="103"/>
      <c r="T760" s="103"/>
      <c r="U760" s="103"/>
    </row>
    <row r="761" customFormat="false" ht="22.5" hidden="false" customHeight="true" outlineLevel="0" collapsed="false">
      <c r="A761" s="99"/>
      <c r="B761" s="99"/>
      <c r="C761" s="99"/>
      <c r="D761" s="121"/>
      <c r="E761" s="99"/>
      <c r="F761" s="124" t="str">
        <f aca="false">IF(E761="CONTADO", 4%, IF(E761="TARJETA / CHEQUE", 3%, IF(OR(E761="FINANCIADO", E761="MCP"), 2.5%, "")))</f>
        <v/>
      </c>
      <c r="G761" s="121" t="str">
        <f aca="false">IF(F761="", "", F761*D761)</f>
        <v/>
      </c>
      <c r="H761" s="132" t="b">
        <f aca="false">FALSE()</f>
        <v>0</v>
      </c>
      <c r="I761" s="132" t="b">
        <f aca="false">FALSE()</f>
        <v>0</v>
      </c>
      <c r="J761" s="126"/>
      <c r="K761" s="99"/>
      <c r="L761" s="83"/>
      <c r="M761" s="103"/>
      <c r="N761" s="103"/>
      <c r="O761" s="103"/>
      <c r="P761" s="103"/>
      <c r="Q761" s="103"/>
      <c r="R761" s="83"/>
      <c r="S761" s="103"/>
      <c r="T761" s="103"/>
      <c r="U761" s="103"/>
    </row>
    <row r="762" customFormat="false" ht="22.5" hidden="false" customHeight="true" outlineLevel="0" collapsed="false">
      <c r="A762" s="110"/>
      <c r="B762" s="110"/>
      <c r="C762" s="110"/>
      <c r="D762" s="122"/>
      <c r="E762" s="110"/>
      <c r="F762" s="128" t="str">
        <f aca="false">IF(E762="CONTADO", 4%, IF(E762="TARJETA / CHEQUE", 3%, IF(OR(E762="FINANCIADO", E762="MCP"), 2.5%, "")))</f>
        <v/>
      </c>
      <c r="G762" s="122" t="str">
        <f aca="false">IF(F762="", "", F762*D762)</f>
        <v/>
      </c>
      <c r="H762" s="131" t="b">
        <f aca="false">FALSE()</f>
        <v>0</v>
      </c>
      <c r="I762" s="131" t="b">
        <f aca="false">FALSE()</f>
        <v>0</v>
      </c>
      <c r="J762" s="130"/>
      <c r="K762" s="110"/>
      <c r="L762" s="83"/>
      <c r="M762" s="103"/>
      <c r="N762" s="103"/>
      <c r="O762" s="103"/>
      <c r="P762" s="103"/>
      <c r="Q762" s="103"/>
      <c r="R762" s="83"/>
      <c r="S762" s="103"/>
      <c r="T762" s="103"/>
      <c r="U762" s="103"/>
    </row>
    <row r="763" customFormat="false" ht="22.5" hidden="false" customHeight="true" outlineLevel="0" collapsed="false">
      <c r="A763" s="99"/>
      <c r="B763" s="99"/>
      <c r="C763" s="99"/>
      <c r="D763" s="121"/>
      <c r="E763" s="99"/>
      <c r="F763" s="124" t="str">
        <f aca="false">IF(E763="CONTADO", 4%, IF(E763="TARJETA / CHEQUE", 3%, IF(OR(E763="FINANCIADO", E763="MCP"), 2.5%, "")))</f>
        <v/>
      </c>
      <c r="G763" s="121" t="str">
        <f aca="false">IF(F763="", "", F763*D763)</f>
        <v/>
      </c>
      <c r="H763" s="132" t="b">
        <f aca="false">FALSE()</f>
        <v>0</v>
      </c>
      <c r="I763" s="132" t="b">
        <f aca="false">FALSE()</f>
        <v>0</v>
      </c>
      <c r="J763" s="126"/>
      <c r="K763" s="99"/>
      <c r="L763" s="83"/>
      <c r="M763" s="103"/>
      <c r="N763" s="103"/>
      <c r="O763" s="103"/>
      <c r="P763" s="103"/>
      <c r="Q763" s="103"/>
      <c r="R763" s="83"/>
      <c r="S763" s="103"/>
      <c r="T763" s="103"/>
      <c r="U763" s="103"/>
    </row>
    <row r="764" customFormat="false" ht="22.5" hidden="false" customHeight="true" outlineLevel="0" collapsed="false">
      <c r="A764" s="110"/>
      <c r="B764" s="110"/>
      <c r="C764" s="110"/>
      <c r="D764" s="122"/>
      <c r="E764" s="110"/>
      <c r="F764" s="128" t="str">
        <f aca="false">IF(E764="CONTADO", 4%, IF(E764="TARJETA / CHEQUE", 3%, IF(OR(E764="FINANCIADO", E764="MCP"), 2.5%, "")))</f>
        <v/>
      </c>
      <c r="G764" s="122" t="str">
        <f aca="false">IF(F764="", "", F764*D764)</f>
        <v/>
      </c>
      <c r="H764" s="131" t="b">
        <f aca="false">FALSE()</f>
        <v>0</v>
      </c>
      <c r="I764" s="131" t="b">
        <f aca="false">FALSE()</f>
        <v>0</v>
      </c>
      <c r="J764" s="130"/>
      <c r="K764" s="110"/>
      <c r="L764" s="83"/>
      <c r="M764" s="103"/>
      <c r="N764" s="103"/>
      <c r="O764" s="103"/>
      <c r="P764" s="103"/>
      <c r="Q764" s="103"/>
      <c r="R764" s="83"/>
      <c r="S764" s="103"/>
      <c r="T764" s="103"/>
      <c r="U764" s="103"/>
    </row>
    <row r="765" customFormat="false" ht="22.5" hidden="false" customHeight="true" outlineLevel="0" collapsed="false">
      <c r="A765" s="99"/>
      <c r="B765" s="99"/>
      <c r="C765" s="99"/>
      <c r="D765" s="121"/>
      <c r="E765" s="99"/>
      <c r="F765" s="124" t="str">
        <f aca="false">IF(E765="CONTADO", 4%, IF(E765="TARJETA / CHEQUE", 3%, IF(OR(E765="FINANCIADO", E765="MCP"), 2.5%, "")))</f>
        <v/>
      </c>
      <c r="G765" s="121" t="str">
        <f aca="false">IF(F765="", "", F765*D765)</f>
        <v/>
      </c>
      <c r="H765" s="132" t="b">
        <f aca="false">FALSE()</f>
        <v>0</v>
      </c>
      <c r="I765" s="132" t="b">
        <f aca="false">FALSE()</f>
        <v>0</v>
      </c>
      <c r="J765" s="126"/>
      <c r="K765" s="99"/>
      <c r="L765" s="83"/>
      <c r="M765" s="103"/>
      <c r="N765" s="103"/>
      <c r="O765" s="103"/>
      <c r="P765" s="103"/>
      <c r="Q765" s="103"/>
      <c r="R765" s="83"/>
      <c r="S765" s="103"/>
      <c r="T765" s="103"/>
      <c r="U765" s="103"/>
    </row>
    <row r="766" customFormat="false" ht="22.5" hidden="false" customHeight="true" outlineLevel="0" collapsed="false">
      <c r="A766" s="110"/>
      <c r="B766" s="110"/>
      <c r="C766" s="110"/>
      <c r="D766" s="122"/>
      <c r="E766" s="110"/>
      <c r="F766" s="128" t="str">
        <f aca="false">IF(E766="CONTADO", 4%, IF(E766="TARJETA / CHEQUE", 3%, IF(OR(E766="FINANCIADO", E766="MCP"), 2.5%, "")))</f>
        <v/>
      </c>
      <c r="G766" s="122" t="str">
        <f aca="false">IF(F766="", "", F766*D766)</f>
        <v/>
      </c>
      <c r="H766" s="131" t="b">
        <f aca="false">FALSE()</f>
        <v>0</v>
      </c>
      <c r="I766" s="131" t="b">
        <f aca="false">FALSE()</f>
        <v>0</v>
      </c>
      <c r="J766" s="130"/>
      <c r="K766" s="110"/>
      <c r="L766" s="83"/>
      <c r="M766" s="103"/>
      <c r="N766" s="103"/>
      <c r="O766" s="103"/>
      <c r="P766" s="103"/>
      <c r="Q766" s="103"/>
      <c r="R766" s="83"/>
      <c r="S766" s="103"/>
      <c r="T766" s="103"/>
      <c r="U766" s="103"/>
    </row>
    <row r="767" customFormat="false" ht="22.5" hidden="false" customHeight="true" outlineLevel="0" collapsed="false">
      <c r="A767" s="99"/>
      <c r="B767" s="99"/>
      <c r="C767" s="99"/>
      <c r="D767" s="121"/>
      <c r="E767" s="99"/>
      <c r="F767" s="124" t="str">
        <f aca="false">IF(E767="CONTADO", 4%, IF(E767="TARJETA / CHEQUE", 3%, IF(OR(E767="FINANCIADO", E767="MCP"), 2.5%, "")))</f>
        <v/>
      </c>
      <c r="G767" s="121" t="str">
        <f aca="false">IF(F767="", "", F767*D767)</f>
        <v/>
      </c>
      <c r="H767" s="132" t="b">
        <f aca="false">FALSE()</f>
        <v>0</v>
      </c>
      <c r="I767" s="132" t="b">
        <f aca="false">FALSE()</f>
        <v>0</v>
      </c>
      <c r="J767" s="126"/>
      <c r="K767" s="99"/>
      <c r="L767" s="83"/>
      <c r="M767" s="103"/>
      <c r="N767" s="103"/>
      <c r="O767" s="103"/>
      <c r="P767" s="103"/>
      <c r="Q767" s="103"/>
      <c r="R767" s="83"/>
      <c r="S767" s="103"/>
      <c r="T767" s="103"/>
      <c r="U767" s="103"/>
    </row>
    <row r="768" customFormat="false" ht="22.5" hidden="false" customHeight="true" outlineLevel="0" collapsed="false">
      <c r="A768" s="110"/>
      <c r="B768" s="110"/>
      <c r="C768" s="110"/>
      <c r="D768" s="122"/>
      <c r="E768" s="110"/>
      <c r="F768" s="128" t="str">
        <f aca="false">IF(E768="CONTADO", 4%, IF(E768="TARJETA / CHEQUE", 3%, IF(OR(E768="FINANCIADO", E768="MCP"), 2.5%, "")))</f>
        <v/>
      </c>
      <c r="G768" s="122" t="str">
        <f aca="false">IF(F768="", "", F768*D768)</f>
        <v/>
      </c>
      <c r="H768" s="131" t="b">
        <f aca="false">FALSE()</f>
        <v>0</v>
      </c>
      <c r="I768" s="131" t="b">
        <f aca="false">FALSE()</f>
        <v>0</v>
      </c>
      <c r="J768" s="130"/>
      <c r="K768" s="110"/>
      <c r="L768" s="83"/>
      <c r="M768" s="103"/>
      <c r="N768" s="103"/>
      <c r="O768" s="103"/>
      <c r="P768" s="103"/>
      <c r="Q768" s="103"/>
      <c r="R768" s="83"/>
      <c r="S768" s="103"/>
      <c r="T768" s="103"/>
      <c r="U768" s="103"/>
    </row>
    <row r="769" customFormat="false" ht="22.5" hidden="false" customHeight="true" outlineLevel="0" collapsed="false">
      <c r="A769" s="99"/>
      <c r="B769" s="99"/>
      <c r="C769" s="99"/>
      <c r="D769" s="121"/>
      <c r="E769" s="99"/>
      <c r="F769" s="124" t="str">
        <f aca="false">IF(E769="CONTADO", 4%, IF(E769="TARJETA / CHEQUE", 3%, IF(OR(E769="FINANCIADO", E769="MCP"), 2.5%, "")))</f>
        <v/>
      </c>
      <c r="G769" s="121" t="str">
        <f aca="false">IF(F769="", "", F769*D769)</f>
        <v/>
      </c>
      <c r="H769" s="132" t="b">
        <f aca="false">FALSE()</f>
        <v>0</v>
      </c>
      <c r="I769" s="132" t="b">
        <f aca="false">FALSE()</f>
        <v>0</v>
      </c>
      <c r="J769" s="126"/>
      <c r="K769" s="99"/>
      <c r="L769" s="83"/>
      <c r="M769" s="103"/>
      <c r="N769" s="103"/>
      <c r="O769" s="103"/>
      <c r="P769" s="103"/>
      <c r="Q769" s="103"/>
      <c r="R769" s="83"/>
      <c r="S769" s="103"/>
      <c r="T769" s="103"/>
      <c r="U769" s="103"/>
    </row>
    <row r="770" customFormat="false" ht="22.5" hidden="false" customHeight="true" outlineLevel="0" collapsed="false">
      <c r="A770" s="110"/>
      <c r="B770" s="110"/>
      <c r="C770" s="110"/>
      <c r="D770" s="122"/>
      <c r="E770" s="110"/>
      <c r="F770" s="128" t="str">
        <f aca="false">IF(E770="CONTADO", 4%, IF(E770="TARJETA / CHEQUE", 3%, IF(OR(E770="FINANCIADO", E770="MCP"), 2.5%, "")))</f>
        <v/>
      </c>
      <c r="G770" s="122" t="str">
        <f aca="false">IF(F770="", "", F770*D770)</f>
        <v/>
      </c>
      <c r="H770" s="131" t="b">
        <f aca="false">FALSE()</f>
        <v>0</v>
      </c>
      <c r="I770" s="131" t="b">
        <f aca="false">FALSE()</f>
        <v>0</v>
      </c>
      <c r="J770" s="130"/>
      <c r="K770" s="110"/>
      <c r="L770" s="83"/>
      <c r="M770" s="103"/>
      <c r="N770" s="103"/>
      <c r="O770" s="103"/>
      <c r="P770" s="103"/>
      <c r="Q770" s="103"/>
      <c r="R770" s="83"/>
      <c r="S770" s="103"/>
      <c r="T770" s="103"/>
      <c r="U770" s="103"/>
    </row>
    <row r="771" customFormat="false" ht="22.5" hidden="false" customHeight="true" outlineLevel="0" collapsed="false">
      <c r="A771" s="99"/>
      <c r="B771" s="99"/>
      <c r="C771" s="99"/>
      <c r="D771" s="121"/>
      <c r="E771" s="99"/>
      <c r="F771" s="124" t="str">
        <f aca="false">IF(E771="CONTADO", 4%, IF(E771="TARJETA / CHEQUE", 3%, IF(OR(E771="FINANCIADO", E771="MCP"), 2.5%, "")))</f>
        <v/>
      </c>
      <c r="G771" s="121" t="str">
        <f aca="false">IF(F771="", "", F771*D771)</f>
        <v/>
      </c>
      <c r="H771" s="132" t="b">
        <f aca="false">FALSE()</f>
        <v>0</v>
      </c>
      <c r="I771" s="132" t="b">
        <f aca="false">FALSE()</f>
        <v>0</v>
      </c>
      <c r="J771" s="126"/>
      <c r="K771" s="99"/>
      <c r="L771" s="83"/>
      <c r="M771" s="103"/>
      <c r="N771" s="103"/>
      <c r="O771" s="103"/>
      <c r="P771" s="103"/>
      <c r="Q771" s="103"/>
      <c r="R771" s="83"/>
      <c r="S771" s="103"/>
      <c r="T771" s="103"/>
      <c r="U771" s="103"/>
    </row>
    <row r="772" customFormat="false" ht="22.5" hidden="false" customHeight="true" outlineLevel="0" collapsed="false">
      <c r="A772" s="110"/>
      <c r="B772" s="110"/>
      <c r="C772" s="110"/>
      <c r="D772" s="122"/>
      <c r="E772" s="110"/>
      <c r="F772" s="128" t="str">
        <f aca="false">IF(E772="CONTADO", 4%, IF(E772="TARJETA / CHEQUE", 3%, IF(OR(E772="FINANCIADO", E772="MCP"), 2.5%, "")))</f>
        <v/>
      </c>
      <c r="G772" s="122" t="str">
        <f aca="false">IF(F772="", "", F772*D772)</f>
        <v/>
      </c>
      <c r="H772" s="131" t="b">
        <f aca="false">FALSE()</f>
        <v>0</v>
      </c>
      <c r="I772" s="131" t="b">
        <f aca="false">FALSE()</f>
        <v>0</v>
      </c>
      <c r="J772" s="130"/>
      <c r="K772" s="110"/>
      <c r="L772" s="83"/>
      <c r="M772" s="103"/>
      <c r="N772" s="103"/>
      <c r="O772" s="103"/>
      <c r="P772" s="103"/>
      <c r="Q772" s="103"/>
      <c r="R772" s="83"/>
      <c r="S772" s="103"/>
      <c r="T772" s="103"/>
      <c r="U772" s="103"/>
    </row>
    <row r="773" customFormat="false" ht="22.5" hidden="false" customHeight="true" outlineLevel="0" collapsed="false">
      <c r="A773" s="99"/>
      <c r="B773" s="99"/>
      <c r="C773" s="99"/>
      <c r="D773" s="121"/>
      <c r="E773" s="99"/>
      <c r="F773" s="124" t="str">
        <f aca="false">IF(E773="CONTADO", 4%, IF(E773="TARJETA / CHEQUE", 3%, IF(OR(E773="FINANCIADO", E773="MCP"), 2.5%, "")))</f>
        <v/>
      </c>
      <c r="G773" s="121" t="str">
        <f aca="false">IF(F773="", "", F773*D773)</f>
        <v/>
      </c>
      <c r="H773" s="132" t="b">
        <f aca="false">FALSE()</f>
        <v>0</v>
      </c>
      <c r="I773" s="132" t="b">
        <f aca="false">FALSE()</f>
        <v>0</v>
      </c>
      <c r="J773" s="126"/>
      <c r="K773" s="99"/>
      <c r="L773" s="83"/>
      <c r="M773" s="103"/>
      <c r="N773" s="103"/>
      <c r="O773" s="103"/>
      <c r="P773" s="103"/>
      <c r="Q773" s="103"/>
      <c r="R773" s="83"/>
      <c r="S773" s="103"/>
      <c r="T773" s="103"/>
      <c r="U773" s="103"/>
    </row>
    <row r="774" customFormat="false" ht="22.5" hidden="false" customHeight="true" outlineLevel="0" collapsed="false">
      <c r="A774" s="110"/>
      <c r="B774" s="110"/>
      <c r="C774" s="110"/>
      <c r="D774" s="122"/>
      <c r="E774" s="110"/>
      <c r="F774" s="128" t="str">
        <f aca="false">IF(E774="CONTADO", 4%, IF(E774="TARJETA / CHEQUE", 3%, IF(OR(E774="FINANCIADO", E774="MCP"), 2.5%, "")))</f>
        <v/>
      </c>
      <c r="G774" s="122" t="str">
        <f aca="false">IF(F774="", "", F774*D774)</f>
        <v/>
      </c>
      <c r="H774" s="131" t="b">
        <f aca="false">FALSE()</f>
        <v>0</v>
      </c>
      <c r="I774" s="131" t="b">
        <f aca="false">FALSE()</f>
        <v>0</v>
      </c>
      <c r="J774" s="130"/>
      <c r="K774" s="110"/>
      <c r="L774" s="83"/>
      <c r="M774" s="103"/>
      <c r="N774" s="103"/>
      <c r="O774" s="103"/>
      <c r="P774" s="103"/>
      <c r="Q774" s="103"/>
      <c r="R774" s="83"/>
      <c r="S774" s="103"/>
      <c r="T774" s="103"/>
      <c r="U774" s="103"/>
    </row>
    <row r="775" customFormat="false" ht="22.5" hidden="false" customHeight="true" outlineLevel="0" collapsed="false">
      <c r="A775" s="99"/>
      <c r="B775" s="99"/>
      <c r="C775" s="99"/>
      <c r="D775" s="121"/>
      <c r="E775" s="99"/>
      <c r="F775" s="124" t="str">
        <f aca="false">IF(E775="CONTADO", 4%, IF(E775="TARJETA / CHEQUE", 3%, IF(OR(E775="FINANCIADO", E775="MCP"), 2.5%, "")))</f>
        <v/>
      </c>
      <c r="G775" s="121" t="str">
        <f aca="false">IF(F775="", "", F775*D775)</f>
        <v/>
      </c>
      <c r="H775" s="132" t="b">
        <f aca="false">FALSE()</f>
        <v>0</v>
      </c>
      <c r="I775" s="132" t="b">
        <f aca="false">FALSE()</f>
        <v>0</v>
      </c>
      <c r="J775" s="126"/>
      <c r="K775" s="99"/>
      <c r="L775" s="83"/>
      <c r="M775" s="103"/>
      <c r="N775" s="103"/>
      <c r="O775" s="103"/>
      <c r="P775" s="103"/>
      <c r="Q775" s="103"/>
      <c r="R775" s="83"/>
      <c r="S775" s="103"/>
      <c r="T775" s="103"/>
      <c r="U775" s="103"/>
    </row>
    <row r="776" customFormat="false" ht="22.5" hidden="false" customHeight="true" outlineLevel="0" collapsed="false">
      <c r="A776" s="110"/>
      <c r="B776" s="110"/>
      <c r="C776" s="110"/>
      <c r="D776" s="122"/>
      <c r="E776" s="110"/>
      <c r="F776" s="128" t="str">
        <f aca="false">IF(E776="CONTADO", 4%, IF(E776="TARJETA / CHEQUE", 3%, IF(OR(E776="FINANCIADO", E776="MCP"), 2.5%, "")))</f>
        <v/>
      </c>
      <c r="G776" s="122" t="str">
        <f aca="false">IF(F776="", "", F776*D776)</f>
        <v/>
      </c>
      <c r="H776" s="131" t="b">
        <f aca="false">FALSE()</f>
        <v>0</v>
      </c>
      <c r="I776" s="131" t="b">
        <f aca="false">FALSE()</f>
        <v>0</v>
      </c>
      <c r="J776" s="130"/>
      <c r="K776" s="110"/>
      <c r="L776" s="83"/>
      <c r="M776" s="103"/>
      <c r="N776" s="103"/>
      <c r="O776" s="103"/>
      <c r="P776" s="103"/>
      <c r="Q776" s="103"/>
      <c r="R776" s="83"/>
      <c r="S776" s="103"/>
      <c r="T776" s="103"/>
      <c r="U776" s="103"/>
    </row>
    <row r="777" customFormat="false" ht="22.5" hidden="false" customHeight="true" outlineLevel="0" collapsed="false">
      <c r="A777" s="99"/>
      <c r="B777" s="99"/>
      <c r="C777" s="99"/>
      <c r="D777" s="121"/>
      <c r="E777" s="99"/>
      <c r="F777" s="124" t="str">
        <f aca="false">IF(E777="CONTADO", 4%, IF(E777="TARJETA / CHEQUE", 3%, IF(OR(E777="FINANCIADO", E777="MCP"), 2.5%, "")))</f>
        <v/>
      </c>
      <c r="G777" s="121" t="str">
        <f aca="false">IF(F777="", "", F777*D777)</f>
        <v/>
      </c>
      <c r="H777" s="132" t="b">
        <f aca="false">FALSE()</f>
        <v>0</v>
      </c>
      <c r="I777" s="132" t="b">
        <f aca="false">FALSE()</f>
        <v>0</v>
      </c>
      <c r="J777" s="126"/>
      <c r="K777" s="99"/>
      <c r="L777" s="83"/>
      <c r="M777" s="103"/>
      <c r="N777" s="103"/>
      <c r="O777" s="103"/>
      <c r="P777" s="103"/>
      <c r="Q777" s="103"/>
      <c r="R777" s="83"/>
      <c r="S777" s="103"/>
      <c r="T777" s="103"/>
      <c r="U777" s="103"/>
    </row>
    <row r="778" customFormat="false" ht="22.5" hidden="false" customHeight="true" outlineLevel="0" collapsed="false">
      <c r="A778" s="110"/>
      <c r="B778" s="110"/>
      <c r="C778" s="110"/>
      <c r="D778" s="122"/>
      <c r="E778" s="110"/>
      <c r="F778" s="128" t="str">
        <f aca="false">IF(E778="CONTADO", 4%, IF(E778="TARJETA / CHEQUE", 3%, IF(OR(E778="FINANCIADO", E778="MCP"), 2.5%, "")))</f>
        <v/>
      </c>
      <c r="G778" s="122" t="str">
        <f aca="false">IF(F778="", "", F778*D778)</f>
        <v/>
      </c>
      <c r="H778" s="131" t="b">
        <f aca="false">FALSE()</f>
        <v>0</v>
      </c>
      <c r="I778" s="131" t="b">
        <f aca="false">FALSE()</f>
        <v>0</v>
      </c>
      <c r="J778" s="130"/>
      <c r="K778" s="110"/>
      <c r="L778" s="83"/>
      <c r="M778" s="103"/>
      <c r="N778" s="103"/>
      <c r="O778" s="103"/>
      <c r="P778" s="103"/>
      <c r="Q778" s="103"/>
      <c r="R778" s="83"/>
      <c r="S778" s="103"/>
      <c r="T778" s="103"/>
      <c r="U778" s="103"/>
    </row>
    <row r="779" customFormat="false" ht="22.5" hidden="false" customHeight="true" outlineLevel="0" collapsed="false">
      <c r="A779" s="99"/>
      <c r="B779" s="99"/>
      <c r="C779" s="99"/>
      <c r="D779" s="121"/>
      <c r="E779" s="99"/>
      <c r="F779" s="124" t="str">
        <f aca="false">IF(E779="CONTADO", 4%, IF(E779="TARJETA / CHEQUE", 3%, IF(OR(E779="FINANCIADO", E779="MCP"), 2.5%, "")))</f>
        <v/>
      </c>
      <c r="G779" s="121" t="str">
        <f aca="false">IF(F779="", "", F779*D779)</f>
        <v/>
      </c>
      <c r="H779" s="132" t="b">
        <f aca="false">FALSE()</f>
        <v>0</v>
      </c>
      <c r="I779" s="132" t="b">
        <f aca="false">FALSE()</f>
        <v>0</v>
      </c>
      <c r="J779" s="126"/>
      <c r="K779" s="99"/>
      <c r="L779" s="83"/>
      <c r="M779" s="103"/>
      <c r="N779" s="103"/>
      <c r="O779" s="103"/>
      <c r="P779" s="103"/>
      <c r="Q779" s="103"/>
      <c r="R779" s="83"/>
      <c r="S779" s="103"/>
      <c r="T779" s="103"/>
      <c r="U779" s="103"/>
    </row>
    <row r="780" customFormat="false" ht="22.5" hidden="false" customHeight="true" outlineLevel="0" collapsed="false">
      <c r="A780" s="110"/>
      <c r="B780" s="110"/>
      <c r="C780" s="110"/>
      <c r="D780" s="122"/>
      <c r="E780" s="110"/>
      <c r="F780" s="128" t="str">
        <f aca="false">IF(E780="CONTADO", 4%, IF(E780="TARJETA / CHEQUE", 3%, IF(OR(E780="FINANCIADO", E780="MCP"), 2.5%, "")))</f>
        <v/>
      </c>
      <c r="G780" s="122" t="str">
        <f aca="false">IF(F780="", "", F780*D780)</f>
        <v/>
      </c>
      <c r="H780" s="131" t="b">
        <f aca="false">FALSE()</f>
        <v>0</v>
      </c>
      <c r="I780" s="131" t="b">
        <f aca="false">FALSE()</f>
        <v>0</v>
      </c>
      <c r="J780" s="130"/>
      <c r="K780" s="110"/>
      <c r="L780" s="83"/>
      <c r="M780" s="103"/>
      <c r="N780" s="103"/>
      <c r="O780" s="103"/>
      <c r="P780" s="103"/>
      <c r="Q780" s="103"/>
      <c r="R780" s="83"/>
      <c r="S780" s="103"/>
      <c r="T780" s="103"/>
      <c r="U780" s="103"/>
    </row>
    <row r="781" customFormat="false" ht="22.5" hidden="false" customHeight="true" outlineLevel="0" collapsed="false">
      <c r="A781" s="99"/>
      <c r="B781" s="99"/>
      <c r="C781" s="99"/>
      <c r="D781" s="121"/>
      <c r="E781" s="99"/>
      <c r="F781" s="124" t="str">
        <f aca="false">IF(E781="CONTADO", 4%, IF(E781="TARJETA / CHEQUE", 3%, IF(OR(E781="FINANCIADO", E781="MCP"), 2.5%, "")))</f>
        <v/>
      </c>
      <c r="G781" s="121" t="str">
        <f aca="false">IF(F781="", "", F781*D781)</f>
        <v/>
      </c>
      <c r="H781" s="132" t="b">
        <f aca="false">FALSE()</f>
        <v>0</v>
      </c>
      <c r="I781" s="132" t="b">
        <f aca="false">FALSE()</f>
        <v>0</v>
      </c>
      <c r="J781" s="126"/>
      <c r="K781" s="99"/>
      <c r="L781" s="83"/>
      <c r="M781" s="103"/>
      <c r="N781" s="103"/>
      <c r="O781" s="103"/>
      <c r="P781" s="103"/>
      <c r="Q781" s="103"/>
      <c r="R781" s="83"/>
      <c r="S781" s="103"/>
      <c r="T781" s="103"/>
      <c r="U781" s="103"/>
    </row>
    <row r="782" customFormat="false" ht="22.5" hidden="false" customHeight="true" outlineLevel="0" collapsed="false">
      <c r="A782" s="110"/>
      <c r="B782" s="110"/>
      <c r="C782" s="110"/>
      <c r="D782" s="122"/>
      <c r="E782" s="110"/>
      <c r="F782" s="128" t="str">
        <f aca="false">IF(E782="CONTADO", 4%, IF(E782="TARJETA / CHEQUE", 3%, IF(OR(E782="FINANCIADO", E782="MCP"), 2.5%, "")))</f>
        <v/>
      </c>
      <c r="G782" s="122" t="str">
        <f aca="false">IF(F782="", "", F782*D782)</f>
        <v/>
      </c>
      <c r="H782" s="131" t="b">
        <f aca="false">FALSE()</f>
        <v>0</v>
      </c>
      <c r="I782" s="131" t="b">
        <f aca="false">FALSE()</f>
        <v>0</v>
      </c>
      <c r="J782" s="130"/>
      <c r="K782" s="110"/>
      <c r="L782" s="83"/>
      <c r="M782" s="103"/>
      <c r="N782" s="103"/>
      <c r="O782" s="103"/>
      <c r="P782" s="103"/>
      <c r="Q782" s="103"/>
      <c r="R782" s="83"/>
      <c r="S782" s="103"/>
      <c r="T782" s="103"/>
      <c r="U782" s="103"/>
    </row>
    <row r="783" customFormat="false" ht="22.5" hidden="false" customHeight="true" outlineLevel="0" collapsed="false">
      <c r="A783" s="99"/>
      <c r="B783" s="99"/>
      <c r="C783" s="99"/>
      <c r="D783" s="121"/>
      <c r="E783" s="99"/>
      <c r="F783" s="124" t="str">
        <f aca="false">IF(E783="CONTADO", 4%, IF(E783="TARJETA / CHEQUE", 3%, IF(OR(E783="FINANCIADO", E783="MCP"), 2.5%, "")))</f>
        <v/>
      </c>
      <c r="G783" s="121" t="str">
        <f aca="false">IF(F783="", "", F783*D783)</f>
        <v/>
      </c>
      <c r="H783" s="132" t="b">
        <f aca="false">FALSE()</f>
        <v>0</v>
      </c>
      <c r="I783" s="132" t="b">
        <f aca="false">FALSE()</f>
        <v>0</v>
      </c>
      <c r="J783" s="126"/>
      <c r="K783" s="99"/>
      <c r="L783" s="83"/>
      <c r="M783" s="103"/>
      <c r="N783" s="103"/>
      <c r="O783" s="103"/>
      <c r="P783" s="103"/>
      <c r="Q783" s="103"/>
      <c r="R783" s="83"/>
      <c r="S783" s="103"/>
      <c r="T783" s="103"/>
      <c r="U783" s="103"/>
    </row>
    <row r="784" customFormat="false" ht="22.5" hidden="false" customHeight="true" outlineLevel="0" collapsed="false">
      <c r="A784" s="110"/>
      <c r="B784" s="110"/>
      <c r="C784" s="110"/>
      <c r="D784" s="122"/>
      <c r="E784" s="110"/>
      <c r="F784" s="128" t="str">
        <f aca="false">IF(E784="CONTADO", 4%, IF(E784="TARJETA / CHEQUE", 3%, IF(OR(E784="FINANCIADO", E784="MCP"), 2.5%, "")))</f>
        <v/>
      </c>
      <c r="G784" s="122" t="str">
        <f aca="false">IF(F784="", "", F784*D784)</f>
        <v/>
      </c>
      <c r="H784" s="131" t="b">
        <f aca="false">FALSE()</f>
        <v>0</v>
      </c>
      <c r="I784" s="131" t="b">
        <f aca="false">FALSE()</f>
        <v>0</v>
      </c>
      <c r="J784" s="130"/>
      <c r="K784" s="110"/>
      <c r="L784" s="83"/>
      <c r="M784" s="103"/>
      <c r="N784" s="103"/>
      <c r="O784" s="103"/>
      <c r="P784" s="103"/>
      <c r="Q784" s="103"/>
      <c r="R784" s="83"/>
      <c r="S784" s="103"/>
      <c r="T784" s="103"/>
      <c r="U784" s="103"/>
    </row>
    <row r="785" customFormat="false" ht="22.5" hidden="false" customHeight="true" outlineLevel="0" collapsed="false">
      <c r="A785" s="99"/>
      <c r="B785" s="99"/>
      <c r="C785" s="99"/>
      <c r="D785" s="121"/>
      <c r="E785" s="99"/>
      <c r="F785" s="124" t="str">
        <f aca="false">IF(E785="CONTADO", 4%, IF(E785="TARJETA / CHEQUE", 3%, IF(OR(E785="FINANCIADO", E785="MCP"), 2.5%, "")))</f>
        <v/>
      </c>
      <c r="G785" s="121" t="str">
        <f aca="false">IF(F785="", "", F785*D785)</f>
        <v/>
      </c>
      <c r="H785" s="132" t="b">
        <f aca="false">FALSE()</f>
        <v>0</v>
      </c>
      <c r="I785" s="132" t="b">
        <f aca="false">FALSE()</f>
        <v>0</v>
      </c>
      <c r="J785" s="126"/>
      <c r="K785" s="99"/>
      <c r="L785" s="83"/>
      <c r="M785" s="103"/>
      <c r="N785" s="103"/>
      <c r="O785" s="103"/>
      <c r="P785" s="103"/>
      <c r="Q785" s="103"/>
      <c r="R785" s="83"/>
      <c r="S785" s="103"/>
      <c r="T785" s="103"/>
      <c r="U785" s="103"/>
    </row>
    <row r="786" customFormat="false" ht="22.5" hidden="false" customHeight="true" outlineLevel="0" collapsed="false">
      <c r="A786" s="110"/>
      <c r="B786" s="110"/>
      <c r="C786" s="110"/>
      <c r="D786" s="122"/>
      <c r="E786" s="110"/>
      <c r="F786" s="128" t="str">
        <f aca="false">IF(E786="CONTADO", 4%, IF(E786="TARJETA / CHEQUE", 3%, IF(OR(E786="FINANCIADO", E786="MCP"), 2.5%, "")))</f>
        <v/>
      </c>
      <c r="G786" s="122" t="str">
        <f aca="false">IF(F786="", "", F786*D786)</f>
        <v/>
      </c>
      <c r="H786" s="131" t="b">
        <f aca="false">FALSE()</f>
        <v>0</v>
      </c>
      <c r="I786" s="131" t="b">
        <f aca="false">FALSE()</f>
        <v>0</v>
      </c>
      <c r="J786" s="130"/>
      <c r="K786" s="110"/>
      <c r="L786" s="83"/>
      <c r="M786" s="103"/>
      <c r="N786" s="103"/>
      <c r="O786" s="103"/>
      <c r="P786" s="103"/>
      <c r="Q786" s="103"/>
      <c r="R786" s="83"/>
      <c r="S786" s="103"/>
      <c r="T786" s="103"/>
      <c r="U786" s="103"/>
    </row>
    <row r="787" customFormat="false" ht="22.5" hidden="false" customHeight="true" outlineLevel="0" collapsed="false">
      <c r="A787" s="99"/>
      <c r="B787" s="99"/>
      <c r="C787" s="99"/>
      <c r="D787" s="121"/>
      <c r="E787" s="99"/>
      <c r="F787" s="124" t="str">
        <f aca="false">IF(E787="CONTADO", 4%, IF(E787="TARJETA / CHEQUE", 3%, IF(OR(E787="FINANCIADO", E787="MCP"), 2.5%, "")))</f>
        <v/>
      </c>
      <c r="G787" s="121" t="str">
        <f aca="false">IF(F787="", "", F787*D787)</f>
        <v/>
      </c>
      <c r="H787" s="132" t="b">
        <f aca="false">FALSE()</f>
        <v>0</v>
      </c>
      <c r="I787" s="132" t="b">
        <f aca="false">FALSE()</f>
        <v>0</v>
      </c>
      <c r="J787" s="126"/>
      <c r="K787" s="99"/>
      <c r="L787" s="83"/>
      <c r="M787" s="103"/>
      <c r="N787" s="103"/>
      <c r="O787" s="103"/>
      <c r="P787" s="103"/>
      <c r="Q787" s="103"/>
      <c r="R787" s="83"/>
      <c r="S787" s="103"/>
      <c r="T787" s="103"/>
      <c r="U787" s="103"/>
    </row>
    <row r="788" customFormat="false" ht="22.5" hidden="false" customHeight="true" outlineLevel="0" collapsed="false">
      <c r="A788" s="110"/>
      <c r="B788" s="110"/>
      <c r="C788" s="110"/>
      <c r="D788" s="122"/>
      <c r="E788" s="110"/>
      <c r="F788" s="128" t="str">
        <f aca="false">IF(E788="CONTADO", 4%, IF(E788="TARJETA / CHEQUE", 3%, IF(OR(E788="FINANCIADO", E788="MCP"), 2.5%, "")))</f>
        <v/>
      </c>
      <c r="G788" s="122" t="str">
        <f aca="false">IF(F788="", "", F788*D788)</f>
        <v/>
      </c>
      <c r="H788" s="131" t="b">
        <f aca="false">FALSE()</f>
        <v>0</v>
      </c>
      <c r="I788" s="131" t="b">
        <f aca="false">FALSE()</f>
        <v>0</v>
      </c>
      <c r="J788" s="130"/>
      <c r="K788" s="110"/>
      <c r="L788" s="83"/>
      <c r="M788" s="103"/>
      <c r="N788" s="103"/>
      <c r="O788" s="103"/>
      <c r="P788" s="103"/>
      <c r="Q788" s="103"/>
      <c r="R788" s="83"/>
      <c r="S788" s="103"/>
      <c r="T788" s="103"/>
      <c r="U788" s="103"/>
    </row>
    <row r="789" customFormat="false" ht="22.5" hidden="false" customHeight="true" outlineLevel="0" collapsed="false">
      <c r="A789" s="99"/>
      <c r="B789" s="99"/>
      <c r="C789" s="99"/>
      <c r="D789" s="121"/>
      <c r="E789" s="99"/>
      <c r="F789" s="124" t="str">
        <f aca="false">IF(E789="CONTADO", 4%, IF(E789="TARJETA / CHEQUE", 3%, IF(OR(E789="FINANCIADO", E789="MCP"), 2.5%, "")))</f>
        <v/>
      </c>
      <c r="G789" s="121" t="str">
        <f aca="false">IF(F789="", "", F789*D789)</f>
        <v/>
      </c>
      <c r="H789" s="132" t="b">
        <f aca="false">FALSE()</f>
        <v>0</v>
      </c>
      <c r="I789" s="132" t="b">
        <f aca="false">FALSE()</f>
        <v>0</v>
      </c>
      <c r="J789" s="126"/>
      <c r="K789" s="99"/>
      <c r="L789" s="83"/>
      <c r="M789" s="103"/>
      <c r="N789" s="103"/>
      <c r="O789" s="103"/>
      <c r="P789" s="103"/>
      <c r="Q789" s="103"/>
      <c r="R789" s="83"/>
      <c r="S789" s="103"/>
      <c r="T789" s="103"/>
      <c r="U789" s="103"/>
    </row>
    <row r="790" customFormat="false" ht="22.5" hidden="false" customHeight="true" outlineLevel="0" collapsed="false">
      <c r="A790" s="110"/>
      <c r="B790" s="110"/>
      <c r="C790" s="110"/>
      <c r="D790" s="122"/>
      <c r="E790" s="110"/>
      <c r="F790" s="128" t="str">
        <f aca="false">IF(E790="CONTADO", 4%, IF(E790="TARJETA / CHEQUE", 3%, IF(OR(E790="FINANCIADO", E790="MCP"), 2.5%, "")))</f>
        <v/>
      </c>
      <c r="G790" s="122" t="str">
        <f aca="false">IF(F790="", "", F790*D790)</f>
        <v/>
      </c>
      <c r="H790" s="131" t="b">
        <f aca="false">FALSE()</f>
        <v>0</v>
      </c>
      <c r="I790" s="131" t="b">
        <f aca="false">FALSE()</f>
        <v>0</v>
      </c>
      <c r="J790" s="130"/>
      <c r="K790" s="110"/>
      <c r="L790" s="83"/>
      <c r="M790" s="103"/>
      <c r="N790" s="103"/>
      <c r="O790" s="103"/>
      <c r="P790" s="103"/>
      <c r="Q790" s="103"/>
      <c r="R790" s="83"/>
      <c r="S790" s="103"/>
      <c r="T790" s="103"/>
      <c r="U790" s="103"/>
    </row>
    <row r="791" customFormat="false" ht="22.5" hidden="false" customHeight="true" outlineLevel="0" collapsed="false">
      <c r="A791" s="99"/>
      <c r="B791" s="99"/>
      <c r="C791" s="99"/>
      <c r="D791" s="121"/>
      <c r="E791" s="99"/>
      <c r="F791" s="124" t="str">
        <f aca="false">IF(E791="CONTADO", 4%, IF(E791="TARJETA / CHEQUE", 3%, IF(OR(E791="FINANCIADO", E791="MCP"), 2.5%, "")))</f>
        <v/>
      </c>
      <c r="G791" s="121" t="str">
        <f aca="false">IF(F791="", "", F791*D791)</f>
        <v/>
      </c>
      <c r="H791" s="132" t="b">
        <f aca="false">FALSE()</f>
        <v>0</v>
      </c>
      <c r="I791" s="132" t="b">
        <f aca="false">FALSE()</f>
        <v>0</v>
      </c>
      <c r="J791" s="126"/>
      <c r="K791" s="99"/>
      <c r="L791" s="83"/>
      <c r="M791" s="103"/>
      <c r="N791" s="103"/>
      <c r="O791" s="103"/>
      <c r="P791" s="103"/>
      <c r="Q791" s="103"/>
      <c r="R791" s="83"/>
      <c r="S791" s="103"/>
      <c r="T791" s="103"/>
      <c r="U791" s="103"/>
    </row>
    <row r="792" customFormat="false" ht="22.5" hidden="false" customHeight="true" outlineLevel="0" collapsed="false">
      <c r="A792" s="110"/>
      <c r="B792" s="110"/>
      <c r="C792" s="110"/>
      <c r="D792" s="122"/>
      <c r="E792" s="110"/>
      <c r="F792" s="128" t="str">
        <f aca="false">IF(E792="CONTADO", 4%, IF(E792="TARJETA / CHEQUE", 3%, IF(OR(E792="FINANCIADO", E792="MCP"), 2.5%, "")))</f>
        <v/>
      </c>
      <c r="G792" s="122" t="str">
        <f aca="false">IF(F792="", "", F792*D792)</f>
        <v/>
      </c>
      <c r="H792" s="131" t="b">
        <f aca="false">FALSE()</f>
        <v>0</v>
      </c>
      <c r="I792" s="131" t="b">
        <f aca="false">FALSE()</f>
        <v>0</v>
      </c>
      <c r="J792" s="130"/>
      <c r="K792" s="110"/>
      <c r="L792" s="83"/>
      <c r="M792" s="103"/>
      <c r="N792" s="103"/>
      <c r="O792" s="103"/>
      <c r="P792" s="103"/>
      <c r="Q792" s="103"/>
      <c r="R792" s="83"/>
      <c r="S792" s="103"/>
      <c r="T792" s="103"/>
      <c r="U792" s="103"/>
    </row>
    <row r="793" customFormat="false" ht="22.5" hidden="false" customHeight="true" outlineLevel="0" collapsed="false">
      <c r="A793" s="99"/>
      <c r="B793" s="99"/>
      <c r="C793" s="99"/>
      <c r="D793" s="121"/>
      <c r="E793" s="99"/>
      <c r="F793" s="124" t="str">
        <f aca="false">IF(E793="CONTADO", 4%, IF(E793="TARJETA / CHEQUE", 3%, IF(OR(E793="FINANCIADO", E793="MCP"), 2.5%, "")))</f>
        <v/>
      </c>
      <c r="G793" s="121" t="str">
        <f aca="false">IF(F793="", "", F793*D793)</f>
        <v/>
      </c>
      <c r="H793" s="132" t="b">
        <f aca="false">FALSE()</f>
        <v>0</v>
      </c>
      <c r="I793" s="132" t="b">
        <f aca="false">FALSE()</f>
        <v>0</v>
      </c>
      <c r="J793" s="126"/>
      <c r="K793" s="99"/>
      <c r="L793" s="83"/>
      <c r="M793" s="103"/>
      <c r="N793" s="103"/>
      <c r="O793" s="103"/>
      <c r="P793" s="103"/>
      <c r="Q793" s="103"/>
      <c r="R793" s="83"/>
      <c r="S793" s="103"/>
      <c r="T793" s="103"/>
      <c r="U793" s="103"/>
    </row>
    <row r="794" customFormat="false" ht="22.5" hidden="false" customHeight="true" outlineLevel="0" collapsed="false">
      <c r="A794" s="110"/>
      <c r="B794" s="110"/>
      <c r="C794" s="110"/>
      <c r="D794" s="122"/>
      <c r="E794" s="110"/>
      <c r="F794" s="128" t="str">
        <f aca="false">IF(E794="CONTADO", 4%, IF(E794="TARJETA / CHEQUE", 3%, IF(OR(E794="FINANCIADO", E794="MCP"), 2.5%, "")))</f>
        <v/>
      </c>
      <c r="G794" s="122" t="str">
        <f aca="false">IF(F794="", "", F794*D794)</f>
        <v/>
      </c>
      <c r="H794" s="131" t="b">
        <f aca="false">FALSE()</f>
        <v>0</v>
      </c>
      <c r="I794" s="131" t="b">
        <f aca="false">FALSE()</f>
        <v>0</v>
      </c>
      <c r="J794" s="130"/>
      <c r="K794" s="110"/>
      <c r="L794" s="83"/>
      <c r="M794" s="103"/>
      <c r="N794" s="103"/>
      <c r="O794" s="103"/>
      <c r="P794" s="103"/>
      <c r="Q794" s="103"/>
      <c r="R794" s="83"/>
      <c r="S794" s="103"/>
      <c r="T794" s="103"/>
      <c r="U794" s="103"/>
    </row>
    <row r="795" customFormat="false" ht="22.5" hidden="false" customHeight="true" outlineLevel="0" collapsed="false">
      <c r="A795" s="99"/>
      <c r="B795" s="99"/>
      <c r="C795" s="99"/>
      <c r="D795" s="121"/>
      <c r="E795" s="99"/>
      <c r="F795" s="124" t="str">
        <f aca="false">IF(E795="CONTADO", 4%, IF(E795="TARJETA / CHEQUE", 3%, IF(OR(E795="FINANCIADO", E795="MCP"), 2.5%, "")))</f>
        <v/>
      </c>
      <c r="G795" s="121" t="str">
        <f aca="false">IF(F795="", "", F795*D795)</f>
        <v/>
      </c>
      <c r="H795" s="132" t="b">
        <f aca="false">FALSE()</f>
        <v>0</v>
      </c>
      <c r="I795" s="132" t="b">
        <f aca="false">FALSE()</f>
        <v>0</v>
      </c>
      <c r="J795" s="126"/>
      <c r="K795" s="99"/>
      <c r="L795" s="83"/>
      <c r="M795" s="103"/>
      <c r="N795" s="103"/>
      <c r="O795" s="103"/>
      <c r="P795" s="103"/>
      <c r="Q795" s="103"/>
      <c r="R795" s="83"/>
      <c r="S795" s="103"/>
      <c r="T795" s="103"/>
      <c r="U795" s="103"/>
    </row>
    <row r="796" customFormat="false" ht="22.5" hidden="false" customHeight="true" outlineLevel="0" collapsed="false">
      <c r="A796" s="110"/>
      <c r="B796" s="110"/>
      <c r="C796" s="110"/>
      <c r="D796" s="122"/>
      <c r="E796" s="110"/>
      <c r="F796" s="128" t="str">
        <f aca="false">IF(E796="CONTADO", 4%, IF(E796="TARJETA / CHEQUE", 3%, IF(OR(E796="FINANCIADO", E796="MCP"), 2.5%, "")))</f>
        <v/>
      </c>
      <c r="G796" s="122" t="str">
        <f aca="false">IF(F796="", "", F796*D796)</f>
        <v/>
      </c>
      <c r="H796" s="131" t="b">
        <f aca="false">FALSE()</f>
        <v>0</v>
      </c>
      <c r="I796" s="131" t="b">
        <f aca="false">FALSE()</f>
        <v>0</v>
      </c>
      <c r="J796" s="130"/>
      <c r="K796" s="110"/>
      <c r="L796" s="83"/>
      <c r="M796" s="103"/>
      <c r="N796" s="103"/>
      <c r="O796" s="103"/>
      <c r="P796" s="103"/>
      <c r="Q796" s="103"/>
      <c r="R796" s="83"/>
      <c r="S796" s="103"/>
      <c r="T796" s="103"/>
      <c r="U796" s="103"/>
    </row>
    <row r="797" customFormat="false" ht="22.5" hidden="false" customHeight="true" outlineLevel="0" collapsed="false">
      <c r="A797" s="99"/>
      <c r="B797" s="99"/>
      <c r="C797" s="99"/>
      <c r="D797" s="121"/>
      <c r="E797" s="99"/>
      <c r="F797" s="124" t="str">
        <f aca="false">IF(E797="CONTADO", 4%, IF(E797="TARJETA / CHEQUE", 3%, IF(OR(E797="FINANCIADO", E797="MCP"), 2.5%, "")))</f>
        <v/>
      </c>
      <c r="G797" s="121" t="str">
        <f aca="false">IF(F797="", "", F797*D797)</f>
        <v/>
      </c>
      <c r="H797" s="132" t="b">
        <f aca="false">FALSE()</f>
        <v>0</v>
      </c>
      <c r="I797" s="132" t="b">
        <f aca="false">FALSE()</f>
        <v>0</v>
      </c>
      <c r="J797" s="126"/>
      <c r="K797" s="99"/>
      <c r="L797" s="83"/>
      <c r="M797" s="103"/>
      <c r="N797" s="103"/>
      <c r="O797" s="103"/>
      <c r="P797" s="103"/>
      <c r="Q797" s="103"/>
      <c r="R797" s="83"/>
      <c r="S797" s="103"/>
      <c r="T797" s="103"/>
      <c r="U797" s="103"/>
    </row>
    <row r="798" customFormat="false" ht="22.5" hidden="false" customHeight="true" outlineLevel="0" collapsed="false">
      <c r="A798" s="110"/>
      <c r="B798" s="110"/>
      <c r="C798" s="110"/>
      <c r="D798" s="122"/>
      <c r="E798" s="110"/>
      <c r="F798" s="128" t="str">
        <f aca="false">IF(E798="CONTADO", 4%, IF(E798="TARJETA / CHEQUE", 3%, IF(OR(E798="FINANCIADO", E798="MCP"), 2.5%, "")))</f>
        <v/>
      </c>
      <c r="G798" s="122" t="str">
        <f aca="false">IF(F798="", "", F798*D798)</f>
        <v/>
      </c>
      <c r="H798" s="131" t="b">
        <f aca="false">FALSE()</f>
        <v>0</v>
      </c>
      <c r="I798" s="131" t="b">
        <f aca="false">FALSE()</f>
        <v>0</v>
      </c>
      <c r="J798" s="130"/>
      <c r="K798" s="110"/>
      <c r="L798" s="83"/>
      <c r="M798" s="103"/>
      <c r="N798" s="103"/>
      <c r="O798" s="103"/>
      <c r="P798" s="103"/>
      <c r="Q798" s="103"/>
      <c r="R798" s="83"/>
      <c r="S798" s="103"/>
      <c r="T798" s="103"/>
      <c r="U798" s="103"/>
    </row>
    <row r="799" customFormat="false" ht="22.5" hidden="false" customHeight="true" outlineLevel="0" collapsed="false">
      <c r="A799" s="99"/>
      <c r="B799" s="99"/>
      <c r="C799" s="99"/>
      <c r="D799" s="121"/>
      <c r="E799" s="99"/>
      <c r="F799" s="124" t="str">
        <f aca="false">IF(E799="CONTADO", 4%, IF(E799="TARJETA / CHEQUE", 3%, IF(OR(E799="FINANCIADO", E799="MCP"), 2.5%, "")))</f>
        <v/>
      </c>
      <c r="G799" s="121" t="str">
        <f aca="false">IF(F799="", "", F799*D799)</f>
        <v/>
      </c>
      <c r="H799" s="132" t="b">
        <f aca="false">FALSE()</f>
        <v>0</v>
      </c>
      <c r="I799" s="132" t="b">
        <f aca="false">FALSE()</f>
        <v>0</v>
      </c>
      <c r="J799" s="126"/>
      <c r="K799" s="99"/>
      <c r="L799" s="83"/>
      <c r="M799" s="103"/>
      <c r="N799" s="103"/>
      <c r="O799" s="103"/>
      <c r="P799" s="103"/>
      <c r="Q799" s="103"/>
      <c r="R799" s="83"/>
      <c r="S799" s="103"/>
      <c r="T799" s="103"/>
      <c r="U799" s="103"/>
    </row>
    <row r="800" customFormat="false" ht="22.5" hidden="false" customHeight="true" outlineLevel="0" collapsed="false">
      <c r="A800" s="110"/>
      <c r="B800" s="110"/>
      <c r="C800" s="110"/>
      <c r="D800" s="122"/>
      <c r="E800" s="110"/>
      <c r="F800" s="128" t="str">
        <f aca="false">IF(E800="CONTADO", 4%, IF(E800="TARJETA / CHEQUE", 3%, IF(OR(E800="FINANCIADO", E800="MCP"), 2.5%, "")))</f>
        <v/>
      </c>
      <c r="G800" s="122" t="str">
        <f aca="false">IF(F800="", "", F800*D800)</f>
        <v/>
      </c>
      <c r="H800" s="131" t="b">
        <f aca="false">FALSE()</f>
        <v>0</v>
      </c>
      <c r="I800" s="131" t="b">
        <f aca="false">FALSE()</f>
        <v>0</v>
      </c>
      <c r="J800" s="130"/>
      <c r="K800" s="110"/>
      <c r="L800" s="83"/>
      <c r="M800" s="103"/>
      <c r="N800" s="103"/>
      <c r="O800" s="103"/>
      <c r="P800" s="103"/>
      <c r="Q800" s="103"/>
      <c r="R800" s="83"/>
      <c r="S800" s="103"/>
      <c r="T800" s="103"/>
      <c r="U800" s="103"/>
    </row>
    <row r="801" customFormat="false" ht="22.5" hidden="false" customHeight="true" outlineLevel="0" collapsed="false">
      <c r="A801" s="99"/>
      <c r="B801" s="99"/>
      <c r="C801" s="99"/>
      <c r="D801" s="121"/>
      <c r="E801" s="99"/>
      <c r="F801" s="124" t="str">
        <f aca="false">IF(E801="CONTADO", 4%, IF(E801="TARJETA / CHEQUE", 3%, IF(OR(E801="FINANCIADO", E801="MCP"), 2.5%, "")))</f>
        <v/>
      </c>
      <c r="G801" s="121" t="str">
        <f aca="false">IF(F801="", "", F801*D801)</f>
        <v/>
      </c>
      <c r="H801" s="132" t="b">
        <f aca="false">FALSE()</f>
        <v>0</v>
      </c>
      <c r="I801" s="132" t="b">
        <f aca="false">FALSE()</f>
        <v>0</v>
      </c>
      <c r="J801" s="126"/>
      <c r="K801" s="99"/>
      <c r="L801" s="83"/>
      <c r="M801" s="103"/>
      <c r="N801" s="103"/>
      <c r="O801" s="103"/>
      <c r="P801" s="103"/>
      <c r="Q801" s="103"/>
      <c r="R801" s="83"/>
      <c r="S801" s="103"/>
      <c r="T801" s="103"/>
      <c r="U801" s="103"/>
    </row>
    <row r="802" customFormat="false" ht="22.5" hidden="false" customHeight="true" outlineLevel="0" collapsed="false">
      <c r="A802" s="110"/>
      <c r="B802" s="110"/>
      <c r="C802" s="110"/>
      <c r="D802" s="122"/>
      <c r="E802" s="110"/>
      <c r="F802" s="128" t="str">
        <f aca="false">IF(E802="CONTADO", 4%, IF(E802="TARJETA / CHEQUE", 3%, IF(OR(E802="FINANCIADO", E802="MCP"), 2.5%, "")))</f>
        <v/>
      </c>
      <c r="G802" s="122" t="str">
        <f aca="false">IF(F802="", "", F802*D802)</f>
        <v/>
      </c>
      <c r="H802" s="131" t="b">
        <f aca="false">FALSE()</f>
        <v>0</v>
      </c>
      <c r="I802" s="131" t="b">
        <f aca="false">FALSE()</f>
        <v>0</v>
      </c>
      <c r="J802" s="130"/>
      <c r="K802" s="110"/>
      <c r="L802" s="83"/>
      <c r="M802" s="103"/>
      <c r="N802" s="103"/>
      <c r="O802" s="103"/>
      <c r="P802" s="103"/>
      <c r="Q802" s="103"/>
      <c r="R802" s="83"/>
      <c r="S802" s="103"/>
      <c r="T802" s="103"/>
      <c r="U802" s="103"/>
    </row>
    <row r="803" customFormat="false" ht="22.5" hidden="false" customHeight="true" outlineLevel="0" collapsed="false">
      <c r="A803" s="99"/>
      <c r="B803" s="99"/>
      <c r="C803" s="99"/>
      <c r="D803" s="121"/>
      <c r="E803" s="99"/>
      <c r="F803" s="124" t="str">
        <f aca="false">IF(E803="CONTADO", 4%, IF(E803="TARJETA / CHEQUE", 3%, IF(OR(E803="FINANCIADO", E803="MCP"), 2.5%, "")))</f>
        <v/>
      </c>
      <c r="G803" s="121" t="str">
        <f aca="false">IF(F803="", "", F803*D803)</f>
        <v/>
      </c>
      <c r="H803" s="132" t="b">
        <f aca="false">FALSE()</f>
        <v>0</v>
      </c>
      <c r="I803" s="132" t="b">
        <f aca="false">FALSE()</f>
        <v>0</v>
      </c>
      <c r="J803" s="126"/>
      <c r="K803" s="99"/>
      <c r="L803" s="83"/>
      <c r="M803" s="103"/>
      <c r="N803" s="103"/>
      <c r="O803" s="103"/>
      <c r="P803" s="103"/>
      <c r="Q803" s="103"/>
      <c r="R803" s="83"/>
      <c r="S803" s="103"/>
      <c r="T803" s="103"/>
      <c r="U803" s="103"/>
    </row>
    <row r="804" customFormat="false" ht="22.5" hidden="false" customHeight="true" outlineLevel="0" collapsed="false">
      <c r="A804" s="110"/>
      <c r="B804" s="110"/>
      <c r="C804" s="110"/>
      <c r="D804" s="122"/>
      <c r="E804" s="110"/>
      <c r="F804" s="128" t="str">
        <f aca="false">IF(E804="CONTADO", 4%, IF(E804="TARJETA / CHEQUE", 3%, IF(OR(E804="FINANCIADO", E804="MCP"), 2.5%, "")))</f>
        <v/>
      </c>
      <c r="G804" s="122" t="str">
        <f aca="false">IF(F804="", "", F804*D804)</f>
        <v/>
      </c>
      <c r="H804" s="131" t="b">
        <f aca="false">FALSE()</f>
        <v>0</v>
      </c>
      <c r="I804" s="131" t="b">
        <f aca="false">FALSE()</f>
        <v>0</v>
      </c>
      <c r="J804" s="130"/>
      <c r="K804" s="110"/>
      <c r="L804" s="83"/>
      <c r="M804" s="103"/>
      <c r="N804" s="103"/>
      <c r="O804" s="103"/>
      <c r="P804" s="103"/>
      <c r="Q804" s="103"/>
      <c r="R804" s="83"/>
      <c r="S804" s="103"/>
      <c r="T804" s="103"/>
      <c r="U804" s="103"/>
    </row>
    <row r="805" customFormat="false" ht="22.5" hidden="false" customHeight="true" outlineLevel="0" collapsed="false">
      <c r="A805" s="99"/>
      <c r="B805" s="99"/>
      <c r="C805" s="99"/>
      <c r="D805" s="121"/>
      <c r="E805" s="99"/>
      <c r="F805" s="124" t="str">
        <f aca="false">IF(E805="CONTADO", 4%, IF(E805="TARJETA / CHEQUE", 3%, IF(OR(E805="FINANCIADO", E805="MCP"), 2.5%, "")))</f>
        <v/>
      </c>
      <c r="G805" s="121" t="str">
        <f aca="false">IF(F805="", "", F805*D805)</f>
        <v/>
      </c>
      <c r="H805" s="132" t="b">
        <f aca="false">FALSE()</f>
        <v>0</v>
      </c>
      <c r="I805" s="132" t="b">
        <f aca="false">FALSE()</f>
        <v>0</v>
      </c>
      <c r="J805" s="126"/>
      <c r="K805" s="99"/>
      <c r="L805" s="83"/>
      <c r="M805" s="103"/>
      <c r="N805" s="103"/>
      <c r="O805" s="103"/>
      <c r="P805" s="103"/>
      <c r="Q805" s="103"/>
      <c r="R805" s="83"/>
      <c r="S805" s="103"/>
      <c r="T805" s="103"/>
      <c r="U805" s="103"/>
    </row>
    <row r="806" customFormat="false" ht="22.5" hidden="false" customHeight="true" outlineLevel="0" collapsed="false">
      <c r="A806" s="110"/>
      <c r="B806" s="110"/>
      <c r="C806" s="110"/>
      <c r="D806" s="122"/>
      <c r="E806" s="110"/>
      <c r="F806" s="128" t="str">
        <f aca="false">IF(E806="CONTADO", 4%, IF(E806="TARJETA / CHEQUE", 3%, IF(OR(E806="FINANCIADO", E806="MCP"), 2.5%, "")))</f>
        <v/>
      </c>
      <c r="G806" s="122" t="str">
        <f aca="false">IF(F806="", "", F806*D806)</f>
        <v/>
      </c>
      <c r="H806" s="131" t="b">
        <f aca="false">FALSE()</f>
        <v>0</v>
      </c>
      <c r="I806" s="131" t="b">
        <f aca="false">FALSE()</f>
        <v>0</v>
      </c>
      <c r="J806" s="130"/>
      <c r="K806" s="110"/>
      <c r="L806" s="83"/>
      <c r="M806" s="103"/>
      <c r="N806" s="103"/>
      <c r="O806" s="103"/>
      <c r="P806" s="103"/>
      <c r="Q806" s="103"/>
      <c r="R806" s="83"/>
      <c r="S806" s="103"/>
      <c r="T806" s="103"/>
      <c r="U806" s="103"/>
    </row>
    <row r="807" customFormat="false" ht="22.5" hidden="false" customHeight="true" outlineLevel="0" collapsed="false">
      <c r="A807" s="99"/>
      <c r="B807" s="99"/>
      <c r="C807" s="99"/>
      <c r="D807" s="121"/>
      <c r="E807" s="99"/>
      <c r="F807" s="124" t="str">
        <f aca="false">IF(E807="CONTADO", 4%, IF(E807="TARJETA / CHEQUE", 3%, IF(OR(E807="FINANCIADO", E807="MCP"), 2.5%, "")))</f>
        <v/>
      </c>
      <c r="G807" s="121" t="str">
        <f aca="false">IF(F807="", "", F807*D807)</f>
        <v/>
      </c>
      <c r="H807" s="132" t="b">
        <f aca="false">FALSE()</f>
        <v>0</v>
      </c>
      <c r="I807" s="132" t="b">
        <f aca="false">FALSE()</f>
        <v>0</v>
      </c>
      <c r="J807" s="126"/>
      <c r="K807" s="99"/>
      <c r="L807" s="83"/>
      <c r="M807" s="103"/>
      <c r="N807" s="103"/>
      <c r="O807" s="103"/>
      <c r="P807" s="103"/>
      <c r="Q807" s="103"/>
      <c r="R807" s="83"/>
      <c r="S807" s="103"/>
      <c r="T807" s="103"/>
      <c r="U807" s="103"/>
    </row>
    <row r="808" customFormat="false" ht="22.5" hidden="false" customHeight="true" outlineLevel="0" collapsed="false">
      <c r="A808" s="110"/>
      <c r="B808" s="110"/>
      <c r="C808" s="110"/>
      <c r="D808" s="122"/>
      <c r="E808" s="110"/>
      <c r="F808" s="128" t="str">
        <f aca="false">IF(E808="CONTADO", 4%, IF(E808="TARJETA / CHEQUE", 3%, IF(OR(E808="FINANCIADO", E808="MCP"), 2.5%, "")))</f>
        <v/>
      </c>
      <c r="G808" s="122" t="str">
        <f aca="false">IF(F808="", "", F808*D808)</f>
        <v/>
      </c>
      <c r="H808" s="131" t="b">
        <f aca="false">FALSE()</f>
        <v>0</v>
      </c>
      <c r="I808" s="131" t="b">
        <f aca="false">FALSE()</f>
        <v>0</v>
      </c>
      <c r="J808" s="130"/>
      <c r="K808" s="110"/>
      <c r="L808" s="83"/>
      <c r="M808" s="103"/>
      <c r="N808" s="103"/>
      <c r="O808" s="103"/>
      <c r="P808" s="103"/>
      <c r="Q808" s="103"/>
      <c r="R808" s="83"/>
      <c r="S808" s="103"/>
      <c r="T808" s="103"/>
      <c r="U808" s="103"/>
    </row>
    <row r="809" customFormat="false" ht="22.5" hidden="false" customHeight="true" outlineLevel="0" collapsed="false">
      <c r="A809" s="99"/>
      <c r="B809" s="99"/>
      <c r="C809" s="99"/>
      <c r="D809" s="121"/>
      <c r="E809" s="99"/>
      <c r="F809" s="124" t="str">
        <f aca="false">IF(E809="CONTADO", 4%, IF(E809="TARJETA / CHEQUE", 3%, IF(OR(E809="FINANCIADO", E809="MCP"), 2.5%, "")))</f>
        <v/>
      </c>
      <c r="G809" s="121" t="str">
        <f aca="false">IF(F809="", "", F809*D809)</f>
        <v/>
      </c>
      <c r="H809" s="132" t="b">
        <f aca="false">FALSE()</f>
        <v>0</v>
      </c>
      <c r="I809" s="132" t="b">
        <f aca="false">FALSE()</f>
        <v>0</v>
      </c>
      <c r="J809" s="126"/>
      <c r="K809" s="99"/>
      <c r="L809" s="83"/>
      <c r="M809" s="103"/>
      <c r="N809" s="103"/>
      <c r="O809" s="103"/>
      <c r="P809" s="103"/>
      <c r="Q809" s="103"/>
      <c r="R809" s="83"/>
      <c r="S809" s="103"/>
      <c r="T809" s="103"/>
      <c r="U809" s="103"/>
    </row>
    <row r="810" customFormat="false" ht="22.5" hidden="false" customHeight="true" outlineLevel="0" collapsed="false">
      <c r="A810" s="110"/>
      <c r="B810" s="110"/>
      <c r="C810" s="110"/>
      <c r="D810" s="122"/>
      <c r="E810" s="110"/>
      <c r="F810" s="128" t="str">
        <f aca="false">IF(E810="CONTADO", 4%, IF(E810="TARJETA / CHEQUE", 3%, IF(OR(E810="FINANCIADO", E810="MCP"), 2.5%, "")))</f>
        <v/>
      </c>
      <c r="G810" s="122" t="str">
        <f aca="false">IF(F810="", "", F810*D810)</f>
        <v/>
      </c>
      <c r="H810" s="131" t="b">
        <f aca="false">FALSE()</f>
        <v>0</v>
      </c>
      <c r="I810" s="131" t="b">
        <f aca="false">FALSE()</f>
        <v>0</v>
      </c>
      <c r="J810" s="130"/>
      <c r="K810" s="110"/>
      <c r="L810" s="83"/>
      <c r="M810" s="103"/>
      <c r="N810" s="103"/>
      <c r="O810" s="103"/>
      <c r="P810" s="103"/>
      <c r="Q810" s="103"/>
      <c r="R810" s="83"/>
      <c r="S810" s="103"/>
      <c r="T810" s="103"/>
      <c r="U810" s="103"/>
    </row>
    <row r="811" customFormat="false" ht="22.5" hidden="false" customHeight="true" outlineLevel="0" collapsed="false">
      <c r="A811" s="99"/>
      <c r="B811" s="99"/>
      <c r="C811" s="99"/>
      <c r="D811" s="121"/>
      <c r="E811" s="99"/>
      <c r="F811" s="124" t="str">
        <f aca="false">IF(E811="CONTADO", 4%, IF(E811="TARJETA / CHEQUE", 3%, IF(OR(E811="FINANCIADO", E811="MCP"), 2.5%, "")))</f>
        <v/>
      </c>
      <c r="G811" s="121" t="str">
        <f aca="false">IF(F811="", "", F811*D811)</f>
        <v/>
      </c>
      <c r="H811" s="132" t="b">
        <f aca="false">FALSE()</f>
        <v>0</v>
      </c>
      <c r="I811" s="132" t="b">
        <f aca="false">FALSE()</f>
        <v>0</v>
      </c>
      <c r="J811" s="126"/>
      <c r="K811" s="99"/>
      <c r="L811" s="83"/>
      <c r="M811" s="103"/>
      <c r="N811" s="103"/>
      <c r="O811" s="103"/>
      <c r="P811" s="103"/>
      <c r="Q811" s="103"/>
      <c r="R811" s="83"/>
      <c r="S811" s="103"/>
      <c r="T811" s="103"/>
      <c r="U811" s="103"/>
    </row>
    <row r="812" customFormat="false" ht="22.5" hidden="false" customHeight="true" outlineLevel="0" collapsed="false">
      <c r="A812" s="110"/>
      <c r="B812" s="110"/>
      <c r="C812" s="110"/>
      <c r="D812" s="122"/>
      <c r="E812" s="110"/>
      <c r="F812" s="128" t="str">
        <f aca="false">IF(E812="CONTADO", 4%, IF(E812="TARJETA / CHEQUE", 3%, IF(OR(E812="FINANCIADO", E812="MCP"), 2.5%, "")))</f>
        <v/>
      </c>
      <c r="G812" s="122" t="str">
        <f aca="false">IF(F812="", "", F812*D812)</f>
        <v/>
      </c>
      <c r="H812" s="131" t="b">
        <f aca="false">FALSE()</f>
        <v>0</v>
      </c>
      <c r="I812" s="131" t="b">
        <f aca="false">FALSE()</f>
        <v>0</v>
      </c>
      <c r="J812" s="130"/>
      <c r="K812" s="110"/>
      <c r="L812" s="83"/>
      <c r="M812" s="103"/>
      <c r="N812" s="103"/>
      <c r="O812" s="103"/>
      <c r="P812" s="103"/>
      <c r="Q812" s="103"/>
      <c r="R812" s="83"/>
      <c r="S812" s="103"/>
      <c r="T812" s="103"/>
      <c r="U812" s="103"/>
    </row>
    <row r="813" customFormat="false" ht="22.5" hidden="false" customHeight="true" outlineLevel="0" collapsed="false">
      <c r="A813" s="99"/>
      <c r="B813" s="99"/>
      <c r="C813" s="99"/>
      <c r="D813" s="121"/>
      <c r="E813" s="99"/>
      <c r="F813" s="124" t="str">
        <f aca="false">IF(E813="CONTADO", 4%, IF(E813="TARJETA / CHEQUE", 3%, IF(OR(E813="FINANCIADO", E813="MCP"), 2.5%, "")))</f>
        <v/>
      </c>
      <c r="G813" s="121" t="str">
        <f aca="false">IF(F813="", "", F813*D813)</f>
        <v/>
      </c>
      <c r="H813" s="132" t="b">
        <f aca="false">FALSE()</f>
        <v>0</v>
      </c>
      <c r="I813" s="132" t="b">
        <f aca="false">FALSE()</f>
        <v>0</v>
      </c>
      <c r="J813" s="126"/>
      <c r="K813" s="99"/>
      <c r="L813" s="83"/>
      <c r="M813" s="103"/>
      <c r="N813" s="103"/>
      <c r="O813" s="103"/>
      <c r="P813" s="103"/>
      <c r="Q813" s="103"/>
      <c r="R813" s="83"/>
      <c r="S813" s="103"/>
      <c r="T813" s="103"/>
      <c r="U813" s="103"/>
    </row>
    <row r="814" customFormat="false" ht="22.5" hidden="false" customHeight="true" outlineLevel="0" collapsed="false">
      <c r="A814" s="110"/>
      <c r="B814" s="110"/>
      <c r="C814" s="110"/>
      <c r="D814" s="122"/>
      <c r="E814" s="110"/>
      <c r="F814" s="128" t="str">
        <f aca="false">IF(E814="CONTADO", 4%, IF(E814="TARJETA / CHEQUE", 3%, IF(OR(E814="FINANCIADO", E814="MCP"), 2.5%, "")))</f>
        <v/>
      </c>
      <c r="G814" s="122" t="str">
        <f aca="false">IF(F814="", "", F814*D814)</f>
        <v/>
      </c>
      <c r="H814" s="131" t="b">
        <f aca="false">FALSE()</f>
        <v>0</v>
      </c>
      <c r="I814" s="131" t="b">
        <f aca="false">FALSE()</f>
        <v>0</v>
      </c>
      <c r="J814" s="130"/>
      <c r="K814" s="110"/>
      <c r="L814" s="83"/>
      <c r="M814" s="103"/>
      <c r="N814" s="103"/>
      <c r="O814" s="103"/>
      <c r="P814" s="103"/>
      <c r="Q814" s="103"/>
      <c r="R814" s="83"/>
      <c r="S814" s="103"/>
      <c r="T814" s="103"/>
      <c r="U814" s="103"/>
    </row>
    <row r="815" customFormat="false" ht="22.5" hidden="false" customHeight="true" outlineLevel="0" collapsed="false">
      <c r="A815" s="99"/>
      <c r="B815" s="99"/>
      <c r="C815" s="99"/>
      <c r="D815" s="121"/>
      <c r="E815" s="99"/>
      <c r="F815" s="124" t="str">
        <f aca="false">IF(E815="CONTADO", 4%, IF(E815="TARJETA / CHEQUE", 3%, IF(OR(E815="FINANCIADO", E815="MCP"), 2.5%, "")))</f>
        <v/>
      </c>
      <c r="G815" s="121" t="str">
        <f aca="false">IF(F815="", "", F815*D815)</f>
        <v/>
      </c>
      <c r="H815" s="132" t="b">
        <f aca="false">FALSE()</f>
        <v>0</v>
      </c>
      <c r="I815" s="132" t="b">
        <f aca="false">FALSE()</f>
        <v>0</v>
      </c>
      <c r="J815" s="126"/>
      <c r="K815" s="99"/>
      <c r="L815" s="83"/>
      <c r="M815" s="103"/>
      <c r="N815" s="103"/>
      <c r="O815" s="103"/>
      <c r="P815" s="103"/>
      <c r="Q815" s="103"/>
      <c r="R815" s="83"/>
      <c r="S815" s="103"/>
      <c r="T815" s="103"/>
      <c r="U815" s="103"/>
    </row>
    <row r="816" customFormat="false" ht="22.5" hidden="false" customHeight="true" outlineLevel="0" collapsed="false">
      <c r="A816" s="110"/>
      <c r="B816" s="110"/>
      <c r="C816" s="110"/>
      <c r="D816" s="122"/>
      <c r="E816" s="110"/>
      <c r="F816" s="128" t="str">
        <f aca="false">IF(E816="CONTADO", 4%, IF(E816="TARJETA / CHEQUE", 3%, IF(OR(E816="FINANCIADO", E816="MCP"), 2.5%, "")))</f>
        <v/>
      </c>
      <c r="G816" s="122" t="str">
        <f aca="false">IF(F816="", "", F816*D816)</f>
        <v/>
      </c>
      <c r="H816" s="131" t="b">
        <f aca="false">FALSE()</f>
        <v>0</v>
      </c>
      <c r="I816" s="131" t="b">
        <f aca="false">FALSE()</f>
        <v>0</v>
      </c>
      <c r="J816" s="130"/>
      <c r="K816" s="110"/>
      <c r="L816" s="83"/>
      <c r="M816" s="103"/>
      <c r="N816" s="103"/>
      <c r="O816" s="103"/>
      <c r="P816" s="103"/>
      <c r="Q816" s="103"/>
      <c r="R816" s="83"/>
      <c r="S816" s="103"/>
      <c r="T816" s="103"/>
      <c r="U816" s="103"/>
    </row>
    <row r="817" customFormat="false" ht="22.5" hidden="false" customHeight="true" outlineLevel="0" collapsed="false">
      <c r="A817" s="99"/>
      <c r="B817" s="99"/>
      <c r="C817" s="99"/>
      <c r="D817" s="121"/>
      <c r="E817" s="99"/>
      <c r="F817" s="124" t="str">
        <f aca="false">IF(E817="CONTADO", 4%, IF(E817="TARJETA / CHEQUE", 3%, IF(OR(E817="FINANCIADO", E817="MCP"), 2.5%, "")))</f>
        <v/>
      </c>
      <c r="G817" s="121" t="str">
        <f aca="false">IF(F817="", "", F817*D817)</f>
        <v/>
      </c>
      <c r="H817" s="132" t="b">
        <f aca="false">FALSE()</f>
        <v>0</v>
      </c>
      <c r="I817" s="132" t="b">
        <f aca="false">FALSE()</f>
        <v>0</v>
      </c>
      <c r="J817" s="126"/>
      <c r="K817" s="99"/>
      <c r="L817" s="83"/>
      <c r="M817" s="103"/>
      <c r="N817" s="103"/>
      <c r="O817" s="103"/>
      <c r="P817" s="103"/>
      <c r="Q817" s="103"/>
      <c r="R817" s="83"/>
      <c r="S817" s="103"/>
      <c r="T817" s="103"/>
      <c r="U817" s="103"/>
    </row>
    <row r="818" customFormat="false" ht="22.5" hidden="false" customHeight="true" outlineLevel="0" collapsed="false">
      <c r="A818" s="110"/>
      <c r="B818" s="110"/>
      <c r="C818" s="110"/>
      <c r="D818" s="122"/>
      <c r="E818" s="110"/>
      <c r="F818" s="128" t="str">
        <f aca="false">IF(E818="CONTADO", 4%, IF(E818="TARJETA / CHEQUE", 3%, IF(OR(E818="FINANCIADO", E818="MCP"), 2.5%, "")))</f>
        <v/>
      </c>
      <c r="G818" s="122" t="str">
        <f aca="false">IF(F818="", "", F818*D818)</f>
        <v/>
      </c>
      <c r="H818" s="131" t="b">
        <f aca="false">FALSE()</f>
        <v>0</v>
      </c>
      <c r="I818" s="131" t="b">
        <f aca="false">FALSE()</f>
        <v>0</v>
      </c>
      <c r="J818" s="130"/>
      <c r="K818" s="110"/>
      <c r="L818" s="83"/>
      <c r="M818" s="103"/>
      <c r="N818" s="103"/>
      <c r="O818" s="103"/>
      <c r="P818" s="103"/>
      <c r="Q818" s="103"/>
      <c r="R818" s="83"/>
      <c r="S818" s="103"/>
      <c r="T818" s="103"/>
      <c r="U818" s="103"/>
    </row>
    <row r="819" customFormat="false" ht="22.5" hidden="false" customHeight="true" outlineLevel="0" collapsed="false">
      <c r="A819" s="99"/>
      <c r="B819" s="99"/>
      <c r="C819" s="99"/>
      <c r="D819" s="121"/>
      <c r="E819" s="99"/>
      <c r="F819" s="124" t="str">
        <f aca="false">IF(E819="CONTADO", 4%, IF(E819="TARJETA / CHEQUE", 3%, IF(OR(E819="FINANCIADO", E819="MCP"), 2.5%, "")))</f>
        <v/>
      </c>
      <c r="G819" s="121" t="str">
        <f aca="false">IF(F819="", "", F819*D819)</f>
        <v/>
      </c>
      <c r="H819" s="132" t="b">
        <f aca="false">FALSE()</f>
        <v>0</v>
      </c>
      <c r="I819" s="132" t="b">
        <f aca="false">FALSE()</f>
        <v>0</v>
      </c>
      <c r="J819" s="126"/>
      <c r="K819" s="99"/>
      <c r="L819" s="83"/>
      <c r="M819" s="103"/>
      <c r="N819" s="103"/>
      <c r="O819" s="103"/>
      <c r="P819" s="103"/>
      <c r="Q819" s="103"/>
      <c r="R819" s="83"/>
      <c r="S819" s="103"/>
      <c r="T819" s="103"/>
      <c r="U819" s="103"/>
    </row>
    <row r="820" customFormat="false" ht="22.5" hidden="false" customHeight="true" outlineLevel="0" collapsed="false">
      <c r="A820" s="110"/>
      <c r="B820" s="110"/>
      <c r="C820" s="110"/>
      <c r="D820" s="122"/>
      <c r="E820" s="110"/>
      <c r="F820" s="128" t="str">
        <f aca="false">IF(E820="CONTADO", 4%, IF(E820="TARJETA / CHEQUE", 3%, IF(OR(E820="FINANCIADO", E820="MCP"), 2.5%, "")))</f>
        <v/>
      </c>
      <c r="G820" s="122" t="str">
        <f aca="false">IF(F820="", "", F820*D820)</f>
        <v/>
      </c>
      <c r="H820" s="131" t="b">
        <f aca="false">FALSE()</f>
        <v>0</v>
      </c>
      <c r="I820" s="131" t="b">
        <f aca="false">FALSE()</f>
        <v>0</v>
      </c>
      <c r="J820" s="130"/>
      <c r="K820" s="110"/>
      <c r="L820" s="83"/>
      <c r="M820" s="103"/>
      <c r="N820" s="103"/>
      <c r="O820" s="103"/>
      <c r="P820" s="103"/>
      <c r="Q820" s="103"/>
      <c r="R820" s="83"/>
      <c r="S820" s="103"/>
      <c r="T820" s="103"/>
      <c r="U820" s="103"/>
    </row>
    <row r="821" customFormat="false" ht="22.5" hidden="false" customHeight="true" outlineLevel="0" collapsed="false">
      <c r="A821" s="99"/>
      <c r="B821" s="99"/>
      <c r="C821" s="99"/>
      <c r="D821" s="121"/>
      <c r="E821" s="99"/>
      <c r="F821" s="124" t="str">
        <f aca="false">IF(E821="CONTADO", 4%, IF(E821="TARJETA / CHEQUE", 3%, IF(OR(E821="FINANCIADO", E821="MCP"), 2.5%, "")))</f>
        <v/>
      </c>
      <c r="G821" s="121" t="str">
        <f aca="false">IF(F821="", "", F821*D821)</f>
        <v/>
      </c>
      <c r="H821" s="132" t="b">
        <f aca="false">FALSE()</f>
        <v>0</v>
      </c>
      <c r="I821" s="132" t="b">
        <f aca="false">FALSE()</f>
        <v>0</v>
      </c>
      <c r="J821" s="126"/>
      <c r="K821" s="99"/>
      <c r="L821" s="83"/>
      <c r="M821" s="103"/>
      <c r="N821" s="103"/>
      <c r="O821" s="103"/>
      <c r="P821" s="103"/>
      <c r="Q821" s="103"/>
      <c r="R821" s="83"/>
      <c r="S821" s="103"/>
      <c r="T821" s="103"/>
      <c r="U821" s="103"/>
    </row>
    <row r="822" customFormat="false" ht="22.5" hidden="false" customHeight="true" outlineLevel="0" collapsed="false">
      <c r="A822" s="110"/>
      <c r="B822" s="110"/>
      <c r="C822" s="110"/>
      <c r="D822" s="122"/>
      <c r="E822" s="110"/>
      <c r="F822" s="128" t="str">
        <f aca="false">IF(E822="CONTADO", 4%, IF(E822="TARJETA / CHEQUE", 3%, IF(OR(E822="FINANCIADO", E822="MCP"), 2.5%, "")))</f>
        <v/>
      </c>
      <c r="G822" s="122" t="str">
        <f aca="false">IF(F822="", "", F822*D822)</f>
        <v/>
      </c>
      <c r="H822" s="131" t="b">
        <f aca="false">FALSE()</f>
        <v>0</v>
      </c>
      <c r="I822" s="131" t="b">
        <f aca="false">FALSE()</f>
        <v>0</v>
      </c>
      <c r="J822" s="130"/>
      <c r="K822" s="110"/>
      <c r="L822" s="83"/>
      <c r="M822" s="103"/>
      <c r="N822" s="103"/>
      <c r="O822" s="103"/>
      <c r="P822" s="103"/>
      <c r="Q822" s="103"/>
      <c r="R822" s="83"/>
      <c r="S822" s="103"/>
      <c r="T822" s="103"/>
      <c r="U822" s="103"/>
    </row>
    <row r="823" customFormat="false" ht="22.5" hidden="false" customHeight="true" outlineLevel="0" collapsed="false">
      <c r="A823" s="99"/>
      <c r="B823" s="99"/>
      <c r="C823" s="99"/>
      <c r="D823" s="121"/>
      <c r="E823" s="99"/>
      <c r="F823" s="124" t="str">
        <f aca="false">IF(E823="CONTADO", 4%, IF(E823="TARJETA / CHEQUE", 3%, IF(OR(E823="FINANCIADO", E823="MCP"), 2.5%, "")))</f>
        <v/>
      </c>
      <c r="G823" s="121" t="str">
        <f aca="false">IF(F823="", "", F823*D823)</f>
        <v/>
      </c>
      <c r="H823" s="132" t="b">
        <f aca="false">FALSE()</f>
        <v>0</v>
      </c>
      <c r="I823" s="132" t="b">
        <f aca="false">FALSE()</f>
        <v>0</v>
      </c>
      <c r="J823" s="126"/>
      <c r="K823" s="99"/>
      <c r="L823" s="83"/>
      <c r="M823" s="103"/>
      <c r="N823" s="103"/>
      <c r="O823" s="103"/>
      <c r="P823" s="103"/>
      <c r="Q823" s="103"/>
      <c r="R823" s="83"/>
      <c r="S823" s="103"/>
      <c r="T823" s="103"/>
      <c r="U823" s="103"/>
    </row>
    <row r="824" customFormat="false" ht="22.5" hidden="false" customHeight="true" outlineLevel="0" collapsed="false">
      <c r="A824" s="110"/>
      <c r="B824" s="110"/>
      <c r="C824" s="110"/>
      <c r="D824" s="122"/>
      <c r="E824" s="110"/>
      <c r="F824" s="128" t="str">
        <f aca="false">IF(E824="CONTADO", 4%, IF(E824="TARJETA / CHEQUE", 3%, IF(OR(E824="FINANCIADO", E824="MCP"), 2.5%, "")))</f>
        <v/>
      </c>
      <c r="G824" s="122" t="str">
        <f aca="false">IF(F824="", "", F824*D824)</f>
        <v/>
      </c>
      <c r="H824" s="131" t="b">
        <f aca="false">FALSE()</f>
        <v>0</v>
      </c>
      <c r="I824" s="131" t="b">
        <f aca="false">FALSE()</f>
        <v>0</v>
      </c>
      <c r="J824" s="130"/>
      <c r="K824" s="110"/>
      <c r="L824" s="83"/>
      <c r="M824" s="103"/>
      <c r="N824" s="103"/>
      <c r="O824" s="103"/>
      <c r="P824" s="103"/>
      <c r="Q824" s="103"/>
      <c r="R824" s="83"/>
      <c r="S824" s="103"/>
      <c r="T824" s="103"/>
      <c r="U824" s="103"/>
    </row>
    <row r="825" customFormat="false" ht="22.5" hidden="false" customHeight="true" outlineLevel="0" collapsed="false">
      <c r="A825" s="99"/>
      <c r="B825" s="99"/>
      <c r="C825" s="99"/>
      <c r="D825" s="121"/>
      <c r="E825" s="99"/>
      <c r="F825" s="124" t="str">
        <f aca="false">IF(E825="CONTADO", 4%, IF(E825="TARJETA / CHEQUE", 3%, IF(OR(E825="FINANCIADO", E825="MCP"), 2.5%, "")))</f>
        <v/>
      </c>
      <c r="G825" s="121" t="str">
        <f aca="false">IF(F825="", "", F825*D825)</f>
        <v/>
      </c>
      <c r="H825" s="132" t="b">
        <f aca="false">FALSE()</f>
        <v>0</v>
      </c>
      <c r="I825" s="132" t="b">
        <f aca="false">FALSE()</f>
        <v>0</v>
      </c>
      <c r="J825" s="126"/>
      <c r="K825" s="99"/>
      <c r="L825" s="83"/>
      <c r="M825" s="103"/>
      <c r="N825" s="103"/>
      <c r="O825" s="103"/>
      <c r="P825" s="103"/>
      <c r="Q825" s="103"/>
      <c r="R825" s="83"/>
      <c r="S825" s="103"/>
      <c r="T825" s="103"/>
      <c r="U825" s="103"/>
    </row>
    <row r="826" customFormat="false" ht="22.5" hidden="false" customHeight="true" outlineLevel="0" collapsed="false">
      <c r="A826" s="110"/>
      <c r="B826" s="110"/>
      <c r="C826" s="110"/>
      <c r="D826" s="122"/>
      <c r="E826" s="110"/>
      <c r="F826" s="128" t="str">
        <f aca="false">IF(E826="CONTADO", 4%, IF(E826="TARJETA / CHEQUE", 3%, IF(OR(E826="FINANCIADO", E826="MCP"), 2.5%, "")))</f>
        <v/>
      </c>
      <c r="G826" s="122" t="str">
        <f aca="false">IF(F826="", "", F826*D826)</f>
        <v/>
      </c>
      <c r="H826" s="131" t="b">
        <f aca="false">FALSE()</f>
        <v>0</v>
      </c>
      <c r="I826" s="131" t="b">
        <f aca="false">FALSE()</f>
        <v>0</v>
      </c>
      <c r="J826" s="130"/>
      <c r="K826" s="110"/>
      <c r="L826" s="83"/>
      <c r="M826" s="103"/>
      <c r="N826" s="103"/>
      <c r="O826" s="103"/>
      <c r="P826" s="103"/>
      <c r="Q826" s="103"/>
      <c r="R826" s="83"/>
      <c r="S826" s="103"/>
      <c r="T826" s="103"/>
      <c r="U826" s="103"/>
    </row>
    <row r="827" customFormat="false" ht="22.5" hidden="false" customHeight="true" outlineLevel="0" collapsed="false">
      <c r="A827" s="99"/>
      <c r="B827" s="99"/>
      <c r="C827" s="99"/>
      <c r="D827" s="121"/>
      <c r="E827" s="99"/>
      <c r="F827" s="124" t="str">
        <f aca="false">IF(E827="CONTADO", 4%, IF(E827="TARJETA / CHEQUE", 3%, IF(OR(E827="FINANCIADO", E827="MCP"), 2.5%, "")))</f>
        <v/>
      </c>
      <c r="G827" s="121" t="str">
        <f aca="false">IF(F827="", "", F827*D827)</f>
        <v/>
      </c>
      <c r="H827" s="132" t="b">
        <f aca="false">FALSE()</f>
        <v>0</v>
      </c>
      <c r="I827" s="132" t="b">
        <f aca="false">FALSE()</f>
        <v>0</v>
      </c>
      <c r="J827" s="126"/>
      <c r="K827" s="99"/>
      <c r="L827" s="83"/>
      <c r="M827" s="103"/>
      <c r="N827" s="103"/>
      <c r="O827" s="103"/>
      <c r="P827" s="103"/>
      <c r="Q827" s="103"/>
      <c r="R827" s="83"/>
      <c r="S827" s="103"/>
      <c r="T827" s="103"/>
      <c r="U827" s="103"/>
    </row>
    <row r="828" customFormat="false" ht="22.5" hidden="false" customHeight="true" outlineLevel="0" collapsed="false">
      <c r="A828" s="110"/>
      <c r="B828" s="110"/>
      <c r="C828" s="110"/>
      <c r="D828" s="122"/>
      <c r="E828" s="110"/>
      <c r="F828" s="128" t="str">
        <f aca="false">IF(E828="CONTADO", 4%, IF(E828="TARJETA / CHEQUE", 3%, IF(OR(E828="FINANCIADO", E828="MCP"), 2.5%, "")))</f>
        <v/>
      </c>
      <c r="G828" s="122" t="str">
        <f aca="false">IF(F828="", "", F828*D828)</f>
        <v/>
      </c>
      <c r="H828" s="131" t="b">
        <f aca="false">FALSE()</f>
        <v>0</v>
      </c>
      <c r="I828" s="131" t="b">
        <f aca="false">FALSE()</f>
        <v>0</v>
      </c>
      <c r="J828" s="130"/>
      <c r="K828" s="110"/>
      <c r="L828" s="83"/>
      <c r="M828" s="103"/>
      <c r="N828" s="103"/>
      <c r="O828" s="103"/>
      <c r="P828" s="103"/>
      <c r="Q828" s="103"/>
      <c r="R828" s="83"/>
      <c r="S828" s="103"/>
      <c r="T828" s="103"/>
      <c r="U828" s="103"/>
    </row>
    <row r="829" customFormat="false" ht="22.5" hidden="false" customHeight="true" outlineLevel="0" collapsed="false">
      <c r="A829" s="99"/>
      <c r="B829" s="99"/>
      <c r="C829" s="99"/>
      <c r="D829" s="121"/>
      <c r="E829" s="99"/>
      <c r="F829" s="124" t="str">
        <f aca="false">IF(E829="CONTADO", 4%, IF(E829="TARJETA / CHEQUE", 3%, IF(OR(E829="FINANCIADO", E829="MCP"), 2.5%, "")))</f>
        <v/>
      </c>
      <c r="G829" s="121" t="str">
        <f aca="false">IF(F829="", "", F829*D829)</f>
        <v/>
      </c>
      <c r="H829" s="132" t="b">
        <f aca="false">FALSE()</f>
        <v>0</v>
      </c>
      <c r="I829" s="132" t="b">
        <f aca="false">FALSE()</f>
        <v>0</v>
      </c>
      <c r="J829" s="126"/>
      <c r="K829" s="99"/>
      <c r="L829" s="83"/>
      <c r="M829" s="103"/>
      <c r="N829" s="103"/>
      <c r="O829" s="103"/>
      <c r="P829" s="103"/>
      <c r="Q829" s="103"/>
      <c r="R829" s="83"/>
      <c r="S829" s="103"/>
      <c r="T829" s="103"/>
      <c r="U829" s="103"/>
    </row>
    <row r="830" customFormat="false" ht="22.5" hidden="false" customHeight="true" outlineLevel="0" collapsed="false">
      <c r="A830" s="110"/>
      <c r="B830" s="110"/>
      <c r="C830" s="110"/>
      <c r="D830" s="122"/>
      <c r="E830" s="110"/>
      <c r="F830" s="128" t="str">
        <f aca="false">IF(E830="CONTADO", 4%, IF(E830="TARJETA / CHEQUE", 3%, IF(OR(E830="FINANCIADO", E830="MCP"), 2.5%, "")))</f>
        <v/>
      </c>
      <c r="G830" s="122" t="str">
        <f aca="false">IF(F830="", "", F830*D830)</f>
        <v/>
      </c>
      <c r="H830" s="131" t="b">
        <f aca="false">FALSE()</f>
        <v>0</v>
      </c>
      <c r="I830" s="131" t="b">
        <f aca="false">FALSE()</f>
        <v>0</v>
      </c>
      <c r="J830" s="130"/>
      <c r="K830" s="110"/>
      <c r="L830" s="83"/>
      <c r="M830" s="103"/>
      <c r="N830" s="103"/>
      <c r="O830" s="103"/>
      <c r="P830" s="103"/>
      <c r="Q830" s="103"/>
      <c r="R830" s="83"/>
      <c r="S830" s="103"/>
      <c r="T830" s="103"/>
      <c r="U830" s="103"/>
    </row>
    <row r="831" customFormat="false" ht="22.5" hidden="false" customHeight="true" outlineLevel="0" collapsed="false">
      <c r="A831" s="99"/>
      <c r="B831" s="99"/>
      <c r="C831" s="99"/>
      <c r="D831" s="121"/>
      <c r="E831" s="99"/>
      <c r="F831" s="124" t="str">
        <f aca="false">IF(E831="CONTADO", 4%, IF(E831="TARJETA / CHEQUE", 3%, IF(OR(E831="FINANCIADO", E831="MCP"), 2.5%, "")))</f>
        <v/>
      </c>
      <c r="G831" s="121" t="str">
        <f aca="false">IF(F831="", "", F831*D831)</f>
        <v/>
      </c>
      <c r="H831" s="132" t="b">
        <f aca="false">FALSE()</f>
        <v>0</v>
      </c>
      <c r="I831" s="132" t="b">
        <f aca="false">FALSE()</f>
        <v>0</v>
      </c>
      <c r="J831" s="126"/>
      <c r="K831" s="99"/>
      <c r="L831" s="83"/>
      <c r="M831" s="103"/>
      <c r="N831" s="103"/>
      <c r="O831" s="103"/>
      <c r="P831" s="103"/>
      <c r="Q831" s="103"/>
      <c r="R831" s="83"/>
      <c r="S831" s="103"/>
      <c r="T831" s="103"/>
      <c r="U831" s="103"/>
    </row>
    <row r="832" customFormat="false" ht="22.5" hidden="false" customHeight="true" outlineLevel="0" collapsed="false">
      <c r="A832" s="110"/>
      <c r="B832" s="110"/>
      <c r="C832" s="110"/>
      <c r="D832" s="122"/>
      <c r="E832" s="110"/>
      <c r="F832" s="128" t="str">
        <f aca="false">IF(E832="CONTADO", 4%, IF(E832="TARJETA / CHEQUE", 3%, IF(OR(E832="FINANCIADO", E832="MCP"), 2.5%, "")))</f>
        <v/>
      </c>
      <c r="G832" s="122" t="str">
        <f aca="false">IF(F832="", "", F832*D832)</f>
        <v/>
      </c>
      <c r="H832" s="131" t="b">
        <f aca="false">FALSE()</f>
        <v>0</v>
      </c>
      <c r="I832" s="131" t="b">
        <f aca="false">FALSE()</f>
        <v>0</v>
      </c>
      <c r="J832" s="130"/>
      <c r="K832" s="110"/>
      <c r="L832" s="83"/>
      <c r="M832" s="103"/>
      <c r="N832" s="103"/>
      <c r="O832" s="103"/>
      <c r="P832" s="103"/>
      <c r="Q832" s="103"/>
      <c r="R832" s="83"/>
      <c r="S832" s="103"/>
      <c r="T832" s="103"/>
      <c r="U832" s="103"/>
    </row>
    <row r="833" customFormat="false" ht="22.5" hidden="false" customHeight="true" outlineLevel="0" collapsed="false">
      <c r="A833" s="99"/>
      <c r="B833" s="99"/>
      <c r="C833" s="99"/>
      <c r="D833" s="121"/>
      <c r="E833" s="99"/>
      <c r="F833" s="124" t="str">
        <f aca="false">IF(E833="CONTADO", 4%, IF(E833="TARJETA / CHEQUE", 3%, IF(OR(E833="FINANCIADO", E833="MCP"), 2.5%, "")))</f>
        <v/>
      </c>
      <c r="G833" s="121" t="str">
        <f aca="false">IF(F833="", "", F833*D833)</f>
        <v/>
      </c>
      <c r="H833" s="132" t="b">
        <f aca="false">FALSE()</f>
        <v>0</v>
      </c>
      <c r="I833" s="132" t="b">
        <f aca="false">FALSE()</f>
        <v>0</v>
      </c>
      <c r="J833" s="126"/>
      <c r="K833" s="99"/>
      <c r="L833" s="83"/>
      <c r="M833" s="103"/>
      <c r="N833" s="103"/>
      <c r="O833" s="103"/>
      <c r="P833" s="103"/>
      <c r="Q833" s="103"/>
      <c r="R833" s="83"/>
      <c r="S833" s="103"/>
      <c r="T833" s="103"/>
      <c r="U833" s="103"/>
    </row>
    <row r="834" customFormat="false" ht="22.5" hidden="false" customHeight="true" outlineLevel="0" collapsed="false">
      <c r="A834" s="110"/>
      <c r="B834" s="110"/>
      <c r="C834" s="110"/>
      <c r="D834" s="122"/>
      <c r="E834" s="110"/>
      <c r="F834" s="128" t="str">
        <f aca="false">IF(E834="CONTADO", 4%, IF(E834="TARJETA / CHEQUE", 3%, IF(OR(E834="FINANCIADO", E834="MCP"), 2.5%, "")))</f>
        <v/>
      </c>
      <c r="G834" s="122" t="str">
        <f aca="false">IF(F834="", "", F834*D834)</f>
        <v/>
      </c>
      <c r="H834" s="131" t="b">
        <f aca="false">FALSE()</f>
        <v>0</v>
      </c>
      <c r="I834" s="131" t="b">
        <f aca="false">FALSE()</f>
        <v>0</v>
      </c>
      <c r="J834" s="130"/>
      <c r="K834" s="110"/>
      <c r="L834" s="83"/>
      <c r="M834" s="103"/>
      <c r="N834" s="103"/>
      <c r="O834" s="103"/>
      <c r="P834" s="103"/>
      <c r="Q834" s="103"/>
      <c r="R834" s="83"/>
      <c r="S834" s="103"/>
      <c r="T834" s="103"/>
      <c r="U834" s="103"/>
    </row>
    <row r="835" customFormat="false" ht="22.5" hidden="false" customHeight="true" outlineLevel="0" collapsed="false">
      <c r="A835" s="99"/>
      <c r="B835" s="99"/>
      <c r="C835" s="99"/>
      <c r="D835" s="121"/>
      <c r="E835" s="99"/>
      <c r="F835" s="124" t="str">
        <f aca="false">IF(E835="CONTADO", 4%, IF(E835="TARJETA / CHEQUE", 3%, IF(OR(E835="FINANCIADO", E835="MCP"), 2.5%, "")))</f>
        <v/>
      </c>
      <c r="G835" s="121" t="str">
        <f aca="false">IF(F835="", "", F835*D835)</f>
        <v/>
      </c>
      <c r="H835" s="132" t="b">
        <f aca="false">FALSE()</f>
        <v>0</v>
      </c>
      <c r="I835" s="132" t="b">
        <f aca="false">FALSE()</f>
        <v>0</v>
      </c>
      <c r="J835" s="126"/>
      <c r="K835" s="99"/>
      <c r="L835" s="83"/>
      <c r="M835" s="103"/>
      <c r="N835" s="103"/>
      <c r="O835" s="103"/>
      <c r="P835" s="103"/>
      <c r="Q835" s="103"/>
      <c r="R835" s="83"/>
      <c r="S835" s="103"/>
      <c r="T835" s="103"/>
      <c r="U835" s="103"/>
    </row>
    <row r="836" customFormat="false" ht="22.5" hidden="false" customHeight="true" outlineLevel="0" collapsed="false">
      <c r="A836" s="110"/>
      <c r="B836" s="110"/>
      <c r="C836" s="110"/>
      <c r="D836" s="122"/>
      <c r="E836" s="110"/>
      <c r="F836" s="128" t="str">
        <f aca="false">IF(E836="CONTADO", 4%, IF(E836="TARJETA / CHEQUE", 3%, IF(OR(E836="FINANCIADO", E836="MCP"), 2.5%, "")))</f>
        <v/>
      </c>
      <c r="G836" s="122" t="str">
        <f aca="false">IF(F836="", "", F836*D836)</f>
        <v/>
      </c>
      <c r="H836" s="131" t="b">
        <f aca="false">FALSE()</f>
        <v>0</v>
      </c>
      <c r="I836" s="131" t="b">
        <f aca="false">FALSE()</f>
        <v>0</v>
      </c>
      <c r="J836" s="130"/>
      <c r="K836" s="110"/>
      <c r="L836" s="83"/>
      <c r="M836" s="103"/>
      <c r="N836" s="103"/>
      <c r="O836" s="103"/>
      <c r="P836" s="103"/>
      <c r="Q836" s="103"/>
      <c r="R836" s="83"/>
      <c r="S836" s="103"/>
      <c r="T836" s="103"/>
      <c r="U836" s="103"/>
    </row>
    <row r="837" customFormat="false" ht="22.5" hidden="false" customHeight="true" outlineLevel="0" collapsed="false">
      <c r="A837" s="99"/>
      <c r="B837" s="99"/>
      <c r="C837" s="99"/>
      <c r="D837" s="121"/>
      <c r="E837" s="99"/>
      <c r="F837" s="124" t="str">
        <f aca="false">IF(E837="CONTADO", 4%, IF(E837="TARJETA / CHEQUE", 3%, IF(OR(E837="FINANCIADO", E837="MCP"), 2.5%, "")))</f>
        <v/>
      </c>
      <c r="G837" s="121" t="str">
        <f aca="false">IF(F837="", "", F837*D837)</f>
        <v/>
      </c>
      <c r="H837" s="132" t="b">
        <f aca="false">FALSE()</f>
        <v>0</v>
      </c>
      <c r="I837" s="132" t="b">
        <f aca="false">FALSE()</f>
        <v>0</v>
      </c>
      <c r="J837" s="126"/>
      <c r="K837" s="99"/>
      <c r="L837" s="83"/>
      <c r="M837" s="103"/>
      <c r="N837" s="103"/>
      <c r="O837" s="103"/>
      <c r="P837" s="103"/>
      <c r="Q837" s="103"/>
      <c r="R837" s="83"/>
      <c r="S837" s="103"/>
      <c r="T837" s="103"/>
      <c r="U837" s="103"/>
    </row>
    <row r="838" customFormat="false" ht="22.5" hidden="false" customHeight="true" outlineLevel="0" collapsed="false">
      <c r="A838" s="110"/>
      <c r="B838" s="110"/>
      <c r="C838" s="110"/>
      <c r="D838" s="122"/>
      <c r="E838" s="110"/>
      <c r="F838" s="128" t="str">
        <f aca="false">IF(E838="CONTADO", 4%, IF(E838="TARJETA / CHEQUE", 3%, IF(OR(E838="FINANCIADO", E838="MCP"), 2.5%, "")))</f>
        <v/>
      </c>
      <c r="G838" s="122" t="str">
        <f aca="false">IF(F838="", "", F838*D838)</f>
        <v/>
      </c>
      <c r="H838" s="131" t="b">
        <f aca="false">FALSE()</f>
        <v>0</v>
      </c>
      <c r="I838" s="131" t="b">
        <f aca="false">FALSE()</f>
        <v>0</v>
      </c>
      <c r="J838" s="130"/>
      <c r="K838" s="110"/>
      <c r="L838" s="83"/>
      <c r="M838" s="103"/>
      <c r="N838" s="103"/>
      <c r="O838" s="103"/>
      <c r="P838" s="103"/>
      <c r="Q838" s="103"/>
      <c r="R838" s="83"/>
      <c r="S838" s="103"/>
      <c r="T838" s="103"/>
      <c r="U838" s="103"/>
    </row>
    <row r="839" customFormat="false" ht="22.5" hidden="false" customHeight="true" outlineLevel="0" collapsed="false">
      <c r="A839" s="99"/>
      <c r="B839" s="99"/>
      <c r="C839" s="99"/>
      <c r="D839" s="121"/>
      <c r="E839" s="99"/>
      <c r="F839" s="124" t="str">
        <f aca="false">IF(E839="CONTADO", 4%, IF(E839="TARJETA / CHEQUE", 3%, IF(OR(E839="FINANCIADO", E839="MCP"), 2.5%, "")))</f>
        <v/>
      </c>
      <c r="G839" s="121" t="str">
        <f aca="false">IF(F839="", "", F839*D839)</f>
        <v/>
      </c>
      <c r="H839" s="132" t="b">
        <f aca="false">FALSE()</f>
        <v>0</v>
      </c>
      <c r="I839" s="132" t="b">
        <f aca="false">FALSE()</f>
        <v>0</v>
      </c>
      <c r="J839" s="126"/>
      <c r="K839" s="99"/>
      <c r="L839" s="83"/>
      <c r="M839" s="103"/>
      <c r="N839" s="103"/>
      <c r="O839" s="103"/>
      <c r="P839" s="103"/>
      <c r="Q839" s="103"/>
      <c r="R839" s="83"/>
      <c r="S839" s="103"/>
      <c r="T839" s="103"/>
      <c r="U839" s="103"/>
    </row>
    <row r="840" customFormat="false" ht="22.5" hidden="false" customHeight="true" outlineLevel="0" collapsed="false">
      <c r="A840" s="110"/>
      <c r="B840" s="110"/>
      <c r="C840" s="110"/>
      <c r="D840" s="122"/>
      <c r="E840" s="110"/>
      <c r="F840" s="128" t="str">
        <f aca="false">IF(E840="CONTADO", 4%, IF(E840="TARJETA / CHEQUE", 3%, IF(OR(E840="FINANCIADO", E840="MCP"), 2.5%, "")))</f>
        <v/>
      </c>
      <c r="G840" s="122" t="str">
        <f aca="false">IF(F840="", "", F840*D840)</f>
        <v/>
      </c>
      <c r="H840" s="131" t="b">
        <f aca="false">FALSE()</f>
        <v>0</v>
      </c>
      <c r="I840" s="131" t="b">
        <f aca="false">FALSE()</f>
        <v>0</v>
      </c>
      <c r="J840" s="130"/>
      <c r="K840" s="110"/>
      <c r="L840" s="83"/>
      <c r="M840" s="103"/>
      <c r="N840" s="103"/>
      <c r="O840" s="103"/>
      <c r="P840" s="103"/>
      <c r="Q840" s="103"/>
      <c r="R840" s="83"/>
      <c r="S840" s="103"/>
      <c r="T840" s="103"/>
      <c r="U840" s="103"/>
    </row>
    <row r="841" customFormat="false" ht="22.5" hidden="false" customHeight="true" outlineLevel="0" collapsed="false">
      <c r="A841" s="99"/>
      <c r="B841" s="99"/>
      <c r="C841" s="99"/>
      <c r="D841" s="121"/>
      <c r="E841" s="99"/>
      <c r="F841" s="124" t="str">
        <f aca="false">IF(E841="CONTADO", 4%, IF(E841="TARJETA / CHEQUE", 3%, IF(OR(E841="FINANCIADO", E841="MCP"), 2.5%, "")))</f>
        <v/>
      </c>
      <c r="G841" s="121" t="str">
        <f aca="false">IF(F841="", "", F841*D841)</f>
        <v/>
      </c>
      <c r="H841" s="132" t="b">
        <f aca="false">FALSE()</f>
        <v>0</v>
      </c>
      <c r="I841" s="132" t="b">
        <f aca="false">FALSE()</f>
        <v>0</v>
      </c>
      <c r="J841" s="126"/>
      <c r="K841" s="99"/>
      <c r="L841" s="83"/>
      <c r="M841" s="103"/>
      <c r="N841" s="103"/>
      <c r="O841" s="103"/>
      <c r="P841" s="103"/>
      <c r="Q841" s="103"/>
      <c r="R841" s="83"/>
      <c r="S841" s="103"/>
      <c r="T841" s="103"/>
      <c r="U841" s="103"/>
    </row>
    <row r="842" customFormat="false" ht="22.5" hidden="false" customHeight="true" outlineLevel="0" collapsed="false">
      <c r="A842" s="110"/>
      <c r="B842" s="110"/>
      <c r="C842" s="110"/>
      <c r="D842" s="122"/>
      <c r="E842" s="110"/>
      <c r="F842" s="128" t="str">
        <f aca="false">IF(E842="CONTADO", 4%, IF(E842="TARJETA / CHEQUE", 3%, IF(OR(E842="FINANCIADO", E842="MCP"), 2.5%, "")))</f>
        <v/>
      </c>
      <c r="G842" s="122" t="str">
        <f aca="false">IF(F842="", "", F842*D842)</f>
        <v/>
      </c>
      <c r="H842" s="131" t="b">
        <f aca="false">FALSE()</f>
        <v>0</v>
      </c>
      <c r="I842" s="131" t="b">
        <f aca="false">FALSE()</f>
        <v>0</v>
      </c>
      <c r="J842" s="130"/>
      <c r="K842" s="110"/>
      <c r="L842" s="83"/>
      <c r="M842" s="103"/>
      <c r="N842" s="103"/>
      <c r="O842" s="103"/>
      <c r="P842" s="103"/>
      <c r="Q842" s="103"/>
      <c r="R842" s="83"/>
      <c r="S842" s="103"/>
      <c r="T842" s="103"/>
      <c r="U842" s="103"/>
    </row>
    <row r="843" customFormat="false" ht="22.5" hidden="false" customHeight="true" outlineLevel="0" collapsed="false">
      <c r="A843" s="99"/>
      <c r="B843" s="99"/>
      <c r="C843" s="99"/>
      <c r="D843" s="121"/>
      <c r="E843" s="99"/>
      <c r="F843" s="124" t="str">
        <f aca="false">IF(E843="CONTADO", 4%, IF(E843="TARJETA / CHEQUE", 3%, IF(OR(E843="FINANCIADO", E843="MCP"), 2.5%, "")))</f>
        <v/>
      </c>
      <c r="G843" s="121" t="str">
        <f aca="false">IF(F843="", "", F843*D843)</f>
        <v/>
      </c>
      <c r="H843" s="132" t="b">
        <f aca="false">FALSE()</f>
        <v>0</v>
      </c>
      <c r="I843" s="132" t="b">
        <f aca="false">FALSE()</f>
        <v>0</v>
      </c>
      <c r="J843" s="126"/>
      <c r="K843" s="99"/>
      <c r="L843" s="83"/>
      <c r="M843" s="103"/>
      <c r="N843" s="103"/>
      <c r="O843" s="103"/>
      <c r="P843" s="103"/>
      <c r="Q843" s="103"/>
      <c r="R843" s="83"/>
      <c r="S843" s="103"/>
      <c r="T843" s="103"/>
      <c r="U843" s="103"/>
    </row>
    <row r="844" customFormat="false" ht="22.5" hidden="false" customHeight="true" outlineLevel="0" collapsed="false">
      <c r="A844" s="110"/>
      <c r="B844" s="110"/>
      <c r="C844" s="110"/>
      <c r="D844" s="122"/>
      <c r="E844" s="110"/>
      <c r="F844" s="128" t="str">
        <f aca="false">IF(E844="CONTADO", 4%, IF(E844="TARJETA / CHEQUE", 3%, IF(OR(E844="FINANCIADO", E844="MCP"), 2.5%, "")))</f>
        <v/>
      </c>
      <c r="G844" s="122" t="str">
        <f aca="false">IF(F844="", "", F844*D844)</f>
        <v/>
      </c>
      <c r="H844" s="131" t="b">
        <f aca="false">FALSE()</f>
        <v>0</v>
      </c>
      <c r="I844" s="131" t="b">
        <f aca="false">FALSE()</f>
        <v>0</v>
      </c>
      <c r="J844" s="130"/>
      <c r="K844" s="110"/>
      <c r="L844" s="83"/>
      <c r="M844" s="103"/>
      <c r="N844" s="103"/>
      <c r="O844" s="103"/>
      <c r="P844" s="103"/>
      <c r="Q844" s="103"/>
      <c r="R844" s="83"/>
      <c r="S844" s="103"/>
      <c r="T844" s="103"/>
      <c r="U844" s="103"/>
    </row>
    <row r="845" customFormat="false" ht="22.5" hidden="false" customHeight="true" outlineLevel="0" collapsed="false">
      <c r="A845" s="99"/>
      <c r="B845" s="99"/>
      <c r="C845" s="99"/>
      <c r="D845" s="121"/>
      <c r="E845" s="99"/>
      <c r="F845" s="124" t="str">
        <f aca="false">IF(E845="CONTADO", 4%, IF(E845="TARJETA / CHEQUE", 3%, IF(OR(E845="FINANCIADO", E845="MCP"), 2.5%, "")))</f>
        <v/>
      </c>
      <c r="G845" s="121" t="str">
        <f aca="false">IF(F845="", "", F845*D845)</f>
        <v/>
      </c>
      <c r="H845" s="132" t="b">
        <f aca="false">FALSE()</f>
        <v>0</v>
      </c>
      <c r="I845" s="132" t="b">
        <f aca="false">FALSE()</f>
        <v>0</v>
      </c>
      <c r="J845" s="126"/>
      <c r="K845" s="99"/>
      <c r="L845" s="83"/>
      <c r="M845" s="103"/>
      <c r="N845" s="103"/>
      <c r="O845" s="103"/>
      <c r="P845" s="103"/>
      <c r="Q845" s="103"/>
      <c r="R845" s="83"/>
      <c r="S845" s="103"/>
      <c r="T845" s="103"/>
      <c r="U845" s="103"/>
    </row>
    <row r="846" customFormat="false" ht="22.5" hidden="false" customHeight="true" outlineLevel="0" collapsed="false">
      <c r="A846" s="110"/>
      <c r="B846" s="110"/>
      <c r="C846" s="110"/>
      <c r="D846" s="122"/>
      <c r="E846" s="110"/>
      <c r="F846" s="128" t="str">
        <f aca="false">IF(E846="CONTADO", 4%, IF(E846="TARJETA / CHEQUE", 3%, IF(OR(E846="FINANCIADO", E846="MCP"), 2.5%, "")))</f>
        <v/>
      </c>
      <c r="G846" s="122" t="str">
        <f aca="false">IF(F846="", "", F846*D846)</f>
        <v/>
      </c>
      <c r="H846" s="131" t="b">
        <f aca="false">FALSE()</f>
        <v>0</v>
      </c>
      <c r="I846" s="131" t="b">
        <f aca="false">FALSE()</f>
        <v>0</v>
      </c>
      <c r="J846" s="130"/>
      <c r="K846" s="110"/>
      <c r="L846" s="83"/>
      <c r="M846" s="103"/>
      <c r="N846" s="103"/>
      <c r="O846" s="103"/>
      <c r="P846" s="103"/>
      <c r="Q846" s="103"/>
      <c r="R846" s="83"/>
      <c r="S846" s="103"/>
      <c r="T846" s="103"/>
      <c r="U846" s="103"/>
    </row>
    <row r="847" customFormat="false" ht="22.5" hidden="false" customHeight="true" outlineLevel="0" collapsed="false">
      <c r="A847" s="99"/>
      <c r="B847" s="99"/>
      <c r="C847" s="99"/>
      <c r="D847" s="121"/>
      <c r="E847" s="99"/>
      <c r="F847" s="124" t="str">
        <f aca="false">IF(E847="CONTADO", 4%, IF(E847="TARJETA / CHEQUE", 3%, IF(OR(E847="FINANCIADO", E847="MCP"), 2.5%, "")))</f>
        <v/>
      </c>
      <c r="G847" s="121" t="str">
        <f aca="false">IF(F847="", "", F847*D847)</f>
        <v/>
      </c>
      <c r="H847" s="132" t="b">
        <f aca="false">FALSE()</f>
        <v>0</v>
      </c>
      <c r="I847" s="132" t="b">
        <f aca="false">FALSE()</f>
        <v>0</v>
      </c>
      <c r="J847" s="126"/>
      <c r="K847" s="99"/>
      <c r="L847" s="83"/>
      <c r="M847" s="103"/>
      <c r="N847" s="103"/>
      <c r="O847" s="103"/>
      <c r="P847" s="103"/>
      <c r="Q847" s="103"/>
      <c r="R847" s="83"/>
      <c r="S847" s="103"/>
      <c r="T847" s="103"/>
      <c r="U847" s="103"/>
    </row>
    <row r="848" customFormat="false" ht="22.5" hidden="false" customHeight="true" outlineLevel="0" collapsed="false">
      <c r="A848" s="110"/>
      <c r="B848" s="110"/>
      <c r="C848" s="110"/>
      <c r="D848" s="122"/>
      <c r="E848" s="110"/>
      <c r="F848" s="128" t="str">
        <f aca="false">IF(E848="CONTADO", 4%, IF(E848="TARJETA / CHEQUE", 3%, IF(OR(E848="FINANCIADO", E848="MCP"), 2.5%, "")))</f>
        <v/>
      </c>
      <c r="G848" s="122" t="str">
        <f aca="false">IF(F848="", "", F848*D848)</f>
        <v/>
      </c>
      <c r="H848" s="131" t="b">
        <f aca="false">FALSE()</f>
        <v>0</v>
      </c>
      <c r="I848" s="131" t="b">
        <f aca="false">FALSE()</f>
        <v>0</v>
      </c>
      <c r="J848" s="130"/>
      <c r="K848" s="110"/>
      <c r="L848" s="83"/>
      <c r="M848" s="103"/>
      <c r="N848" s="103"/>
      <c r="O848" s="103"/>
      <c r="P848" s="103"/>
      <c r="Q848" s="103"/>
      <c r="R848" s="83"/>
      <c r="S848" s="103"/>
      <c r="T848" s="103"/>
      <c r="U848" s="103"/>
    </row>
    <row r="849" customFormat="false" ht="22.5" hidden="false" customHeight="true" outlineLevel="0" collapsed="false">
      <c r="A849" s="99"/>
      <c r="B849" s="99"/>
      <c r="C849" s="99"/>
      <c r="D849" s="121"/>
      <c r="E849" s="99"/>
      <c r="F849" s="124" t="str">
        <f aca="false">IF(E849="CONTADO", 4%, IF(E849="TARJETA / CHEQUE", 3%, IF(OR(E849="FINANCIADO", E849="MCP"), 2.5%, "")))</f>
        <v/>
      </c>
      <c r="G849" s="121" t="str">
        <f aca="false">IF(F849="", "", F849*D849)</f>
        <v/>
      </c>
      <c r="H849" s="132" t="b">
        <f aca="false">FALSE()</f>
        <v>0</v>
      </c>
      <c r="I849" s="132" t="b">
        <f aca="false">FALSE()</f>
        <v>0</v>
      </c>
      <c r="J849" s="126"/>
      <c r="K849" s="99"/>
      <c r="L849" s="83"/>
      <c r="M849" s="103"/>
      <c r="N849" s="103"/>
      <c r="O849" s="103"/>
      <c r="P849" s="103"/>
      <c r="Q849" s="103"/>
      <c r="R849" s="83"/>
      <c r="S849" s="103"/>
      <c r="T849" s="103"/>
      <c r="U849" s="103"/>
    </row>
    <row r="850" customFormat="false" ht="22.5" hidden="false" customHeight="true" outlineLevel="0" collapsed="false">
      <c r="A850" s="110"/>
      <c r="B850" s="110"/>
      <c r="C850" s="110"/>
      <c r="D850" s="122"/>
      <c r="E850" s="110"/>
      <c r="F850" s="128" t="str">
        <f aca="false">IF(E850="CONTADO", 4%, IF(E850="TARJETA / CHEQUE", 3%, IF(OR(E850="FINANCIADO", E850="MCP"), 2.5%, "")))</f>
        <v/>
      </c>
      <c r="G850" s="122" t="str">
        <f aca="false">IF(F850="", "", F850*D850)</f>
        <v/>
      </c>
      <c r="H850" s="131" t="b">
        <f aca="false">FALSE()</f>
        <v>0</v>
      </c>
      <c r="I850" s="131" t="b">
        <f aca="false">FALSE()</f>
        <v>0</v>
      </c>
      <c r="J850" s="130"/>
      <c r="K850" s="110"/>
      <c r="L850" s="83"/>
      <c r="M850" s="103"/>
      <c r="N850" s="103"/>
      <c r="O850" s="103"/>
      <c r="P850" s="103"/>
      <c r="Q850" s="103"/>
      <c r="R850" s="83"/>
      <c r="S850" s="103"/>
      <c r="T850" s="103"/>
      <c r="U850" s="103"/>
    </row>
    <row r="851" customFormat="false" ht="22.5" hidden="false" customHeight="true" outlineLevel="0" collapsed="false">
      <c r="A851" s="99"/>
      <c r="B851" s="99"/>
      <c r="C851" s="99"/>
      <c r="D851" s="121"/>
      <c r="E851" s="99"/>
      <c r="F851" s="124" t="str">
        <f aca="false">IF(E851="CONTADO", 4%, IF(E851="TARJETA / CHEQUE", 3%, IF(OR(E851="FINANCIADO", E851="MCP"), 2.5%, "")))</f>
        <v/>
      </c>
      <c r="G851" s="121" t="str">
        <f aca="false">IF(F851="", "", F851*D851)</f>
        <v/>
      </c>
      <c r="H851" s="132" t="b">
        <f aca="false">FALSE()</f>
        <v>0</v>
      </c>
      <c r="I851" s="132" t="b">
        <f aca="false">FALSE()</f>
        <v>0</v>
      </c>
      <c r="J851" s="126"/>
      <c r="K851" s="99"/>
      <c r="L851" s="83"/>
      <c r="M851" s="103"/>
      <c r="N851" s="103"/>
      <c r="O851" s="103"/>
      <c r="P851" s="103"/>
      <c r="Q851" s="103"/>
      <c r="R851" s="83"/>
      <c r="S851" s="103"/>
      <c r="T851" s="103"/>
      <c r="U851" s="103"/>
    </row>
    <row r="852" customFormat="false" ht="22.5" hidden="false" customHeight="true" outlineLevel="0" collapsed="false">
      <c r="A852" s="110"/>
      <c r="B852" s="110"/>
      <c r="C852" s="110"/>
      <c r="D852" s="122"/>
      <c r="E852" s="110"/>
      <c r="F852" s="128" t="str">
        <f aca="false">IF(E852="CONTADO", 4%, IF(E852="TARJETA / CHEQUE", 3%, IF(OR(E852="FINANCIADO", E852="MCP"), 2.5%, "")))</f>
        <v/>
      </c>
      <c r="G852" s="122" t="str">
        <f aca="false">IF(F852="", "", F852*D852)</f>
        <v/>
      </c>
      <c r="H852" s="131" t="b">
        <f aca="false">FALSE()</f>
        <v>0</v>
      </c>
      <c r="I852" s="131" t="b">
        <f aca="false">FALSE()</f>
        <v>0</v>
      </c>
      <c r="J852" s="130"/>
      <c r="K852" s="110"/>
      <c r="L852" s="83"/>
      <c r="M852" s="103"/>
      <c r="N852" s="103"/>
      <c r="O852" s="103"/>
      <c r="P852" s="103"/>
      <c r="Q852" s="103"/>
      <c r="R852" s="83"/>
      <c r="S852" s="103"/>
      <c r="T852" s="103"/>
      <c r="U852" s="103"/>
    </row>
    <row r="853" customFormat="false" ht="22.5" hidden="false" customHeight="true" outlineLevel="0" collapsed="false">
      <c r="A853" s="99"/>
      <c r="B853" s="99"/>
      <c r="C853" s="99"/>
      <c r="D853" s="121"/>
      <c r="E853" s="99"/>
      <c r="F853" s="124" t="str">
        <f aca="false">IF(E853="CONTADO", 4%, IF(E853="TARJETA / CHEQUE", 3%, IF(OR(E853="FINANCIADO", E853="MCP"), 2.5%, "")))</f>
        <v/>
      </c>
      <c r="G853" s="121" t="str">
        <f aca="false">IF(F853="", "", F853*D853)</f>
        <v/>
      </c>
      <c r="H853" s="132" t="b">
        <f aca="false">FALSE()</f>
        <v>0</v>
      </c>
      <c r="I853" s="132" t="b">
        <f aca="false">FALSE()</f>
        <v>0</v>
      </c>
      <c r="J853" s="126"/>
      <c r="K853" s="99"/>
      <c r="L853" s="83"/>
      <c r="M853" s="103"/>
      <c r="N853" s="103"/>
      <c r="O853" s="103"/>
      <c r="P853" s="103"/>
      <c r="Q853" s="103"/>
      <c r="R853" s="83"/>
      <c r="S853" s="103"/>
      <c r="T853" s="103"/>
      <c r="U853" s="103"/>
    </row>
    <row r="854" customFormat="false" ht="22.5" hidden="false" customHeight="true" outlineLevel="0" collapsed="false">
      <c r="A854" s="110"/>
      <c r="B854" s="110"/>
      <c r="C854" s="110"/>
      <c r="D854" s="122"/>
      <c r="E854" s="110"/>
      <c r="F854" s="128" t="str">
        <f aca="false">IF(E854="CONTADO", 4%, IF(E854="TARJETA / CHEQUE", 3%, IF(OR(E854="FINANCIADO", E854="MCP"), 2.5%, "")))</f>
        <v/>
      </c>
      <c r="G854" s="122" t="str">
        <f aca="false">IF(F854="", "", F854*D854)</f>
        <v/>
      </c>
      <c r="H854" s="131" t="b">
        <f aca="false">FALSE()</f>
        <v>0</v>
      </c>
      <c r="I854" s="131" t="b">
        <f aca="false">FALSE()</f>
        <v>0</v>
      </c>
      <c r="J854" s="130"/>
      <c r="K854" s="110"/>
      <c r="L854" s="83"/>
      <c r="M854" s="103"/>
      <c r="N854" s="103"/>
      <c r="O854" s="103"/>
      <c r="P854" s="103"/>
      <c r="Q854" s="103"/>
      <c r="R854" s="83"/>
      <c r="S854" s="103"/>
      <c r="T854" s="103"/>
      <c r="U854" s="103"/>
    </row>
    <row r="855" customFormat="false" ht="22.5" hidden="false" customHeight="true" outlineLevel="0" collapsed="false">
      <c r="A855" s="99"/>
      <c r="B855" s="99"/>
      <c r="C855" s="99"/>
      <c r="D855" s="121"/>
      <c r="E855" s="99"/>
      <c r="F855" s="124" t="str">
        <f aca="false">IF(E855="CONTADO", 4%, IF(E855="TARJETA / CHEQUE", 3%, IF(OR(E855="FINANCIADO", E855="MCP"), 2.5%, "")))</f>
        <v/>
      </c>
      <c r="G855" s="121" t="str">
        <f aca="false">IF(F855="", "", F855*D855)</f>
        <v/>
      </c>
      <c r="H855" s="132" t="b">
        <f aca="false">FALSE()</f>
        <v>0</v>
      </c>
      <c r="I855" s="132" t="b">
        <f aca="false">FALSE()</f>
        <v>0</v>
      </c>
      <c r="J855" s="126"/>
      <c r="K855" s="99"/>
      <c r="L855" s="83"/>
      <c r="M855" s="103"/>
      <c r="N855" s="103"/>
      <c r="O855" s="103"/>
      <c r="P855" s="103"/>
      <c r="Q855" s="103"/>
      <c r="R855" s="83"/>
      <c r="S855" s="103"/>
      <c r="T855" s="103"/>
      <c r="U855" s="103"/>
    </row>
    <row r="856" customFormat="false" ht="22.5" hidden="false" customHeight="true" outlineLevel="0" collapsed="false">
      <c r="A856" s="110"/>
      <c r="B856" s="110"/>
      <c r="C856" s="110"/>
      <c r="D856" s="122"/>
      <c r="E856" s="110"/>
      <c r="F856" s="128" t="str">
        <f aca="false">IF(E856="CONTADO", 4%, IF(E856="TARJETA / CHEQUE", 3%, IF(OR(E856="FINANCIADO", E856="MCP"), 2.5%, "")))</f>
        <v/>
      </c>
      <c r="G856" s="122" t="str">
        <f aca="false">IF(F856="", "", F856*D856)</f>
        <v/>
      </c>
      <c r="H856" s="131" t="b">
        <f aca="false">FALSE()</f>
        <v>0</v>
      </c>
      <c r="I856" s="131" t="b">
        <f aca="false">FALSE()</f>
        <v>0</v>
      </c>
      <c r="J856" s="130"/>
      <c r="K856" s="110"/>
      <c r="L856" s="83"/>
      <c r="M856" s="103"/>
      <c r="N856" s="103"/>
      <c r="O856" s="103"/>
      <c r="P856" s="103"/>
      <c r="Q856" s="103"/>
      <c r="R856" s="83"/>
      <c r="S856" s="103"/>
      <c r="T856" s="103"/>
      <c r="U856" s="103"/>
    </row>
    <row r="857" customFormat="false" ht="22.5" hidden="false" customHeight="true" outlineLevel="0" collapsed="false">
      <c r="A857" s="99"/>
      <c r="B857" s="99"/>
      <c r="C857" s="99"/>
      <c r="D857" s="121"/>
      <c r="E857" s="99"/>
      <c r="F857" s="124" t="str">
        <f aca="false">IF(E857="CONTADO", 4%, IF(E857="TARJETA / CHEQUE", 3%, IF(OR(E857="FINANCIADO", E857="MCP"), 2.5%, "")))</f>
        <v/>
      </c>
      <c r="G857" s="121" t="str">
        <f aca="false">IF(F857="", "", F857*D857)</f>
        <v/>
      </c>
      <c r="H857" s="132" t="b">
        <f aca="false">FALSE()</f>
        <v>0</v>
      </c>
      <c r="I857" s="132" t="b">
        <f aca="false">FALSE()</f>
        <v>0</v>
      </c>
      <c r="J857" s="126"/>
      <c r="K857" s="99"/>
      <c r="L857" s="83"/>
      <c r="M857" s="103"/>
      <c r="N857" s="103"/>
      <c r="O857" s="103"/>
      <c r="P857" s="103"/>
      <c r="Q857" s="103"/>
      <c r="R857" s="83"/>
      <c r="S857" s="103"/>
      <c r="T857" s="103"/>
      <c r="U857" s="103"/>
    </row>
    <row r="858" customFormat="false" ht="22.5" hidden="false" customHeight="true" outlineLevel="0" collapsed="false">
      <c r="A858" s="110"/>
      <c r="B858" s="110"/>
      <c r="C858" s="110"/>
      <c r="D858" s="122"/>
      <c r="E858" s="110"/>
      <c r="F858" s="128" t="str">
        <f aca="false">IF(E858="CONTADO", 4%, IF(E858="TARJETA / CHEQUE", 3%, IF(OR(E858="FINANCIADO", E858="MCP"), 2.5%, "")))</f>
        <v/>
      </c>
      <c r="G858" s="122" t="str">
        <f aca="false">IF(F858="", "", F858*D858)</f>
        <v/>
      </c>
      <c r="H858" s="131" t="b">
        <f aca="false">FALSE()</f>
        <v>0</v>
      </c>
      <c r="I858" s="131" t="b">
        <f aca="false">FALSE()</f>
        <v>0</v>
      </c>
      <c r="J858" s="130"/>
      <c r="K858" s="110"/>
      <c r="L858" s="83"/>
      <c r="M858" s="103"/>
      <c r="N858" s="103"/>
      <c r="O858" s="103"/>
      <c r="P858" s="103"/>
      <c r="Q858" s="103"/>
      <c r="R858" s="83"/>
      <c r="S858" s="103"/>
      <c r="T858" s="103"/>
      <c r="U858" s="103"/>
    </row>
    <row r="859" customFormat="false" ht="22.5" hidden="false" customHeight="true" outlineLevel="0" collapsed="false">
      <c r="A859" s="99"/>
      <c r="B859" s="99"/>
      <c r="C859" s="99"/>
      <c r="D859" s="121"/>
      <c r="E859" s="99"/>
      <c r="F859" s="124" t="str">
        <f aca="false">IF(E859="CONTADO", 4%, IF(E859="TARJETA / CHEQUE", 3%, IF(OR(E859="FINANCIADO", E859="MCP"), 2.5%, "")))</f>
        <v/>
      </c>
      <c r="G859" s="121" t="str">
        <f aca="false">IF(F859="", "", F859*D859)</f>
        <v/>
      </c>
      <c r="H859" s="132" t="b">
        <f aca="false">FALSE()</f>
        <v>0</v>
      </c>
      <c r="I859" s="132" t="b">
        <f aca="false">FALSE()</f>
        <v>0</v>
      </c>
      <c r="J859" s="126"/>
      <c r="K859" s="99"/>
      <c r="L859" s="83"/>
      <c r="M859" s="103"/>
      <c r="N859" s="103"/>
      <c r="O859" s="103"/>
      <c r="P859" s="103"/>
      <c r="Q859" s="103"/>
      <c r="R859" s="83"/>
      <c r="S859" s="103"/>
      <c r="T859" s="103"/>
      <c r="U859" s="103"/>
    </row>
    <row r="860" customFormat="false" ht="22.5" hidden="false" customHeight="true" outlineLevel="0" collapsed="false">
      <c r="A860" s="110"/>
      <c r="B860" s="110"/>
      <c r="C860" s="110"/>
      <c r="D860" s="122"/>
      <c r="E860" s="110"/>
      <c r="F860" s="128" t="str">
        <f aca="false">IF(E860="CONTADO", 4%, IF(E860="TARJETA / CHEQUE", 3%, IF(OR(E860="FINANCIADO", E860="MCP"), 2.5%, "")))</f>
        <v/>
      </c>
      <c r="G860" s="122" t="str">
        <f aca="false">IF(F860="", "", F860*D860)</f>
        <v/>
      </c>
      <c r="H860" s="131" t="b">
        <f aca="false">FALSE()</f>
        <v>0</v>
      </c>
      <c r="I860" s="131" t="b">
        <f aca="false">FALSE()</f>
        <v>0</v>
      </c>
      <c r="J860" s="130"/>
      <c r="K860" s="110"/>
      <c r="L860" s="83"/>
      <c r="M860" s="103"/>
      <c r="N860" s="103"/>
      <c r="O860" s="103"/>
      <c r="P860" s="103"/>
      <c r="Q860" s="103"/>
      <c r="R860" s="83"/>
      <c r="S860" s="103"/>
      <c r="T860" s="103"/>
      <c r="U860" s="103"/>
    </row>
    <row r="861" customFormat="false" ht="22.5" hidden="false" customHeight="true" outlineLevel="0" collapsed="false">
      <c r="A861" s="99"/>
      <c r="B861" s="99"/>
      <c r="C861" s="99"/>
      <c r="D861" s="121"/>
      <c r="E861" s="99"/>
      <c r="F861" s="124" t="str">
        <f aca="false">IF(E861="CONTADO", 4%, IF(E861="TARJETA / CHEQUE", 3%, IF(OR(E861="FINANCIADO", E861="MCP"), 2.5%, "")))</f>
        <v/>
      </c>
      <c r="G861" s="121" t="str">
        <f aca="false">IF(F861="", "", F861*D861)</f>
        <v/>
      </c>
      <c r="H861" s="132" t="b">
        <f aca="false">FALSE()</f>
        <v>0</v>
      </c>
      <c r="I861" s="132" t="b">
        <f aca="false">FALSE()</f>
        <v>0</v>
      </c>
      <c r="J861" s="126"/>
      <c r="K861" s="99"/>
      <c r="L861" s="83"/>
      <c r="M861" s="103"/>
      <c r="N861" s="103"/>
      <c r="O861" s="103"/>
      <c r="P861" s="103"/>
      <c r="Q861" s="103"/>
      <c r="R861" s="83"/>
      <c r="S861" s="103"/>
      <c r="T861" s="103"/>
      <c r="U861" s="103"/>
    </row>
    <row r="862" customFormat="false" ht="22.5" hidden="false" customHeight="true" outlineLevel="0" collapsed="false">
      <c r="A862" s="110"/>
      <c r="B862" s="110"/>
      <c r="C862" s="110"/>
      <c r="D862" s="122"/>
      <c r="E862" s="110"/>
      <c r="F862" s="128" t="str">
        <f aca="false">IF(E862="CONTADO", 4%, IF(E862="TARJETA / CHEQUE", 3%, IF(OR(E862="FINANCIADO", E862="MCP"), 2.5%, "")))</f>
        <v/>
      </c>
      <c r="G862" s="122" t="str">
        <f aca="false">IF(F862="", "", F862*D862)</f>
        <v/>
      </c>
      <c r="H862" s="131" t="b">
        <f aca="false">FALSE()</f>
        <v>0</v>
      </c>
      <c r="I862" s="131" t="b">
        <f aca="false">FALSE()</f>
        <v>0</v>
      </c>
      <c r="J862" s="130"/>
      <c r="K862" s="110"/>
      <c r="L862" s="83"/>
      <c r="M862" s="103"/>
      <c r="N862" s="103"/>
      <c r="O862" s="103"/>
      <c r="P862" s="103"/>
      <c r="Q862" s="103"/>
      <c r="R862" s="83"/>
      <c r="S862" s="103"/>
      <c r="T862" s="103"/>
      <c r="U862" s="103"/>
    </row>
    <row r="863" customFormat="false" ht="22.5" hidden="false" customHeight="true" outlineLevel="0" collapsed="false">
      <c r="A863" s="99"/>
      <c r="B863" s="99"/>
      <c r="C863" s="99"/>
      <c r="D863" s="121"/>
      <c r="E863" s="99"/>
      <c r="F863" s="124" t="str">
        <f aca="false">IF(E863="CONTADO", 4%, IF(E863="TARJETA / CHEQUE", 3%, IF(OR(E863="FINANCIADO", E863="MCP"), 2.5%, "")))</f>
        <v/>
      </c>
      <c r="G863" s="121" t="str">
        <f aca="false">IF(F863="", "", F863*D863)</f>
        <v/>
      </c>
      <c r="H863" s="132" t="b">
        <f aca="false">FALSE()</f>
        <v>0</v>
      </c>
      <c r="I863" s="132" t="b">
        <f aca="false">FALSE()</f>
        <v>0</v>
      </c>
      <c r="J863" s="126"/>
      <c r="K863" s="99"/>
      <c r="L863" s="83"/>
      <c r="M863" s="103"/>
      <c r="N863" s="103"/>
      <c r="O863" s="103"/>
      <c r="P863" s="103"/>
      <c r="Q863" s="103"/>
      <c r="R863" s="83"/>
      <c r="S863" s="103"/>
      <c r="T863" s="103"/>
      <c r="U863" s="103"/>
    </row>
    <row r="864" customFormat="false" ht="22.5" hidden="false" customHeight="true" outlineLevel="0" collapsed="false">
      <c r="A864" s="110"/>
      <c r="B864" s="110"/>
      <c r="C864" s="110"/>
      <c r="D864" s="122"/>
      <c r="E864" s="110"/>
      <c r="F864" s="128" t="str">
        <f aca="false">IF(E864="CONTADO", 4%, IF(E864="TARJETA / CHEQUE", 3%, IF(OR(E864="FINANCIADO", E864="MCP"), 2.5%, "")))</f>
        <v/>
      </c>
      <c r="G864" s="122" t="str">
        <f aca="false">IF(F864="", "", F864*D864)</f>
        <v/>
      </c>
      <c r="H864" s="131" t="b">
        <f aca="false">FALSE()</f>
        <v>0</v>
      </c>
      <c r="I864" s="131" t="b">
        <f aca="false">FALSE()</f>
        <v>0</v>
      </c>
      <c r="J864" s="130"/>
      <c r="K864" s="110"/>
      <c r="L864" s="83"/>
      <c r="M864" s="103"/>
      <c r="N864" s="103"/>
      <c r="O864" s="103"/>
      <c r="P864" s="103"/>
      <c r="Q864" s="103"/>
      <c r="R864" s="83"/>
      <c r="S864" s="103"/>
      <c r="T864" s="103"/>
      <c r="U864" s="103"/>
    </row>
    <row r="865" customFormat="false" ht="22.5" hidden="false" customHeight="true" outlineLevel="0" collapsed="false">
      <c r="A865" s="99"/>
      <c r="B865" s="99"/>
      <c r="C865" s="99"/>
      <c r="D865" s="121"/>
      <c r="E865" s="99"/>
      <c r="F865" s="124" t="str">
        <f aca="false">IF(E865="CONTADO", 4%, IF(E865="TARJETA / CHEQUE", 3%, IF(OR(E865="FINANCIADO", E865="MCP"), 2.5%, "")))</f>
        <v/>
      </c>
      <c r="G865" s="121" t="str">
        <f aca="false">IF(F865="", "", F865*D865)</f>
        <v/>
      </c>
      <c r="H865" s="132" t="b">
        <f aca="false">FALSE()</f>
        <v>0</v>
      </c>
      <c r="I865" s="132" t="b">
        <f aca="false">FALSE()</f>
        <v>0</v>
      </c>
      <c r="J865" s="126"/>
      <c r="K865" s="99"/>
      <c r="L865" s="83"/>
      <c r="M865" s="103"/>
      <c r="N865" s="103"/>
      <c r="O865" s="103"/>
      <c r="P865" s="103"/>
      <c r="Q865" s="103"/>
      <c r="R865" s="83"/>
      <c r="S865" s="103"/>
      <c r="T865" s="103"/>
      <c r="U865" s="103"/>
    </row>
    <row r="866" customFormat="false" ht="22.5" hidden="false" customHeight="true" outlineLevel="0" collapsed="false">
      <c r="A866" s="110"/>
      <c r="B866" s="110"/>
      <c r="C866" s="110"/>
      <c r="D866" s="122"/>
      <c r="E866" s="110"/>
      <c r="F866" s="128" t="str">
        <f aca="false">IF(E866="CONTADO", 4%, IF(E866="TARJETA / CHEQUE", 3%, IF(OR(E866="FINANCIADO", E866="MCP"), 2.5%, "")))</f>
        <v/>
      </c>
      <c r="G866" s="122" t="str">
        <f aca="false">IF(F866="", "", F866*D866)</f>
        <v/>
      </c>
      <c r="H866" s="131" t="b">
        <f aca="false">FALSE()</f>
        <v>0</v>
      </c>
      <c r="I866" s="131" t="b">
        <f aca="false">FALSE()</f>
        <v>0</v>
      </c>
      <c r="J866" s="130"/>
      <c r="K866" s="110"/>
      <c r="L866" s="83"/>
      <c r="M866" s="103"/>
      <c r="N866" s="103"/>
      <c r="O866" s="103"/>
      <c r="P866" s="103"/>
      <c r="Q866" s="103"/>
      <c r="R866" s="83"/>
      <c r="S866" s="103"/>
      <c r="T866" s="103"/>
      <c r="U866" s="103"/>
    </row>
    <row r="867" customFormat="false" ht="22.5" hidden="false" customHeight="true" outlineLevel="0" collapsed="false">
      <c r="A867" s="99"/>
      <c r="B867" s="99"/>
      <c r="C867" s="99"/>
      <c r="D867" s="121"/>
      <c r="E867" s="99"/>
      <c r="F867" s="124" t="str">
        <f aca="false">IF(E867="CONTADO", 4%, IF(E867="TARJETA / CHEQUE", 3%, IF(OR(E867="FINANCIADO", E867="MCP"), 2.5%, "")))</f>
        <v/>
      </c>
      <c r="G867" s="121" t="str">
        <f aca="false">IF(F867="", "", F867*D867)</f>
        <v/>
      </c>
      <c r="H867" s="132" t="b">
        <f aca="false">FALSE()</f>
        <v>0</v>
      </c>
      <c r="I867" s="132" t="b">
        <f aca="false">FALSE()</f>
        <v>0</v>
      </c>
      <c r="J867" s="126"/>
      <c r="K867" s="99"/>
      <c r="L867" s="83"/>
      <c r="M867" s="103"/>
      <c r="N867" s="103"/>
      <c r="O867" s="103"/>
      <c r="P867" s="103"/>
      <c r="Q867" s="103"/>
      <c r="R867" s="83"/>
      <c r="S867" s="103"/>
      <c r="T867" s="103"/>
      <c r="U867" s="103"/>
    </row>
    <row r="868" customFormat="false" ht="22.5" hidden="false" customHeight="true" outlineLevel="0" collapsed="false">
      <c r="A868" s="110"/>
      <c r="B868" s="110"/>
      <c r="C868" s="110"/>
      <c r="D868" s="122"/>
      <c r="E868" s="110"/>
      <c r="F868" s="128" t="str">
        <f aca="false">IF(E868="CONTADO", 4%, IF(E868="TARJETA / CHEQUE", 3%, IF(OR(E868="FINANCIADO", E868="MCP"), 2.5%, "")))</f>
        <v/>
      </c>
      <c r="G868" s="122" t="str">
        <f aca="false">IF(F868="", "", F868*D868)</f>
        <v/>
      </c>
      <c r="H868" s="131" t="b">
        <f aca="false">FALSE()</f>
        <v>0</v>
      </c>
      <c r="I868" s="131" t="b">
        <f aca="false">FALSE()</f>
        <v>0</v>
      </c>
      <c r="J868" s="130"/>
      <c r="K868" s="110"/>
      <c r="L868" s="83"/>
      <c r="M868" s="103"/>
      <c r="N868" s="103"/>
      <c r="O868" s="103"/>
      <c r="P868" s="103"/>
      <c r="Q868" s="103"/>
      <c r="R868" s="83"/>
      <c r="S868" s="103"/>
      <c r="T868" s="103"/>
      <c r="U868" s="103"/>
    </row>
    <row r="869" customFormat="false" ht="22.5" hidden="false" customHeight="true" outlineLevel="0" collapsed="false">
      <c r="A869" s="99"/>
      <c r="B869" s="99"/>
      <c r="C869" s="99"/>
      <c r="D869" s="121"/>
      <c r="E869" s="99"/>
      <c r="F869" s="124" t="str">
        <f aca="false">IF(E869="CONTADO", 4%, IF(E869="TARJETA / CHEQUE", 3%, IF(OR(E869="FINANCIADO", E869="MCP"), 2.5%, "")))</f>
        <v/>
      </c>
      <c r="G869" s="121" t="str">
        <f aca="false">IF(F869="", "", F869*D869)</f>
        <v/>
      </c>
      <c r="H869" s="132" t="b">
        <f aca="false">FALSE()</f>
        <v>0</v>
      </c>
      <c r="I869" s="132" t="b">
        <f aca="false">FALSE()</f>
        <v>0</v>
      </c>
      <c r="J869" s="126"/>
      <c r="K869" s="99"/>
      <c r="L869" s="83"/>
      <c r="M869" s="103"/>
      <c r="N869" s="103"/>
      <c r="O869" s="103"/>
      <c r="P869" s="103"/>
      <c r="Q869" s="103"/>
      <c r="R869" s="83"/>
      <c r="S869" s="103"/>
      <c r="T869" s="103"/>
      <c r="U869" s="103"/>
    </row>
    <row r="870" customFormat="false" ht="22.5" hidden="false" customHeight="true" outlineLevel="0" collapsed="false">
      <c r="A870" s="110"/>
      <c r="B870" s="110"/>
      <c r="C870" s="110"/>
      <c r="D870" s="122"/>
      <c r="E870" s="110"/>
      <c r="F870" s="128" t="str">
        <f aca="false">IF(E870="CONTADO", 4%, IF(E870="TARJETA / CHEQUE", 3%, IF(OR(E870="FINANCIADO", E870="MCP"), 2.5%, "")))</f>
        <v/>
      </c>
      <c r="G870" s="122" t="str">
        <f aca="false">IF(F870="", "", F870*D870)</f>
        <v/>
      </c>
      <c r="H870" s="131" t="b">
        <f aca="false">FALSE()</f>
        <v>0</v>
      </c>
      <c r="I870" s="131" t="b">
        <f aca="false">FALSE()</f>
        <v>0</v>
      </c>
      <c r="J870" s="130"/>
      <c r="K870" s="110"/>
      <c r="L870" s="83"/>
      <c r="M870" s="103"/>
      <c r="N870" s="103"/>
      <c r="O870" s="103"/>
      <c r="P870" s="103"/>
      <c r="Q870" s="103"/>
      <c r="R870" s="83"/>
      <c r="S870" s="103"/>
      <c r="T870" s="103"/>
      <c r="U870" s="103"/>
    </row>
    <row r="871" customFormat="false" ht="22.5" hidden="false" customHeight="true" outlineLevel="0" collapsed="false">
      <c r="A871" s="99"/>
      <c r="B871" s="99"/>
      <c r="C871" s="99"/>
      <c r="D871" s="121"/>
      <c r="E871" s="99"/>
      <c r="F871" s="124" t="str">
        <f aca="false">IF(E871="CONTADO", 4%, IF(E871="TARJETA / CHEQUE", 3%, IF(OR(E871="FINANCIADO", E871="MCP"), 2.5%, "")))</f>
        <v/>
      </c>
      <c r="G871" s="121" t="str">
        <f aca="false">IF(F871="", "", F871*D871)</f>
        <v/>
      </c>
      <c r="H871" s="132" t="b">
        <f aca="false">FALSE()</f>
        <v>0</v>
      </c>
      <c r="I871" s="132" t="b">
        <f aca="false">FALSE()</f>
        <v>0</v>
      </c>
      <c r="J871" s="126"/>
      <c r="K871" s="99"/>
      <c r="L871" s="83"/>
      <c r="M871" s="103"/>
      <c r="N871" s="103"/>
      <c r="O871" s="103"/>
      <c r="P871" s="103"/>
      <c r="Q871" s="103"/>
      <c r="R871" s="83"/>
      <c r="S871" s="103"/>
      <c r="T871" s="103"/>
      <c r="U871" s="103"/>
    </row>
    <row r="872" customFormat="false" ht="22.5" hidden="false" customHeight="true" outlineLevel="0" collapsed="false">
      <c r="A872" s="110"/>
      <c r="B872" s="110"/>
      <c r="C872" s="110"/>
      <c r="D872" s="122"/>
      <c r="E872" s="110"/>
      <c r="F872" s="128" t="str">
        <f aca="false">IF(E872="CONTADO", 4%, IF(E872="TARJETA / CHEQUE", 3%, IF(OR(E872="FINANCIADO", E872="MCP"), 2.5%, "")))</f>
        <v/>
      </c>
      <c r="G872" s="122" t="str">
        <f aca="false">IF(F872="", "", F872*D872)</f>
        <v/>
      </c>
      <c r="H872" s="131" t="b">
        <f aca="false">FALSE()</f>
        <v>0</v>
      </c>
      <c r="I872" s="131" t="b">
        <f aca="false">FALSE()</f>
        <v>0</v>
      </c>
      <c r="J872" s="130"/>
      <c r="K872" s="110"/>
      <c r="L872" s="83"/>
      <c r="M872" s="103"/>
      <c r="N872" s="103"/>
      <c r="O872" s="103"/>
      <c r="P872" s="103"/>
      <c r="Q872" s="103"/>
      <c r="R872" s="83"/>
      <c r="S872" s="103"/>
      <c r="T872" s="103"/>
      <c r="U872" s="103"/>
    </row>
    <row r="873" customFormat="false" ht="22.5" hidden="false" customHeight="true" outlineLevel="0" collapsed="false">
      <c r="A873" s="99"/>
      <c r="B873" s="99"/>
      <c r="C873" s="99"/>
      <c r="D873" s="121"/>
      <c r="E873" s="99"/>
      <c r="F873" s="124" t="str">
        <f aca="false">IF(E873="CONTADO", 4%, IF(E873="TARJETA / CHEQUE", 3%, IF(OR(E873="FINANCIADO", E873="MCP"), 2.5%, "")))</f>
        <v/>
      </c>
      <c r="G873" s="121" t="str">
        <f aca="false">IF(F873="", "", F873*D873)</f>
        <v/>
      </c>
      <c r="H873" s="132" t="b">
        <f aca="false">FALSE()</f>
        <v>0</v>
      </c>
      <c r="I873" s="132" t="b">
        <f aca="false">FALSE()</f>
        <v>0</v>
      </c>
      <c r="J873" s="126"/>
      <c r="K873" s="99"/>
      <c r="L873" s="83"/>
      <c r="M873" s="103"/>
      <c r="N873" s="103"/>
      <c r="O873" s="103"/>
      <c r="P873" s="103"/>
      <c r="Q873" s="103"/>
      <c r="R873" s="83"/>
      <c r="S873" s="103"/>
      <c r="T873" s="103"/>
      <c r="U873" s="103"/>
    </row>
    <row r="874" customFormat="false" ht="22.5" hidden="false" customHeight="true" outlineLevel="0" collapsed="false">
      <c r="A874" s="110"/>
      <c r="B874" s="110"/>
      <c r="C874" s="110"/>
      <c r="D874" s="122"/>
      <c r="E874" s="110"/>
      <c r="F874" s="128" t="str">
        <f aca="false">IF(E874="CONTADO", 4%, IF(E874="TARJETA / CHEQUE", 3%, IF(OR(E874="FINANCIADO", E874="MCP"), 2.5%, "")))</f>
        <v/>
      </c>
      <c r="G874" s="122" t="str">
        <f aca="false">IF(F874="", "", F874*D874)</f>
        <v/>
      </c>
      <c r="H874" s="131" t="b">
        <f aca="false">FALSE()</f>
        <v>0</v>
      </c>
      <c r="I874" s="131" t="b">
        <f aca="false">FALSE()</f>
        <v>0</v>
      </c>
      <c r="J874" s="130"/>
      <c r="K874" s="110"/>
      <c r="L874" s="83"/>
      <c r="M874" s="103"/>
      <c r="N874" s="103"/>
      <c r="O874" s="103"/>
      <c r="P874" s="103"/>
      <c r="Q874" s="103"/>
      <c r="R874" s="83"/>
      <c r="S874" s="103"/>
      <c r="T874" s="103"/>
      <c r="U874" s="103"/>
    </row>
    <row r="875" customFormat="false" ht="22.5" hidden="false" customHeight="true" outlineLevel="0" collapsed="false">
      <c r="A875" s="99"/>
      <c r="B875" s="99"/>
      <c r="C875" s="99"/>
      <c r="D875" s="121"/>
      <c r="E875" s="99"/>
      <c r="F875" s="124" t="str">
        <f aca="false">IF(E875="CONTADO", 4%, IF(E875="TARJETA / CHEQUE", 3%, IF(OR(E875="FINANCIADO", E875="MCP"), 2.5%, "")))</f>
        <v/>
      </c>
      <c r="G875" s="121" t="str">
        <f aca="false">IF(F875="", "", F875*D875)</f>
        <v/>
      </c>
      <c r="H875" s="132" t="b">
        <f aca="false">FALSE()</f>
        <v>0</v>
      </c>
      <c r="I875" s="132" t="b">
        <f aca="false">FALSE()</f>
        <v>0</v>
      </c>
      <c r="J875" s="126"/>
      <c r="K875" s="99"/>
      <c r="L875" s="83"/>
      <c r="M875" s="103"/>
      <c r="N875" s="103"/>
      <c r="O875" s="103"/>
      <c r="P875" s="103"/>
      <c r="Q875" s="103"/>
      <c r="R875" s="83"/>
      <c r="S875" s="103"/>
      <c r="T875" s="103"/>
      <c r="U875" s="103"/>
    </row>
    <row r="876" customFormat="false" ht="22.5" hidden="false" customHeight="true" outlineLevel="0" collapsed="false">
      <c r="A876" s="110"/>
      <c r="B876" s="110"/>
      <c r="C876" s="110"/>
      <c r="D876" s="122"/>
      <c r="E876" s="110"/>
      <c r="F876" s="128" t="str">
        <f aca="false">IF(E876="CONTADO", 4%, IF(E876="TARJETA / CHEQUE", 3%, IF(OR(E876="FINANCIADO", E876="MCP"), 2.5%, "")))</f>
        <v/>
      </c>
      <c r="G876" s="122" t="str">
        <f aca="false">IF(F876="", "", F876*D876)</f>
        <v/>
      </c>
      <c r="H876" s="131" t="b">
        <f aca="false">FALSE()</f>
        <v>0</v>
      </c>
      <c r="I876" s="131" t="b">
        <f aca="false">FALSE()</f>
        <v>0</v>
      </c>
      <c r="J876" s="130"/>
      <c r="K876" s="110"/>
      <c r="L876" s="83"/>
      <c r="M876" s="103"/>
      <c r="N876" s="103"/>
      <c r="O876" s="103"/>
      <c r="P876" s="103"/>
      <c r="Q876" s="103"/>
      <c r="R876" s="83"/>
      <c r="S876" s="103"/>
      <c r="T876" s="103"/>
      <c r="U876" s="103"/>
    </row>
    <row r="877" customFormat="false" ht="22.5" hidden="false" customHeight="true" outlineLevel="0" collapsed="false">
      <c r="A877" s="99"/>
      <c r="B877" s="99"/>
      <c r="C877" s="99"/>
      <c r="D877" s="121"/>
      <c r="E877" s="99"/>
      <c r="F877" s="124" t="str">
        <f aca="false">IF(E877="CONTADO", 4%, IF(E877="TARJETA / CHEQUE", 3%, IF(OR(E877="FINANCIADO", E877="MCP"), 2.5%, "")))</f>
        <v/>
      </c>
      <c r="G877" s="121" t="str">
        <f aca="false">IF(F877="", "", F877*D877)</f>
        <v/>
      </c>
      <c r="H877" s="132" t="b">
        <f aca="false">FALSE()</f>
        <v>0</v>
      </c>
      <c r="I877" s="132" t="b">
        <f aca="false">FALSE()</f>
        <v>0</v>
      </c>
      <c r="J877" s="126"/>
      <c r="K877" s="99"/>
      <c r="L877" s="83"/>
      <c r="M877" s="103"/>
      <c r="N877" s="103"/>
      <c r="O877" s="103"/>
      <c r="P877" s="103"/>
      <c r="Q877" s="103"/>
      <c r="R877" s="83"/>
      <c r="S877" s="103"/>
      <c r="T877" s="103"/>
      <c r="U877" s="103"/>
    </row>
    <row r="878" customFormat="false" ht="22.5" hidden="false" customHeight="true" outlineLevel="0" collapsed="false">
      <c r="A878" s="110"/>
      <c r="B878" s="110"/>
      <c r="C878" s="110"/>
      <c r="D878" s="122"/>
      <c r="E878" s="110"/>
      <c r="F878" s="128" t="str">
        <f aca="false">IF(E878="CONTADO", 4%, IF(E878="TARJETA / CHEQUE", 3%, IF(OR(E878="FINANCIADO", E878="MCP"), 2.5%, "")))</f>
        <v/>
      </c>
      <c r="G878" s="122" t="str">
        <f aca="false">IF(F878="", "", F878*D878)</f>
        <v/>
      </c>
      <c r="H878" s="131" t="b">
        <f aca="false">FALSE()</f>
        <v>0</v>
      </c>
      <c r="I878" s="131" t="b">
        <f aca="false">FALSE()</f>
        <v>0</v>
      </c>
      <c r="J878" s="130"/>
      <c r="K878" s="110"/>
      <c r="L878" s="83"/>
      <c r="M878" s="103"/>
      <c r="N878" s="103"/>
      <c r="O878" s="103"/>
      <c r="P878" s="103"/>
      <c r="Q878" s="103"/>
      <c r="R878" s="83"/>
      <c r="S878" s="103"/>
      <c r="T878" s="103"/>
      <c r="U878" s="103"/>
    </row>
    <row r="879" customFormat="false" ht="22.5" hidden="false" customHeight="true" outlineLevel="0" collapsed="false">
      <c r="A879" s="99"/>
      <c r="B879" s="99"/>
      <c r="C879" s="99"/>
      <c r="D879" s="121"/>
      <c r="E879" s="99"/>
      <c r="F879" s="124" t="str">
        <f aca="false">IF(E879="CONTADO", 4%, IF(E879="TARJETA / CHEQUE", 3%, IF(OR(E879="FINANCIADO", E879="MCP"), 2.5%, "")))</f>
        <v/>
      </c>
      <c r="G879" s="121" t="str">
        <f aca="false">IF(F879="", "", F879*D879)</f>
        <v/>
      </c>
      <c r="H879" s="132" t="b">
        <f aca="false">FALSE()</f>
        <v>0</v>
      </c>
      <c r="I879" s="132" t="b">
        <f aca="false">FALSE()</f>
        <v>0</v>
      </c>
      <c r="J879" s="126"/>
      <c r="K879" s="99"/>
      <c r="L879" s="83"/>
      <c r="M879" s="103"/>
      <c r="N879" s="103"/>
      <c r="O879" s="103"/>
      <c r="P879" s="103"/>
      <c r="Q879" s="103"/>
      <c r="R879" s="83"/>
      <c r="S879" s="103"/>
      <c r="T879" s="103"/>
      <c r="U879" s="103"/>
    </row>
    <row r="880" customFormat="false" ht="22.5" hidden="false" customHeight="true" outlineLevel="0" collapsed="false">
      <c r="A880" s="110"/>
      <c r="B880" s="110"/>
      <c r="C880" s="110"/>
      <c r="D880" s="122"/>
      <c r="E880" s="110"/>
      <c r="F880" s="128" t="str">
        <f aca="false">IF(E880="CONTADO", 4%, IF(E880="TARJETA / CHEQUE", 3%, IF(OR(E880="FINANCIADO", E880="MCP"), 2.5%, "")))</f>
        <v/>
      </c>
      <c r="G880" s="122" t="str">
        <f aca="false">IF(F880="", "", F880*D880)</f>
        <v/>
      </c>
      <c r="H880" s="131" t="b">
        <f aca="false">FALSE()</f>
        <v>0</v>
      </c>
      <c r="I880" s="131" t="b">
        <f aca="false">FALSE()</f>
        <v>0</v>
      </c>
      <c r="J880" s="130"/>
      <c r="K880" s="110"/>
      <c r="L880" s="83"/>
      <c r="M880" s="103"/>
      <c r="N880" s="103"/>
      <c r="O880" s="103"/>
      <c r="P880" s="103"/>
      <c r="Q880" s="103"/>
      <c r="R880" s="83"/>
      <c r="S880" s="103"/>
      <c r="T880" s="103"/>
      <c r="U880" s="103"/>
    </row>
    <row r="881" customFormat="false" ht="22.5" hidden="false" customHeight="true" outlineLevel="0" collapsed="false">
      <c r="A881" s="99"/>
      <c r="B881" s="99"/>
      <c r="C881" s="99"/>
      <c r="D881" s="121"/>
      <c r="E881" s="99"/>
      <c r="F881" s="124" t="str">
        <f aca="false">IF(E881="CONTADO", 4%, IF(E881="TARJETA / CHEQUE", 3%, IF(OR(E881="FINANCIADO", E881="MCP"), 2.5%, "")))</f>
        <v/>
      </c>
      <c r="G881" s="121" t="str">
        <f aca="false">IF(F881="", "", F881*D881)</f>
        <v/>
      </c>
      <c r="H881" s="132" t="b">
        <f aca="false">FALSE()</f>
        <v>0</v>
      </c>
      <c r="I881" s="132" t="b">
        <f aca="false">FALSE()</f>
        <v>0</v>
      </c>
      <c r="J881" s="126"/>
      <c r="K881" s="99"/>
      <c r="L881" s="83"/>
      <c r="M881" s="103"/>
      <c r="N881" s="103"/>
      <c r="O881" s="103"/>
      <c r="P881" s="103"/>
      <c r="Q881" s="103"/>
      <c r="R881" s="83"/>
      <c r="S881" s="103"/>
      <c r="T881" s="103"/>
      <c r="U881" s="103"/>
    </row>
    <row r="882" customFormat="false" ht="22.5" hidden="false" customHeight="true" outlineLevel="0" collapsed="false">
      <c r="A882" s="110"/>
      <c r="B882" s="110"/>
      <c r="C882" s="110"/>
      <c r="D882" s="122"/>
      <c r="E882" s="110"/>
      <c r="F882" s="128" t="str">
        <f aca="false">IF(E882="CONTADO", 4%, IF(E882="TARJETA / CHEQUE", 3%, IF(OR(E882="FINANCIADO", E882="MCP"), 2.5%, "")))</f>
        <v/>
      </c>
      <c r="G882" s="122" t="str">
        <f aca="false">IF(F882="", "", F882*D882)</f>
        <v/>
      </c>
      <c r="H882" s="131" t="b">
        <f aca="false">FALSE()</f>
        <v>0</v>
      </c>
      <c r="I882" s="131" t="b">
        <f aca="false">FALSE()</f>
        <v>0</v>
      </c>
      <c r="J882" s="130"/>
      <c r="K882" s="110"/>
      <c r="L882" s="83"/>
      <c r="M882" s="103"/>
      <c r="N882" s="103"/>
      <c r="O882" s="103"/>
      <c r="P882" s="103"/>
      <c r="Q882" s="103"/>
      <c r="R882" s="83"/>
      <c r="S882" s="103"/>
      <c r="T882" s="103"/>
      <c r="U882" s="103"/>
    </row>
    <row r="883" customFormat="false" ht="22.5" hidden="false" customHeight="true" outlineLevel="0" collapsed="false">
      <c r="A883" s="99"/>
      <c r="B883" s="99"/>
      <c r="C883" s="99"/>
      <c r="D883" s="121"/>
      <c r="E883" s="99"/>
      <c r="F883" s="124" t="str">
        <f aca="false">IF(E883="CONTADO", 4%, IF(E883="TARJETA / CHEQUE", 3%, IF(OR(E883="FINANCIADO", E883="MCP"), 2.5%, "")))</f>
        <v/>
      </c>
      <c r="G883" s="121" t="str">
        <f aca="false">IF(F883="", "", F883*D883)</f>
        <v/>
      </c>
      <c r="H883" s="132" t="b">
        <f aca="false">FALSE()</f>
        <v>0</v>
      </c>
      <c r="I883" s="132" t="b">
        <f aca="false">FALSE()</f>
        <v>0</v>
      </c>
      <c r="J883" s="126"/>
      <c r="K883" s="99"/>
      <c r="L883" s="83"/>
      <c r="M883" s="103"/>
      <c r="N883" s="103"/>
      <c r="O883" s="103"/>
      <c r="P883" s="103"/>
      <c r="Q883" s="103"/>
      <c r="R883" s="83"/>
      <c r="S883" s="103"/>
      <c r="T883" s="103"/>
      <c r="U883" s="103"/>
    </row>
    <row r="884" customFormat="false" ht="22.5" hidden="false" customHeight="true" outlineLevel="0" collapsed="false">
      <c r="A884" s="110"/>
      <c r="B884" s="110"/>
      <c r="C884" s="110"/>
      <c r="D884" s="122"/>
      <c r="E884" s="110"/>
      <c r="F884" s="128" t="str">
        <f aca="false">IF(E884="CONTADO", 4%, IF(E884="TARJETA / CHEQUE", 3%, IF(OR(E884="FINANCIADO", E884="MCP"), 2.5%, "")))</f>
        <v/>
      </c>
      <c r="G884" s="122" t="str">
        <f aca="false">IF(F884="", "", F884*D884)</f>
        <v/>
      </c>
      <c r="H884" s="131" t="b">
        <f aca="false">FALSE()</f>
        <v>0</v>
      </c>
      <c r="I884" s="131" t="b">
        <f aca="false">FALSE()</f>
        <v>0</v>
      </c>
      <c r="J884" s="130"/>
      <c r="K884" s="110"/>
      <c r="L884" s="83"/>
      <c r="M884" s="103"/>
      <c r="N884" s="103"/>
      <c r="O884" s="103"/>
      <c r="P884" s="103"/>
      <c r="Q884" s="103"/>
      <c r="R884" s="83"/>
      <c r="S884" s="103"/>
      <c r="T884" s="103"/>
      <c r="U884" s="103"/>
    </row>
    <row r="885" customFormat="false" ht="22.5" hidden="false" customHeight="true" outlineLevel="0" collapsed="false">
      <c r="A885" s="99"/>
      <c r="B885" s="99"/>
      <c r="C885" s="99"/>
      <c r="D885" s="121"/>
      <c r="E885" s="99"/>
      <c r="F885" s="124" t="str">
        <f aca="false">IF(E885="CONTADO", 4%, IF(E885="TARJETA / CHEQUE", 3%, IF(OR(E885="FINANCIADO", E885="MCP"), 2.5%, "")))</f>
        <v/>
      </c>
      <c r="G885" s="121" t="str">
        <f aca="false">IF(F885="", "", F885*D885)</f>
        <v/>
      </c>
      <c r="H885" s="132" t="b">
        <f aca="false">FALSE()</f>
        <v>0</v>
      </c>
      <c r="I885" s="132" t="b">
        <f aca="false">FALSE()</f>
        <v>0</v>
      </c>
      <c r="J885" s="126"/>
      <c r="K885" s="99"/>
      <c r="L885" s="83"/>
      <c r="M885" s="103"/>
      <c r="N885" s="103"/>
      <c r="O885" s="103"/>
      <c r="P885" s="103"/>
      <c r="Q885" s="103"/>
      <c r="R885" s="83"/>
      <c r="S885" s="103"/>
      <c r="T885" s="103"/>
      <c r="U885" s="103"/>
    </row>
    <row r="886" customFormat="false" ht="22.5" hidden="false" customHeight="true" outlineLevel="0" collapsed="false">
      <c r="A886" s="110"/>
      <c r="B886" s="110"/>
      <c r="C886" s="110"/>
      <c r="D886" s="122"/>
      <c r="E886" s="110"/>
      <c r="F886" s="128" t="str">
        <f aca="false">IF(E886="CONTADO", 4%, IF(E886="TARJETA / CHEQUE", 3%, IF(OR(E886="FINANCIADO", E886="MCP"), 2.5%, "")))</f>
        <v/>
      </c>
      <c r="G886" s="122" t="str">
        <f aca="false">IF(F886="", "", F886*D886)</f>
        <v/>
      </c>
      <c r="H886" s="131" t="b">
        <f aca="false">FALSE()</f>
        <v>0</v>
      </c>
      <c r="I886" s="131" t="b">
        <f aca="false">FALSE()</f>
        <v>0</v>
      </c>
      <c r="J886" s="130"/>
      <c r="K886" s="110"/>
      <c r="L886" s="83"/>
      <c r="M886" s="103"/>
      <c r="N886" s="103"/>
      <c r="O886" s="103"/>
      <c r="P886" s="103"/>
      <c r="Q886" s="103"/>
      <c r="R886" s="83"/>
      <c r="S886" s="103"/>
      <c r="T886" s="103"/>
      <c r="U886" s="103"/>
    </row>
    <row r="887" customFormat="false" ht="22.5" hidden="false" customHeight="true" outlineLevel="0" collapsed="false">
      <c r="A887" s="99"/>
      <c r="B887" s="99"/>
      <c r="C887" s="99"/>
      <c r="D887" s="121"/>
      <c r="E887" s="99"/>
      <c r="F887" s="124" t="str">
        <f aca="false">IF(E887="CONTADO", 4%, IF(E887="TARJETA / CHEQUE", 3%, IF(OR(E887="FINANCIADO", E887="MCP"), 2.5%, "")))</f>
        <v/>
      </c>
      <c r="G887" s="121" t="str">
        <f aca="false">IF(F887="", "", F887*D887)</f>
        <v/>
      </c>
      <c r="H887" s="132" t="b">
        <f aca="false">FALSE()</f>
        <v>0</v>
      </c>
      <c r="I887" s="132" t="b">
        <f aca="false">FALSE()</f>
        <v>0</v>
      </c>
      <c r="J887" s="126"/>
      <c r="K887" s="99"/>
      <c r="L887" s="83"/>
      <c r="M887" s="103"/>
      <c r="N887" s="103"/>
      <c r="O887" s="103"/>
      <c r="P887" s="103"/>
      <c r="Q887" s="103"/>
      <c r="R887" s="83"/>
      <c r="S887" s="103"/>
      <c r="T887" s="103"/>
      <c r="U887" s="103"/>
    </row>
    <row r="888" customFormat="false" ht="22.5" hidden="false" customHeight="true" outlineLevel="0" collapsed="false">
      <c r="A888" s="110"/>
      <c r="B888" s="110"/>
      <c r="C888" s="110"/>
      <c r="D888" s="122"/>
      <c r="E888" s="110"/>
      <c r="F888" s="128" t="str">
        <f aca="false">IF(E888="CONTADO", 4%, IF(E888="TARJETA / CHEQUE", 3%, IF(OR(E888="FINANCIADO", E888="MCP"), 2.5%, "")))</f>
        <v/>
      </c>
      <c r="G888" s="122" t="str">
        <f aca="false">IF(F888="", "", F888*D888)</f>
        <v/>
      </c>
      <c r="H888" s="131" t="b">
        <f aca="false">FALSE()</f>
        <v>0</v>
      </c>
      <c r="I888" s="131" t="b">
        <f aca="false">FALSE()</f>
        <v>0</v>
      </c>
      <c r="J888" s="130"/>
      <c r="K888" s="110"/>
      <c r="L888" s="83"/>
      <c r="M888" s="103"/>
      <c r="N888" s="103"/>
      <c r="O888" s="103"/>
      <c r="P888" s="103"/>
      <c r="Q888" s="103"/>
      <c r="R888" s="83"/>
      <c r="S888" s="103"/>
      <c r="T888" s="103"/>
      <c r="U888" s="103"/>
    </row>
    <row r="889" customFormat="false" ht="22.5" hidden="false" customHeight="true" outlineLevel="0" collapsed="false">
      <c r="A889" s="99"/>
      <c r="B889" s="99"/>
      <c r="C889" s="99"/>
      <c r="D889" s="121"/>
      <c r="E889" s="99"/>
      <c r="F889" s="124" t="str">
        <f aca="false">IF(E889="CONTADO", 4%, IF(E889="TARJETA / CHEQUE", 3%, IF(OR(E889="FINANCIADO", E889="MCP"), 2.5%, "")))</f>
        <v/>
      </c>
      <c r="G889" s="121" t="str">
        <f aca="false">IF(F889="", "", F889*D889)</f>
        <v/>
      </c>
      <c r="H889" s="132" t="b">
        <f aca="false">FALSE()</f>
        <v>0</v>
      </c>
      <c r="I889" s="132" t="b">
        <f aca="false">FALSE()</f>
        <v>0</v>
      </c>
      <c r="J889" s="126"/>
      <c r="K889" s="99"/>
      <c r="L889" s="83"/>
      <c r="M889" s="103"/>
      <c r="N889" s="103"/>
      <c r="O889" s="103"/>
      <c r="P889" s="103"/>
      <c r="Q889" s="103"/>
      <c r="R889" s="83"/>
      <c r="S889" s="103"/>
      <c r="T889" s="103"/>
      <c r="U889" s="103"/>
    </row>
    <row r="890" customFormat="false" ht="22.5" hidden="false" customHeight="true" outlineLevel="0" collapsed="false">
      <c r="A890" s="110"/>
      <c r="B890" s="110"/>
      <c r="C890" s="110"/>
      <c r="D890" s="122"/>
      <c r="E890" s="110"/>
      <c r="F890" s="128" t="str">
        <f aca="false">IF(E890="CONTADO", 4%, IF(E890="TARJETA / CHEQUE", 3%, IF(OR(E890="FINANCIADO", E890="MCP"), 2.5%, "")))</f>
        <v/>
      </c>
      <c r="G890" s="122" t="str">
        <f aca="false">IF(F890="", "", F890*D890)</f>
        <v/>
      </c>
      <c r="H890" s="131" t="b">
        <f aca="false">FALSE()</f>
        <v>0</v>
      </c>
      <c r="I890" s="131" t="b">
        <f aca="false">FALSE()</f>
        <v>0</v>
      </c>
      <c r="J890" s="130"/>
      <c r="K890" s="110"/>
      <c r="L890" s="83"/>
      <c r="M890" s="103"/>
      <c r="N890" s="103"/>
      <c r="O890" s="103"/>
      <c r="P890" s="103"/>
      <c r="Q890" s="103"/>
      <c r="R890" s="83"/>
      <c r="S890" s="103"/>
      <c r="T890" s="103"/>
      <c r="U890" s="103"/>
    </row>
    <row r="891" customFormat="false" ht="22.5" hidden="false" customHeight="true" outlineLevel="0" collapsed="false">
      <c r="A891" s="99"/>
      <c r="B891" s="99"/>
      <c r="C891" s="99"/>
      <c r="D891" s="121"/>
      <c r="E891" s="99"/>
      <c r="F891" s="124" t="str">
        <f aca="false">IF(E891="CONTADO", 4%, IF(E891="TARJETA / CHEQUE", 3%, IF(OR(E891="FINANCIADO", E891="MCP"), 2.5%, "")))</f>
        <v/>
      </c>
      <c r="G891" s="121" t="str">
        <f aca="false">IF(F891="", "", F891*D891)</f>
        <v/>
      </c>
      <c r="H891" s="132" t="b">
        <f aca="false">FALSE()</f>
        <v>0</v>
      </c>
      <c r="I891" s="132" t="b">
        <f aca="false">FALSE()</f>
        <v>0</v>
      </c>
      <c r="J891" s="126"/>
      <c r="K891" s="99"/>
      <c r="L891" s="83"/>
      <c r="M891" s="103"/>
      <c r="N891" s="103"/>
      <c r="O891" s="103"/>
      <c r="P891" s="103"/>
      <c r="Q891" s="103"/>
      <c r="R891" s="83"/>
      <c r="S891" s="103"/>
      <c r="T891" s="103"/>
      <c r="U891" s="103"/>
    </row>
    <row r="892" customFormat="false" ht="22.5" hidden="false" customHeight="true" outlineLevel="0" collapsed="false">
      <c r="A892" s="110"/>
      <c r="B892" s="110"/>
      <c r="C892" s="110"/>
      <c r="D892" s="122"/>
      <c r="E892" s="110"/>
      <c r="F892" s="128" t="str">
        <f aca="false">IF(E892="CONTADO", 4%, IF(E892="TARJETA / CHEQUE", 3%, IF(OR(E892="FINANCIADO", E892="MCP"), 2.5%, "")))</f>
        <v/>
      </c>
      <c r="G892" s="122" t="str">
        <f aca="false">IF(F892="", "", F892*D892)</f>
        <v/>
      </c>
      <c r="H892" s="131" t="b">
        <f aca="false">FALSE()</f>
        <v>0</v>
      </c>
      <c r="I892" s="131" t="b">
        <f aca="false">FALSE()</f>
        <v>0</v>
      </c>
      <c r="J892" s="130"/>
      <c r="K892" s="110"/>
      <c r="L892" s="83"/>
      <c r="M892" s="103"/>
      <c r="N892" s="103"/>
      <c r="O892" s="103"/>
      <c r="P892" s="103"/>
      <c r="Q892" s="103"/>
      <c r="R892" s="83"/>
      <c r="S892" s="103"/>
      <c r="T892" s="103"/>
      <c r="U892" s="103"/>
    </row>
    <row r="893" customFormat="false" ht="22.5" hidden="false" customHeight="true" outlineLevel="0" collapsed="false">
      <c r="A893" s="99"/>
      <c r="B893" s="99"/>
      <c r="C893" s="99"/>
      <c r="D893" s="121"/>
      <c r="E893" s="99"/>
      <c r="F893" s="124" t="str">
        <f aca="false">IF(E893="CONTADO", 4%, IF(E893="TARJETA / CHEQUE", 3%, IF(OR(E893="FINANCIADO", E893="MCP"), 2.5%, "")))</f>
        <v/>
      </c>
      <c r="G893" s="121" t="str">
        <f aca="false">IF(F893="", "", F893*D893)</f>
        <v/>
      </c>
      <c r="H893" s="132" t="b">
        <f aca="false">FALSE()</f>
        <v>0</v>
      </c>
      <c r="I893" s="132" t="b">
        <f aca="false">FALSE()</f>
        <v>0</v>
      </c>
      <c r="J893" s="126"/>
      <c r="K893" s="99"/>
      <c r="L893" s="83"/>
      <c r="M893" s="103"/>
      <c r="N893" s="103"/>
      <c r="O893" s="103"/>
      <c r="P893" s="103"/>
      <c r="Q893" s="103"/>
      <c r="R893" s="83"/>
      <c r="S893" s="103"/>
      <c r="T893" s="103"/>
      <c r="U893" s="103"/>
    </row>
    <row r="894" customFormat="false" ht="22.5" hidden="false" customHeight="true" outlineLevel="0" collapsed="false">
      <c r="A894" s="110"/>
      <c r="B894" s="110"/>
      <c r="C894" s="110"/>
      <c r="D894" s="122"/>
      <c r="E894" s="110"/>
      <c r="F894" s="128" t="str">
        <f aca="false">IF(E894="CONTADO", 4%, IF(E894="TARJETA / CHEQUE", 3%, IF(OR(E894="FINANCIADO", E894="MCP"), 2.5%, "")))</f>
        <v/>
      </c>
      <c r="G894" s="122" t="str">
        <f aca="false">IF(F894="", "", F894*D894)</f>
        <v/>
      </c>
      <c r="H894" s="131" t="b">
        <f aca="false">FALSE()</f>
        <v>0</v>
      </c>
      <c r="I894" s="131" t="b">
        <f aca="false">FALSE()</f>
        <v>0</v>
      </c>
      <c r="J894" s="130"/>
      <c r="K894" s="110"/>
      <c r="L894" s="83"/>
      <c r="M894" s="103"/>
      <c r="N894" s="103"/>
      <c r="O894" s="103"/>
      <c r="P894" s="103"/>
      <c r="Q894" s="103"/>
      <c r="R894" s="83"/>
      <c r="S894" s="103"/>
      <c r="T894" s="103"/>
      <c r="U894" s="103"/>
    </row>
    <row r="895" customFormat="false" ht="22.5" hidden="false" customHeight="true" outlineLevel="0" collapsed="false">
      <c r="A895" s="99"/>
      <c r="B895" s="99"/>
      <c r="C895" s="99"/>
      <c r="D895" s="121"/>
      <c r="E895" s="99"/>
      <c r="F895" s="124" t="str">
        <f aca="false">IF(E895="CONTADO", 4%, IF(E895="TARJETA / CHEQUE", 3%, IF(OR(E895="FINANCIADO", E895="MCP"), 2.5%, "")))</f>
        <v/>
      </c>
      <c r="G895" s="121" t="str">
        <f aca="false">IF(F895="", "", F895*D895)</f>
        <v/>
      </c>
      <c r="H895" s="132" t="b">
        <f aca="false">FALSE()</f>
        <v>0</v>
      </c>
      <c r="I895" s="132" t="b">
        <f aca="false">FALSE()</f>
        <v>0</v>
      </c>
      <c r="J895" s="126"/>
      <c r="K895" s="99"/>
      <c r="L895" s="83"/>
      <c r="M895" s="103"/>
      <c r="N895" s="103"/>
      <c r="O895" s="103"/>
      <c r="P895" s="103"/>
      <c r="Q895" s="103"/>
      <c r="R895" s="83"/>
      <c r="S895" s="103"/>
      <c r="T895" s="103"/>
      <c r="U895" s="103"/>
    </row>
    <row r="896" customFormat="false" ht="22.5" hidden="false" customHeight="true" outlineLevel="0" collapsed="false">
      <c r="A896" s="110"/>
      <c r="B896" s="110"/>
      <c r="C896" s="110"/>
      <c r="D896" s="122"/>
      <c r="E896" s="110"/>
      <c r="F896" s="128" t="str">
        <f aca="false">IF(E896="CONTADO", 4%, IF(E896="TARJETA / CHEQUE", 3%, IF(OR(E896="FINANCIADO", E896="MCP"), 2.5%, "")))</f>
        <v/>
      </c>
      <c r="G896" s="122" t="str">
        <f aca="false">IF(F896="", "", F896*D896)</f>
        <v/>
      </c>
      <c r="H896" s="131" t="b">
        <f aca="false">FALSE()</f>
        <v>0</v>
      </c>
      <c r="I896" s="131" t="b">
        <f aca="false">FALSE()</f>
        <v>0</v>
      </c>
      <c r="J896" s="130"/>
      <c r="K896" s="110"/>
      <c r="L896" s="83"/>
      <c r="M896" s="103"/>
      <c r="N896" s="103"/>
      <c r="O896" s="103"/>
      <c r="P896" s="103"/>
      <c r="Q896" s="103"/>
      <c r="R896" s="83"/>
      <c r="S896" s="103"/>
      <c r="T896" s="103"/>
      <c r="U896" s="103"/>
    </row>
    <row r="897" customFormat="false" ht="22.5" hidden="false" customHeight="true" outlineLevel="0" collapsed="false">
      <c r="A897" s="99"/>
      <c r="B897" s="99"/>
      <c r="C897" s="99"/>
      <c r="D897" s="121"/>
      <c r="E897" s="99"/>
      <c r="F897" s="124" t="str">
        <f aca="false">IF(E897="CONTADO", 4%, IF(E897="TARJETA / CHEQUE", 3%, IF(OR(E897="FINANCIADO", E897="MCP"), 2.5%, "")))</f>
        <v/>
      </c>
      <c r="G897" s="121" t="str">
        <f aca="false">IF(F897="", "", F897*D897)</f>
        <v/>
      </c>
      <c r="H897" s="132" t="b">
        <f aca="false">FALSE()</f>
        <v>0</v>
      </c>
      <c r="I897" s="132" t="b">
        <f aca="false">FALSE()</f>
        <v>0</v>
      </c>
      <c r="J897" s="126"/>
      <c r="K897" s="99"/>
      <c r="L897" s="83"/>
      <c r="M897" s="103"/>
      <c r="N897" s="103"/>
      <c r="O897" s="103"/>
      <c r="P897" s="103"/>
      <c r="Q897" s="103"/>
      <c r="R897" s="83"/>
      <c r="S897" s="103"/>
      <c r="T897" s="103"/>
      <c r="U897" s="103"/>
    </row>
    <row r="898" customFormat="false" ht="22.5" hidden="false" customHeight="true" outlineLevel="0" collapsed="false">
      <c r="A898" s="110"/>
      <c r="B898" s="110"/>
      <c r="C898" s="110"/>
      <c r="D898" s="122"/>
      <c r="E898" s="110"/>
      <c r="F898" s="128" t="str">
        <f aca="false">IF(E898="CONTADO", 4%, IF(E898="TARJETA / CHEQUE", 3%, IF(OR(E898="FINANCIADO", E898="MCP"), 2.5%, "")))</f>
        <v/>
      </c>
      <c r="G898" s="122" t="str">
        <f aca="false">IF(F898="", "", F898*D898)</f>
        <v/>
      </c>
      <c r="H898" s="131" t="b">
        <f aca="false">FALSE()</f>
        <v>0</v>
      </c>
      <c r="I898" s="131" t="b">
        <f aca="false">FALSE()</f>
        <v>0</v>
      </c>
      <c r="J898" s="130"/>
      <c r="K898" s="110"/>
      <c r="L898" s="83"/>
      <c r="M898" s="103"/>
      <c r="N898" s="103"/>
      <c r="O898" s="103"/>
      <c r="P898" s="103"/>
      <c r="Q898" s="103"/>
      <c r="R898" s="83"/>
      <c r="S898" s="103"/>
      <c r="T898" s="103"/>
      <c r="U898" s="103"/>
    </row>
    <row r="899" customFormat="false" ht="22.5" hidden="false" customHeight="true" outlineLevel="0" collapsed="false">
      <c r="A899" s="99"/>
      <c r="B899" s="99"/>
      <c r="C899" s="99"/>
      <c r="D899" s="121"/>
      <c r="E899" s="99"/>
      <c r="F899" s="124" t="str">
        <f aca="false">IF(E899="CONTADO", 4%, IF(E899="TARJETA / CHEQUE", 3%, IF(OR(E899="FINANCIADO", E899="MCP"), 2.5%, "")))</f>
        <v/>
      </c>
      <c r="G899" s="121" t="str">
        <f aca="false">IF(F899="", "", F899*D899)</f>
        <v/>
      </c>
      <c r="H899" s="132" t="b">
        <f aca="false">FALSE()</f>
        <v>0</v>
      </c>
      <c r="I899" s="132" t="b">
        <f aca="false">FALSE()</f>
        <v>0</v>
      </c>
      <c r="J899" s="126"/>
      <c r="K899" s="99"/>
      <c r="L899" s="83"/>
      <c r="M899" s="103"/>
      <c r="N899" s="103"/>
      <c r="O899" s="103"/>
      <c r="P899" s="103"/>
      <c r="Q899" s="103"/>
      <c r="R899" s="83"/>
      <c r="S899" s="103"/>
      <c r="T899" s="103"/>
      <c r="U899" s="103"/>
    </row>
    <row r="900" customFormat="false" ht="22.5" hidden="false" customHeight="true" outlineLevel="0" collapsed="false">
      <c r="A900" s="110"/>
      <c r="B900" s="110"/>
      <c r="C900" s="110"/>
      <c r="D900" s="122"/>
      <c r="E900" s="110"/>
      <c r="F900" s="128" t="str">
        <f aca="false">IF(E900="CONTADO", 4%, IF(E900="TARJETA / CHEQUE", 3%, IF(OR(E900="FINANCIADO", E900="MCP"), 2.5%, "")))</f>
        <v/>
      </c>
      <c r="G900" s="122" t="str">
        <f aca="false">IF(F900="", "", F900*D900)</f>
        <v/>
      </c>
      <c r="H900" s="131" t="b">
        <f aca="false">FALSE()</f>
        <v>0</v>
      </c>
      <c r="I900" s="131" t="b">
        <f aca="false">FALSE()</f>
        <v>0</v>
      </c>
      <c r="J900" s="130"/>
      <c r="K900" s="110"/>
      <c r="L900" s="83"/>
      <c r="M900" s="103"/>
      <c r="N900" s="103"/>
      <c r="O900" s="103"/>
      <c r="P900" s="103"/>
      <c r="Q900" s="103"/>
      <c r="R900" s="83"/>
      <c r="S900" s="103"/>
      <c r="T900" s="103"/>
      <c r="U900" s="103"/>
    </row>
    <row r="901" customFormat="false" ht="22.5" hidden="false" customHeight="true" outlineLevel="0" collapsed="false">
      <c r="A901" s="99"/>
      <c r="B901" s="99"/>
      <c r="C901" s="99"/>
      <c r="D901" s="121"/>
      <c r="E901" s="99"/>
      <c r="F901" s="124" t="str">
        <f aca="false">IF(E901="CONTADO", 4%, IF(E901="TARJETA / CHEQUE", 3%, IF(OR(E901="FINANCIADO", E901="MCP"), 2.5%, "")))</f>
        <v/>
      </c>
      <c r="G901" s="121" t="str">
        <f aca="false">IF(F901="", "", F901*D901)</f>
        <v/>
      </c>
      <c r="H901" s="132" t="b">
        <f aca="false">FALSE()</f>
        <v>0</v>
      </c>
      <c r="I901" s="132" t="b">
        <f aca="false">FALSE()</f>
        <v>0</v>
      </c>
      <c r="J901" s="126"/>
      <c r="K901" s="99"/>
      <c r="L901" s="83"/>
      <c r="M901" s="103"/>
      <c r="N901" s="103"/>
      <c r="O901" s="103"/>
      <c r="P901" s="103"/>
      <c r="Q901" s="103"/>
      <c r="R901" s="83"/>
      <c r="S901" s="103"/>
      <c r="T901" s="103"/>
      <c r="U901" s="103"/>
    </row>
    <row r="902" customFormat="false" ht="22.5" hidden="false" customHeight="true" outlineLevel="0" collapsed="false">
      <c r="A902" s="110"/>
      <c r="B902" s="110"/>
      <c r="C902" s="110"/>
      <c r="D902" s="122"/>
      <c r="E902" s="110"/>
      <c r="F902" s="128" t="str">
        <f aca="false">IF(E902="CONTADO", 4%, IF(E902="TARJETA / CHEQUE", 3%, IF(OR(E902="FINANCIADO", E902="MCP"), 2.5%, "")))</f>
        <v/>
      </c>
      <c r="G902" s="122" t="str">
        <f aca="false">IF(F902="", "", F902*D902)</f>
        <v/>
      </c>
      <c r="H902" s="131" t="b">
        <f aca="false">FALSE()</f>
        <v>0</v>
      </c>
      <c r="I902" s="131" t="b">
        <f aca="false">FALSE()</f>
        <v>0</v>
      </c>
      <c r="J902" s="130"/>
      <c r="K902" s="110"/>
      <c r="L902" s="83"/>
      <c r="M902" s="103"/>
      <c r="N902" s="103"/>
      <c r="O902" s="103"/>
      <c r="P902" s="103"/>
      <c r="Q902" s="103"/>
      <c r="R902" s="83"/>
      <c r="S902" s="103"/>
      <c r="T902" s="103"/>
      <c r="U902" s="103"/>
    </row>
    <row r="903" customFormat="false" ht="22.5" hidden="false" customHeight="true" outlineLevel="0" collapsed="false">
      <c r="A903" s="99"/>
      <c r="B903" s="99"/>
      <c r="C903" s="99"/>
      <c r="D903" s="121"/>
      <c r="E903" s="99"/>
      <c r="F903" s="124" t="str">
        <f aca="false">IF(E903="CONTADO", 4%, IF(E903="TARJETA / CHEQUE", 3%, IF(OR(E903="FINANCIADO", E903="MCP"), 2.5%, "")))</f>
        <v/>
      </c>
      <c r="G903" s="121" t="str">
        <f aca="false">IF(F903="", "", F903*D903)</f>
        <v/>
      </c>
      <c r="H903" s="132" t="b">
        <f aca="false">FALSE()</f>
        <v>0</v>
      </c>
      <c r="I903" s="132" t="b">
        <f aca="false">FALSE()</f>
        <v>0</v>
      </c>
      <c r="J903" s="126"/>
      <c r="K903" s="99"/>
      <c r="L903" s="83"/>
      <c r="M903" s="103"/>
      <c r="N903" s="103"/>
      <c r="O903" s="103"/>
      <c r="P903" s="103"/>
      <c r="Q903" s="103"/>
      <c r="R903" s="83"/>
      <c r="S903" s="103"/>
      <c r="T903" s="103"/>
      <c r="U903" s="103"/>
    </row>
    <row r="904" customFormat="false" ht="22.5" hidden="false" customHeight="true" outlineLevel="0" collapsed="false">
      <c r="A904" s="110"/>
      <c r="B904" s="110"/>
      <c r="C904" s="110"/>
      <c r="D904" s="122"/>
      <c r="E904" s="110"/>
      <c r="F904" s="128" t="str">
        <f aca="false">IF(E904="CONTADO", 4%, IF(E904="TARJETA / CHEQUE", 3%, IF(OR(E904="FINANCIADO", E904="MCP"), 2.5%, "")))</f>
        <v/>
      </c>
      <c r="G904" s="122" t="str">
        <f aca="false">IF(F904="", "", F904*D904)</f>
        <v/>
      </c>
      <c r="H904" s="131" t="b">
        <f aca="false">FALSE()</f>
        <v>0</v>
      </c>
      <c r="I904" s="131" t="b">
        <f aca="false">FALSE()</f>
        <v>0</v>
      </c>
      <c r="J904" s="130"/>
      <c r="K904" s="110"/>
      <c r="L904" s="83"/>
      <c r="M904" s="103"/>
      <c r="N904" s="103"/>
      <c r="O904" s="103"/>
      <c r="P904" s="103"/>
      <c r="Q904" s="103"/>
      <c r="R904" s="83"/>
      <c r="S904" s="103"/>
      <c r="T904" s="103"/>
      <c r="U904" s="103"/>
    </row>
    <row r="905" customFormat="false" ht="22.5" hidden="false" customHeight="true" outlineLevel="0" collapsed="false">
      <c r="A905" s="99"/>
      <c r="B905" s="99"/>
      <c r="C905" s="99"/>
      <c r="D905" s="121"/>
      <c r="E905" s="99"/>
      <c r="F905" s="124" t="str">
        <f aca="false">IF(E905="CONTADO", 4%, IF(E905="TARJETA / CHEQUE", 3%, IF(OR(E905="FINANCIADO", E905="MCP"), 2.5%, "")))</f>
        <v/>
      </c>
      <c r="G905" s="121" t="str">
        <f aca="false">IF(F905="", "", F905*D905)</f>
        <v/>
      </c>
      <c r="H905" s="132" t="b">
        <f aca="false">FALSE()</f>
        <v>0</v>
      </c>
      <c r="I905" s="132" t="b">
        <f aca="false">FALSE()</f>
        <v>0</v>
      </c>
      <c r="J905" s="126"/>
      <c r="K905" s="99"/>
      <c r="L905" s="83"/>
      <c r="M905" s="103"/>
      <c r="N905" s="103"/>
      <c r="O905" s="103"/>
      <c r="P905" s="103"/>
      <c r="Q905" s="103"/>
      <c r="R905" s="83"/>
      <c r="S905" s="103"/>
      <c r="T905" s="103"/>
      <c r="U905" s="103"/>
    </row>
    <row r="906" customFormat="false" ht="22.5" hidden="false" customHeight="true" outlineLevel="0" collapsed="false">
      <c r="A906" s="110"/>
      <c r="B906" s="110"/>
      <c r="C906" s="110"/>
      <c r="D906" s="122"/>
      <c r="E906" s="110"/>
      <c r="F906" s="128" t="str">
        <f aca="false">IF(E906="CONTADO", 4%, IF(E906="TARJETA / CHEQUE", 3%, IF(OR(E906="FINANCIADO", E906="MCP"), 2.5%, "")))</f>
        <v/>
      </c>
      <c r="G906" s="122" t="str">
        <f aca="false">IF(F906="", "", F906*D906)</f>
        <v/>
      </c>
      <c r="H906" s="131" t="b">
        <f aca="false">FALSE()</f>
        <v>0</v>
      </c>
      <c r="I906" s="131" t="b">
        <f aca="false">FALSE()</f>
        <v>0</v>
      </c>
      <c r="J906" s="130"/>
      <c r="K906" s="110"/>
      <c r="L906" s="83"/>
      <c r="M906" s="103"/>
      <c r="N906" s="103"/>
      <c r="O906" s="103"/>
      <c r="P906" s="103"/>
      <c r="Q906" s="103"/>
      <c r="R906" s="83"/>
      <c r="S906" s="103"/>
      <c r="T906" s="103"/>
      <c r="U906" s="103"/>
    </row>
    <row r="907" customFormat="false" ht="22.5" hidden="false" customHeight="true" outlineLevel="0" collapsed="false">
      <c r="A907" s="99"/>
      <c r="B907" s="99"/>
      <c r="C907" s="99"/>
      <c r="D907" s="121"/>
      <c r="E907" s="99"/>
      <c r="F907" s="124" t="str">
        <f aca="false">IF(E907="CONTADO", 4%, IF(E907="TARJETA / CHEQUE", 3%, IF(OR(E907="FINANCIADO", E907="MCP"), 2.5%, "")))</f>
        <v/>
      </c>
      <c r="G907" s="121" t="str">
        <f aca="false">IF(F907="", "", F907*D907)</f>
        <v/>
      </c>
      <c r="H907" s="132" t="b">
        <f aca="false">FALSE()</f>
        <v>0</v>
      </c>
      <c r="I907" s="132" t="b">
        <f aca="false">FALSE()</f>
        <v>0</v>
      </c>
      <c r="J907" s="126"/>
      <c r="K907" s="99"/>
      <c r="L907" s="83"/>
      <c r="M907" s="103"/>
      <c r="N907" s="103"/>
      <c r="O907" s="103"/>
      <c r="P907" s="103"/>
      <c r="Q907" s="103"/>
      <c r="R907" s="83"/>
      <c r="S907" s="103"/>
      <c r="T907" s="103"/>
      <c r="U907" s="103"/>
    </row>
    <row r="908" customFormat="false" ht="22.5" hidden="false" customHeight="true" outlineLevel="0" collapsed="false">
      <c r="A908" s="110"/>
      <c r="B908" s="110"/>
      <c r="C908" s="110"/>
      <c r="D908" s="122"/>
      <c r="E908" s="110"/>
      <c r="F908" s="128" t="str">
        <f aca="false">IF(E908="CONTADO", 4%, IF(E908="TARJETA / CHEQUE", 3%, IF(OR(E908="FINANCIADO", E908="MCP"), 2.5%, "")))</f>
        <v/>
      </c>
      <c r="G908" s="122" t="str">
        <f aca="false">IF(F908="", "", F908*D908)</f>
        <v/>
      </c>
      <c r="H908" s="131" t="b">
        <f aca="false">FALSE()</f>
        <v>0</v>
      </c>
      <c r="I908" s="131" t="b">
        <f aca="false">FALSE()</f>
        <v>0</v>
      </c>
      <c r="J908" s="130"/>
      <c r="K908" s="110"/>
      <c r="L908" s="83"/>
      <c r="M908" s="103"/>
      <c r="N908" s="103"/>
      <c r="O908" s="103"/>
      <c r="P908" s="103"/>
      <c r="Q908" s="103"/>
      <c r="R908" s="83"/>
      <c r="S908" s="103"/>
      <c r="T908" s="103"/>
      <c r="U908" s="103"/>
    </row>
    <row r="909" customFormat="false" ht="22.5" hidden="false" customHeight="true" outlineLevel="0" collapsed="false">
      <c r="A909" s="99"/>
      <c r="B909" s="99"/>
      <c r="C909" s="99"/>
      <c r="D909" s="121"/>
      <c r="E909" s="99"/>
      <c r="F909" s="124" t="str">
        <f aca="false">IF(E909="CONTADO", 4%, IF(E909="TARJETA / CHEQUE", 3%, IF(OR(E909="FINANCIADO", E909="MCP"), 2.5%, "")))</f>
        <v/>
      </c>
      <c r="G909" s="121" t="str">
        <f aca="false">IF(F909="", "", F909*D909)</f>
        <v/>
      </c>
      <c r="H909" s="132" t="b">
        <f aca="false">FALSE()</f>
        <v>0</v>
      </c>
      <c r="I909" s="132" t="b">
        <f aca="false">FALSE()</f>
        <v>0</v>
      </c>
      <c r="J909" s="126"/>
      <c r="K909" s="99"/>
      <c r="L909" s="83"/>
      <c r="M909" s="103"/>
      <c r="N909" s="103"/>
      <c r="O909" s="103"/>
      <c r="P909" s="103"/>
      <c r="Q909" s="103"/>
      <c r="R909" s="83"/>
      <c r="S909" s="103"/>
      <c r="T909" s="103"/>
      <c r="U909" s="103"/>
    </row>
    <row r="910" customFormat="false" ht="22.5" hidden="false" customHeight="true" outlineLevel="0" collapsed="false">
      <c r="A910" s="110"/>
      <c r="B910" s="110"/>
      <c r="C910" s="110"/>
      <c r="D910" s="122"/>
      <c r="E910" s="110"/>
      <c r="F910" s="128" t="str">
        <f aca="false">IF(E910="CONTADO", 4%, IF(E910="TARJETA / CHEQUE", 3%, IF(OR(E910="FINANCIADO", E910="MCP"), 2.5%, "")))</f>
        <v/>
      </c>
      <c r="G910" s="122" t="str">
        <f aca="false">IF(F910="", "", F910*D910)</f>
        <v/>
      </c>
      <c r="H910" s="131" t="b">
        <f aca="false">FALSE()</f>
        <v>0</v>
      </c>
      <c r="I910" s="131" t="b">
        <f aca="false">FALSE()</f>
        <v>0</v>
      </c>
      <c r="J910" s="130"/>
      <c r="K910" s="110"/>
      <c r="L910" s="83"/>
      <c r="M910" s="103"/>
      <c r="N910" s="103"/>
      <c r="O910" s="103"/>
      <c r="P910" s="103"/>
      <c r="Q910" s="103"/>
      <c r="R910" s="83"/>
      <c r="S910" s="103"/>
      <c r="T910" s="103"/>
      <c r="U910" s="103"/>
    </row>
    <row r="911" customFormat="false" ht="22.5" hidden="false" customHeight="true" outlineLevel="0" collapsed="false">
      <c r="A911" s="99"/>
      <c r="B911" s="99"/>
      <c r="C911" s="99"/>
      <c r="D911" s="121"/>
      <c r="E911" s="99"/>
      <c r="F911" s="124" t="str">
        <f aca="false">IF(E911="CONTADO", 4%, IF(E911="TARJETA / CHEQUE", 3%, IF(OR(E911="FINANCIADO", E911="MCP"), 2.5%, "")))</f>
        <v/>
      </c>
      <c r="G911" s="121" t="str">
        <f aca="false">IF(F911="", "", F911*D911)</f>
        <v/>
      </c>
      <c r="H911" s="132" t="b">
        <f aca="false">FALSE()</f>
        <v>0</v>
      </c>
      <c r="I911" s="132" t="b">
        <f aca="false">FALSE()</f>
        <v>0</v>
      </c>
      <c r="J911" s="126"/>
      <c r="K911" s="99"/>
      <c r="L911" s="83"/>
      <c r="M911" s="103"/>
      <c r="N911" s="103"/>
      <c r="O911" s="103"/>
      <c r="P911" s="103"/>
      <c r="Q911" s="103"/>
      <c r="R911" s="83"/>
      <c r="S911" s="103"/>
      <c r="T911" s="103"/>
      <c r="U911" s="103"/>
    </row>
    <row r="912" customFormat="false" ht="22.5" hidden="false" customHeight="true" outlineLevel="0" collapsed="false">
      <c r="A912" s="110"/>
      <c r="B912" s="110"/>
      <c r="C912" s="110"/>
      <c r="D912" s="122"/>
      <c r="E912" s="110"/>
      <c r="F912" s="128" t="str">
        <f aca="false">IF(E912="CONTADO", 4%, IF(E912="TARJETA / CHEQUE", 3%, IF(OR(E912="FINANCIADO", E912="MCP"), 2.5%, "")))</f>
        <v/>
      </c>
      <c r="G912" s="122" t="str">
        <f aca="false">IF(F912="", "", F912*D912)</f>
        <v/>
      </c>
      <c r="H912" s="131" t="b">
        <f aca="false">FALSE()</f>
        <v>0</v>
      </c>
      <c r="I912" s="131" t="b">
        <f aca="false">FALSE()</f>
        <v>0</v>
      </c>
      <c r="J912" s="130"/>
      <c r="K912" s="110"/>
      <c r="L912" s="83"/>
      <c r="M912" s="103"/>
      <c r="N912" s="103"/>
      <c r="O912" s="103"/>
      <c r="P912" s="103"/>
      <c r="Q912" s="103"/>
      <c r="R912" s="83"/>
      <c r="S912" s="103"/>
      <c r="T912" s="103"/>
      <c r="U912" s="103"/>
    </row>
    <row r="913" customFormat="false" ht="22.5" hidden="false" customHeight="true" outlineLevel="0" collapsed="false">
      <c r="A913" s="99"/>
      <c r="B913" s="99"/>
      <c r="C913" s="99"/>
      <c r="D913" s="121"/>
      <c r="E913" s="99"/>
      <c r="F913" s="124" t="str">
        <f aca="false">IF(E913="CONTADO", 4%, IF(E913="TARJETA / CHEQUE", 3%, IF(OR(E913="FINANCIADO", E913="MCP"), 2.5%, "")))</f>
        <v/>
      </c>
      <c r="G913" s="121" t="str">
        <f aca="false">IF(F913="", "", F913*D913)</f>
        <v/>
      </c>
      <c r="H913" s="132" t="b">
        <f aca="false">FALSE()</f>
        <v>0</v>
      </c>
      <c r="I913" s="132" t="b">
        <f aca="false">FALSE()</f>
        <v>0</v>
      </c>
      <c r="J913" s="126"/>
      <c r="K913" s="99"/>
      <c r="L913" s="83"/>
      <c r="M913" s="103"/>
      <c r="N913" s="103"/>
      <c r="O913" s="103"/>
      <c r="P913" s="103"/>
      <c r="Q913" s="103"/>
      <c r="R913" s="83"/>
      <c r="S913" s="103"/>
      <c r="T913" s="103"/>
      <c r="U913" s="103"/>
    </row>
    <row r="914" customFormat="false" ht="22.5" hidden="false" customHeight="true" outlineLevel="0" collapsed="false">
      <c r="A914" s="110"/>
      <c r="B914" s="110"/>
      <c r="C914" s="110"/>
      <c r="D914" s="122"/>
      <c r="E914" s="110"/>
      <c r="F914" s="128" t="str">
        <f aca="false">IF(E914="CONTADO", 4%, IF(E914="TARJETA / CHEQUE", 3%, IF(OR(E914="FINANCIADO", E914="MCP"), 2.5%, "")))</f>
        <v/>
      </c>
      <c r="G914" s="122" t="str">
        <f aca="false">IF(F914="", "", F914*D914)</f>
        <v/>
      </c>
      <c r="H914" s="131" t="b">
        <f aca="false">FALSE()</f>
        <v>0</v>
      </c>
      <c r="I914" s="131" t="b">
        <f aca="false">FALSE()</f>
        <v>0</v>
      </c>
      <c r="J914" s="130"/>
      <c r="K914" s="110"/>
      <c r="L914" s="83"/>
      <c r="M914" s="103"/>
      <c r="N914" s="103"/>
      <c r="O914" s="103"/>
      <c r="P914" s="103"/>
      <c r="Q914" s="103"/>
      <c r="R914" s="83"/>
      <c r="S914" s="103"/>
      <c r="T914" s="103"/>
      <c r="U914" s="103"/>
    </row>
    <row r="915" customFormat="false" ht="22.5" hidden="false" customHeight="true" outlineLevel="0" collapsed="false">
      <c r="A915" s="99"/>
      <c r="B915" s="99"/>
      <c r="C915" s="99"/>
      <c r="D915" s="121"/>
      <c r="E915" s="99"/>
      <c r="F915" s="124" t="str">
        <f aca="false">IF(E915="CONTADO", 4%, IF(E915="TARJETA / CHEQUE", 3%, IF(OR(E915="FINANCIADO", E915="MCP"), 2.5%, "")))</f>
        <v/>
      </c>
      <c r="G915" s="121" t="str">
        <f aca="false">IF(F915="", "", F915*D915)</f>
        <v/>
      </c>
      <c r="H915" s="132" t="b">
        <f aca="false">FALSE()</f>
        <v>0</v>
      </c>
      <c r="I915" s="132" t="b">
        <f aca="false">FALSE()</f>
        <v>0</v>
      </c>
      <c r="J915" s="126"/>
      <c r="K915" s="99"/>
      <c r="L915" s="83"/>
      <c r="M915" s="103"/>
      <c r="N915" s="103"/>
      <c r="O915" s="103"/>
      <c r="P915" s="103"/>
      <c r="Q915" s="103"/>
      <c r="R915" s="83"/>
      <c r="S915" s="103"/>
      <c r="T915" s="103"/>
      <c r="U915" s="103"/>
    </row>
    <row r="916" customFormat="false" ht="22.5" hidden="false" customHeight="true" outlineLevel="0" collapsed="false">
      <c r="A916" s="110"/>
      <c r="B916" s="110"/>
      <c r="C916" s="110"/>
      <c r="D916" s="122"/>
      <c r="E916" s="110"/>
      <c r="F916" s="128" t="str">
        <f aca="false">IF(E916="CONTADO", 4%, IF(E916="TARJETA / CHEQUE", 3%, IF(OR(E916="FINANCIADO", E916="MCP"), 2.5%, "")))</f>
        <v/>
      </c>
      <c r="G916" s="122" t="str">
        <f aca="false">IF(F916="", "", F916*D916)</f>
        <v/>
      </c>
      <c r="H916" s="131" t="b">
        <f aca="false">FALSE()</f>
        <v>0</v>
      </c>
      <c r="I916" s="131" t="b">
        <f aca="false">FALSE()</f>
        <v>0</v>
      </c>
      <c r="J916" s="130"/>
      <c r="K916" s="110"/>
      <c r="L916" s="83"/>
      <c r="M916" s="103"/>
      <c r="N916" s="103"/>
      <c r="O916" s="103"/>
      <c r="P916" s="103"/>
      <c r="Q916" s="103"/>
      <c r="R916" s="83"/>
      <c r="S916" s="103"/>
      <c r="T916" s="103"/>
      <c r="U916" s="103"/>
    </row>
    <row r="917" customFormat="false" ht="22.5" hidden="false" customHeight="true" outlineLevel="0" collapsed="false">
      <c r="A917" s="99"/>
      <c r="B917" s="99"/>
      <c r="C917" s="99"/>
      <c r="D917" s="121"/>
      <c r="E917" s="99"/>
      <c r="F917" s="124" t="str">
        <f aca="false">IF(E917="CONTADO", 4%, IF(E917="TARJETA / CHEQUE", 3%, IF(OR(E917="FINANCIADO", E917="MCP"), 2.5%, "")))</f>
        <v/>
      </c>
      <c r="G917" s="121" t="str">
        <f aca="false">IF(F917="", "", F917*D917)</f>
        <v/>
      </c>
      <c r="H917" s="132" t="b">
        <f aca="false">FALSE()</f>
        <v>0</v>
      </c>
      <c r="I917" s="132" t="b">
        <f aca="false">FALSE()</f>
        <v>0</v>
      </c>
      <c r="J917" s="126"/>
      <c r="K917" s="99"/>
      <c r="L917" s="83"/>
      <c r="M917" s="103"/>
      <c r="N917" s="103"/>
      <c r="O917" s="103"/>
      <c r="P917" s="103"/>
      <c r="Q917" s="103"/>
      <c r="R917" s="83"/>
      <c r="S917" s="103"/>
      <c r="T917" s="103"/>
      <c r="U917" s="103"/>
    </row>
    <row r="918" customFormat="false" ht="22.5" hidden="false" customHeight="true" outlineLevel="0" collapsed="false">
      <c r="A918" s="110"/>
      <c r="B918" s="110"/>
      <c r="C918" s="110"/>
      <c r="D918" s="122"/>
      <c r="E918" s="110"/>
      <c r="F918" s="128" t="str">
        <f aca="false">IF(E918="CONTADO", 4%, IF(E918="TARJETA / CHEQUE", 3%, IF(OR(E918="FINANCIADO", E918="MCP"), 2.5%, "")))</f>
        <v/>
      </c>
      <c r="G918" s="122" t="str">
        <f aca="false">IF(F918="", "", F918*D918)</f>
        <v/>
      </c>
      <c r="H918" s="131" t="b">
        <f aca="false">FALSE()</f>
        <v>0</v>
      </c>
      <c r="I918" s="131" t="b">
        <f aca="false">FALSE()</f>
        <v>0</v>
      </c>
      <c r="J918" s="130"/>
      <c r="K918" s="110"/>
      <c r="L918" s="83"/>
      <c r="M918" s="103"/>
      <c r="N918" s="103"/>
      <c r="O918" s="103"/>
      <c r="P918" s="103"/>
      <c r="Q918" s="103"/>
      <c r="R918" s="83"/>
      <c r="S918" s="103"/>
      <c r="T918" s="103"/>
      <c r="U918" s="103"/>
    </row>
    <row r="919" customFormat="false" ht="22.5" hidden="false" customHeight="true" outlineLevel="0" collapsed="false">
      <c r="A919" s="99"/>
      <c r="B919" s="99"/>
      <c r="C919" s="99"/>
      <c r="D919" s="121"/>
      <c r="E919" s="99"/>
      <c r="F919" s="124" t="str">
        <f aca="false">IF(E919="CONTADO", 4%, IF(E919="TARJETA / CHEQUE", 3%, IF(OR(E919="FINANCIADO", E919="MCP"), 2.5%, "")))</f>
        <v/>
      </c>
      <c r="G919" s="121" t="str">
        <f aca="false">IF(F919="", "", F919*D919)</f>
        <v/>
      </c>
      <c r="H919" s="132" t="b">
        <f aca="false">FALSE()</f>
        <v>0</v>
      </c>
      <c r="I919" s="132" t="b">
        <f aca="false">FALSE()</f>
        <v>0</v>
      </c>
      <c r="J919" s="126"/>
      <c r="K919" s="99"/>
      <c r="L919" s="83"/>
      <c r="M919" s="103"/>
      <c r="N919" s="103"/>
      <c r="O919" s="103"/>
      <c r="P919" s="103"/>
      <c r="Q919" s="103"/>
      <c r="R919" s="83"/>
      <c r="S919" s="103"/>
      <c r="T919" s="103"/>
      <c r="U919" s="103"/>
    </row>
    <row r="920" customFormat="false" ht="22.5" hidden="false" customHeight="true" outlineLevel="0" collapsed="false">
      <c r="A920" s="110"/>
      <c r="B920" s="110"/>
      <c r="C920" s="110"/>
      <c r="D920" s="122"/>
      <c r="E920" s="110"/>
      <c r="F920" s="128" t="str">
        <f aca="false">IF(E920="CONTADO", 4%, IF(E920="TARJETA / CHEQUE", 3%, IF(OR(E920="FINANCIADO", E920="MCP"), 2.5%, "")))</f>
        <v/>
      </c>
      <c r="G920" s="122" t="str">
        <f aca="false">IF(F920="", "", F920*D920)</f>
        <v/>
      </c>
      <c r="H920" s="131" t="b">
        <f aca="false">FALSE()</f>
        <v>0</v>
      </c>
      <c r="I920" s="131" t="b">
        <f aca="false">FALSE()</f>
        <v>0</v>
      </c>
      <c r="J920" s="130"/>
      <c r="K920" s="110"/>
      <c r="L920" s="83"/>
      <c r="M920" s="103"/>
      <c r="N920" s="103"/>
      <c r="O920" s="103"/>
      <c r="P920" s="103"/>
      <c r="Q920" s="103"/>
      <c r="R920" s="83"/>
      <c r="S920" s="103"/>
      <c r="T920" s="103"/>
      <c r="U920" s="103"/>
    </row>
    <row r="921" customFormat="false" ht="22.5" hidden="false" customHeight="true" outlineLevel="0" collapsed="false">
      <c r="A921" s="99"/>
      <c r="B921" s="99"/>
      <c r="C921" s="99"/>
      <c r="D921" s="121"/>
      <c r="E921" s="99"/>
      <c r="F921" s="124" t="str">
        <f aca="false">IF(E921="CONTADO", 4%, IF(E921="TARJETA / CHEQUE", 3%, IF(OR(E921="FINANCIADO", E921="MCP"), 2.5%, "")))</f>
        <v/>
      </c>
      <c r="G921" s="121" t="str">
        <f aca="false">IF(F921="", "", F921*D921)</f>
        <v/>
      </c>
      <c r="H921" s="132" t="b">
        <f aca="false">FALSE()</f>
        <v>0</v>
      </c>
      <c r="I921" s="132" t="b">
        <f aca="false">FALSE()</f>
        <v>0</v>
      </c>
      <c r="J921" s="126"/>
      <c r="K921" s="99"/>
      <c r="L921" s="83"/>
      <c r="M921" s="103"/>
      <c r="N921" s="103"/>
      <c r="O921" s="103"/>
      <c r="P921" s="103"/>
      <c r="Q921" s="103"/>
      <c r="R921" s="83"/>
      <c r="S921" s="103"/>
      <c r="T921" s="103"/>
      <c r="U921" s="103"/>
    </row>
    <row r="922" customFormat="false" ht="22.5" hidden="false" customHeight="true" outlineLevel="0" collapsed="false">
      <c r="A922" s="110"/>
      <c r="B922" s="110"/>
      <c r="C922" s="110"/>
      <c r="D922" s="122"/>
      <c r="E922" s="110"/>
      <c r="F922" s="128" t="str">
        <f aca="false">IF(E922="CONTADO", 4%, IF(E922="TARJETA / CHEQUE", 3%, IF(OR(E922="FINANCIADO", E922="MCP"), 2.5%, "")))</f>
        <v/>
      </c>
      <c r="G922" s="122" t="str">
        <f aca="false">IF(F922="", "", F922*D922)</f>
        <v/>
      </c>
      <c r="H922" s="131" t="b">
        <f aca="false">FALSE()</f>
        <v>0</v>
      </c>
      <c r="I922" s="131" t="b">
        <f aca="false">FALSE()</f>
        <v>0</v>
      </c>
      <c r="J922" s="130"/>
      <c r="K922" s="110"/>
      <c r="L922" s="83"/>
      <c r="M922" s="103"/>
      <c r="N922" s="103"/>
      <c r="O922" s="103"/>
      <c r="P922" s="103"/>
      <c r="Q922" s="103"/>
      <c r="R922" s="83"/>
      <c r="S922" s="103"/>
      <c r="T922" s="103"/>
      <c r="U922" s="103"/>
    </row>
    <row r="923" customFormat="false" ht="22.5" hidden="false" customHeight="true" outlineLevel="0" collapsed="false">
      <c r="A923" s="99"/>
      <c r="B923" s="99"/>
      <c r="C923" s="99"/>
      <c r="D923" s="121"/>
      <c r="E923" s="99"/>
      <c r="F923" s="124" t="str">
        <f aca="false">IF(E923="CONTADO", 4%, IF(E923="TARJETA / CHEQUE", 3%, IF(OR(E923="FINANCIADO", E923="MCP"), 2.5%, "")))</f>
        <v/>
      </c>
      <c r="G923" s="121" t="str">
        <f aca="false">IF(F923="", "", F923*D923)</f>
        <v/>
      </c>
      <c r="H923" s="132" t="b">
        <f aca="false">FALSE()</f>
        <v>0</v>
      </c>
      <c r="I923" s="132" t="b">
        <f aca="false">FALSE()</f>
        <v>0</v>
      </c>
      <c r="J923" s="126"/>
      <c r="K923" s="99"/>
      <c r="L923" s="83"/>
      <c r="M923" s="103"/>
      <c r="N923" s="103"/>
      <c r="O923" s="103"/>
      <c r="P923" s="103"/>
      <c r="Q923" s="103"/>
      <c r="R923" s="83"/>
      <c r="S923" s="103"/>
      <c r="T923" s="103"/>
      <c r="U923" s="103"/>
    </row>
    <row r="924" customFormat="false" ht="22.5" hidden="false" customHeight="true" outlineLevel="0" collapsed="false">
      <c r="A924" s="110"/>
      <c r="B924" s="110"/>
      <c r="C924" s="110"/>
      <c r="D924" s="122"/>
      <c r="E924" s="110"/>
      <c r="F924" s="128" t="str">
        <f aca="false">IF(E924="CONTADO", 4%, IF(E924="TARJETA / CHEQUE", 3%, IF(OR(E924="FINANCIADO", E924="MCP"), 2.5%, "")))</f>
        <v/>
      </c>
      <c r="G924" s="122" t="str">
        <f aca="false">IF(F924="", "", F924*D924)</f>
        <v/>
      </c>
      <c r="H924" s="131" t="b">
        <f aca="false">FALSE()</f>
        <v>0</v>
      </c>
      <c r="I924" s="131" t="b">
        <f aca="false">FALSE()</f>
        <v>0</v>
      </c>
      <c r="J924" s="130"/>
      <c r="K924" s="110"/>
      <c r="L924" s="83"/>
      <c r="M924" s="103"/>
      <c r="N924" s="103"/>
      <c r="O924" s="103"/>
      <c r="P924" s="103"/>
      <c r="Q924" s="103"/>
      <c r="R924" s="83"/>
      <c r="S924" s="103"/>
      <c r="T924" s="103"/>
      <c r="U924" s="103"/>
    </row>
    <row r="925" customFormat="false" ht="22.5" hidden="false" customHeight="true" outlineLevel="0" collapsed="false">
      <c r="A925" s="99"/>
      <c r="B925" s="99"/>
      <c r="C925" s="99"/>
      <c r="D925" s="121"/>
      <c r="E925" s="99"/>
      <c r="F925" s="124" t="str">
        <f aca="false">IF(E925="CONTADO", 4%, IF(E925="TARJETA / CHEQUE", 3%, IF(OR(E925="FINANCIADO", E925="MCP"), 2.5%, "")))</f>
        <v/>
      </c>
      <c r="G925" s="121" t="str">
        <f aca="false">IF(F925="", "", F925*D925)</f>
        <v/>
      </c>
      <c r="H925" s="132" t="b">
        <f aca="false">FALSE()</f>
        <v>0</v>
      </c>
      <c r="I925" s="132" t="b">
        <f aca="false">FALSE()</f>
        <v>0</v>
      </c>
      <c r="J925" s="126"/>
      <c r="K925" s="99"/>
      <c r="L925" s="83"/>
      <c r="M925" s="103"/>
      <c r="N925" s="103"/>
      <c r="O925" s="103"/>
      <c r="P925" s="103"/>
      <c r="Q925" s="103"/>
      <c r="R925" s="83"/>
      <c r="S925" s="103"/>
      <c r="T925" s="103"/>
      <c r="U925" s="103"/>
    </row>
    <row r="926" customFormat="false" ht="22.5" hidden="false" customHeight="true" outlineLevel="0" collapsed="false">
      <c r="A926" s="110"/>
      <c r="B926" s="110"/>
      <c r="C926" s="110"/>
      <c r="D926" s="122"/>
      <c r="E926" s="110"/>
      <c r="F926" s="128" t="str">
        <f aca="false">IF(E926="CONTADO", 4%, IF(E926="TARJETA / CHEQUE", 3%, IF(OR(E926="FINANCIADO", E926="MCP"), 2.5%, "")))</f>
        <v/>
      </c>
      <c r="G926" s="122" t="str">
        <f aca="false">IF(F926="", "", F926*D926)</f>
        <v/>
      </c>
      <c r="H926" s="131" t="b">
        <f aca="false">FALSE()</f>
        <v>0</v>
      </c>
      <c r="I926" s="131" t="b">
        <f aca="false">FALSE()</f>
        <v>0</v>
      </c>
      <c r="J926" s="130"/>
      <c r="K926" s="110"/>
      <c r="L926" s="83"/>
      <c r="M926" s="103"/>
      <c r="N926" s="103"/>
      <c r="O926" s="103"/>
      <c r="P926" s="103"/>
      <c r="Q926" s="103"/>
      <c r="R926" s="83"/>
      <c r="S926" s="103"/>
      <c r="T926" s="103"/>
      <c r="U926" s="103"/>
    </row>
    <row r="927" customFormat="false" ht="22.5" hidden="false" customHeight="true" outlineLevel="0" collapsed="false">
      <c r="A927" s="99"/>
      <c r="B927" s="99"/>
      <c r="C927" s="99"/>
      <c r="D927" s="121"/>
      <c r="E927" s="99"/>
      <c r="F927" s="124" t="str">
        <f aca="false">IF(E927="CONTADO", 4%, IF(E927="TARJETA / CHEQUE", 3%, IF(OR(E927="FINANCIADO", E927="MCP"), 2.5%, "")))</f>
        <v/>
      </c>
      <c r="G927" s="121" t="str">
        <f aca="false">IF(F927="", "", F927*D927)</f>
        <v/>
      </c>
      <c r="H927" s="132" t="b">
        <f aca="false">FALSE()</f>
        <v>0</v>
      </c>
      <c r="I927" s="132" t="b">
        <f aca="false">FALSE()</f>
        <v>0</v>
      </c>
      <c r="J927" s="126"/>
      <c r="K927" s="99"/>
      <c r="L927" s="83"/>
      <c r="M927" s="103"/>
      <c r="N927" s="103"/>
      <c r="O927" s="103"/>
      <c r="P927" s="103"/>
      <c r="Q927" s="103"/>
      <c r="R927" s="83"/>
      <c r="S927" s="103"/>
      <c r="T927" s="103"/>
      <c r="U927" s="103"/>
    </row>
    <row r="928" customFormat="false" ht="22.5" hidden="false" customHeight="true" outlineLevel="0" collapsed="false">
      <c r="A928" s="110"/>
      <c r="B928" s="110"/>
      <c r="C928" s="110"/>
      <c r="D928" s="122"/>
      <c r="E928" s="110"/>
      <c r="F928" s="128" t="str">
        <f aca="false">IF(E928="CONTADO", 4%, IF(E928="TARJETA / CHEQUE", 3%, IF(OR(E928="FINANCIADO", E928="MCP"), 2.5%, "")))</f>
        <v/>
      </c>
      <c r="G928" s="122" t="str">
        <f aca="false">IF(F928="", "", F928*D928)</f>
        <v/>
      </c>
      <c r="H928" s="131" t="b">
        <f aca="false">FALSE()</f>
        <v>0</v>
      </c>
      <c r="I928" s="131" t="b">
        <f aca="false">FALSE()</f>
        <v>0</v>
      </c>
      <c r="J928" s="130"/>
      <c r="K928" s="110"/>
      <c r="L928" s="83"/>
      <c r="M928" s="103"/>
      <c r="N928" s="103"/>
      <c r="O928" s="103"/>
      <c r="P928" s="103"/>
      <c r="Q928" s="103"/>
      <c r="R928" s="83"/>
      <c r="S928" s="103"/>
      <c r="T928" s="103"/>
      <c r="U928" s="103"/>
    </row>
    <row r="929" customFormat="false" ht="22.5" hidden="false" customHeight="true" outlineLevel="0" collapsed="false">
      <c r="A929" s="99"/>
      <c r="B929" s="99"/>
      <c r="C929" s="99"/>
      <c r="D929" s="121"/>
      <c r="E929" s="99"/>
      <c r="F929" s="124" t="str">
        <f aca="false">IF(E929="CONTADO", 4%, IF(E929="TARJETA / CHEQUE", 3%, IF(OR(E929="FINANCIADO", E929="MCP"), 2.5%, "")))</f>
        <v/>
      </c>
      <c r="G929" s="121" t="str">
        <f aca="false">IF(F929="", "", F929*D929)</f>
        <v/>
      </c>
      <c r="H929" s="132" t="b">
        <f aca="false">FALSE()</f>
        <v>0</v>
      </c>
      <c r="I929" s="132" t="b">
        <f aca="false">FALSE()</f>
        <v>0</v>
      </c>
      <c r="J929" s="126"/>
      <c r="K929" s="99"/>
      <c r="L929" s="83"/>
      <c r="M929" s="103"/>
      <c r="N929" s="103"/>
      <c r="O929" s="103"/>
      <c r="P929" s="103"/>
      <c r="Q929" s="103"/>
      <c r="R929" s="83"/>
      <c r="S929" s="103"/>
      <c r="T929" s="103"/>
      <c r="U929" s="103"/>
    </row>
    <row r="930" customFormat="false" ht="22.5" hidden="false" customHeight="true" outlineLevel="0" collapsed="false">
      <c r="A930" s="110"/>
      <c r="B930" s="110"/>
      <c r="C930" s="110"/>
      <c r="D930" s="122"/>
      <c r="E930" s="110"/>
      <c r="F930" s="128" t="str">
        <f aca="false">IF(E930="CONTADO", 4%, IF(E930="TARJETA / CHEQUE", 3%, IF(OR(E930="FINANCIADO", E930="MCP"), 2.5%, "")))</f>
        <v/>
      </c>
      <c r="G930" s="122" t="str">
        <f aca="false">IF(F930="", "", F930*D930)</f>
        <v/>
      </c>
      <c r="H930" s="131" t="b">
        <f aca="false">FALSE()</f>
        <v>0</v>
      </c>
      <c r="I930" s="131" t="b">
        <f aca="false">FALSE()</f>
        <v>0</v>
      </c>
      <c r="J930" s="130"/>
      <c r="K930" s="110"/>
      <c r="L930" s="83"/>
      <c r="M930" s="103"/>
      <c r="N930" s="103"/>
      <c r="O930" s="103"/>
      <c r="P930" s="103"/>
      <c r="Q930" s="103"/>
      <c r="R930" s="83"/>
      <c r="S930" s="103"/>
      <c r="T930" s="103"/>
      <c r="U930" s="103"/>
    </row>
    <row r="931" customFormat="false" ht="22.5" hidden="false" customHeight="true" outlineLevel="0" collapsed="false">
      <c r="A931" s="99"/>
      <c r="B931" s="99"/>
      <c r="C931" s="99"/>
      <c r="D931" s="121"/>
      <c r="E931" s="99"/>
      <c r="F931" s="124" t="str">
        <f aca="false">IF(E931="CONTADO", 4%, IF(E931="TARJETA / CHEQUE", 3%, IF(OR(E931="FINANCIADO", E931="MCP"), 2.5%, "")))</f>
        <v/>
      </c>
      <c r="G931" s="121" t="str">
        <f aca="false">IF(F931="", "", F931*D931)</f>
        <v/>
      </c>
      <c r="H931" s="132" t="b">
        <f aca="false">FALSE()</f>
        <v>0</v>
      </c>
      <c r="I931" s="132" t="b">
        <f aca="false">FALSE()</f>
        <v>0</v>
      </c>
      <c r="J931" s="126"/>
      <c r="K931" s="99"/>
      <c r="L931" s="83"/>
      <c r="M931" s="103"/>
      <c r="N931" s="103"/>
      <c r="O931" s="103"/>
      <c r="P931" s="103"/>
      <c r="Q931" s="103"/>
      <c r="R931" s="83"/>
      <c r="S931" s="103"/>
      <c r="T931" s="103"/>
      <c r="U931" s="103"/>
    </row>
    <row r="932" customFormat="false" ht="22.5" hidden="false" customHeight="true" outlineLevel="0" collapsed="false">
      <c r="A932" s="110"/>
      <c r="B932" s="110"/>
      <c r="C932" s="110"/>
      <c r="D932" s="122"/>
      <c r="E932" s="110"/>
      <c r="F932" s="128" t="str">
        <f aca="false">IF(E932="CONTADO", 4%, IF(E932="TARJETA / CHEQUE", 3%, IF(OR(E932="FINANCIADO", E932="MCP"), 2.5%, "")))</f>
        <v/>
      </c>
      <c r="G932" s="122" t="str">
        <f aca="false">IF(F932="", "", F932*D932)</f>
        <v/>
      </c>
      <c r="H932" s="131" t="b">
        <f aca="false">FALSE()</f>
        <v>0</v>
      </c>
      <c r="I932" s="131" t="b">
        <f aca="false">FALSE()</f>
        <v>0</v>
      </c>
      <c r="J932" s="130"/>
      <c r="K932" s="110"/>
      <c r="L932" s="83"/>
      <c r="M932" s="103"/>
      <c r="N932" s="103"/>
      <c r="O932" s="103"/>
      <c r="P932" s="103"/>
      <c r="Q932" s="103"/>
      <c r="R932" s="83"/>
      <c r="S932" s="103"/>
      <c r="T932" s="103"/>
      <c r="U932" s="103"/>
    </row>
    <row r="933" customFormat="false" ht="22.5" hidden="false" customHeight="true" outlineLevel="0" collapsed="false">
      <c r="A933" s="99"/>
      <c r="B933" s="99"/>
      <c r="C933" s="99"/>
      <c r="D933" s="121"/>
      <c r="E933" s="99"/>
      <c r="F933" s="124" t="str">
        <f aca="false">IF(E933="CONTADO", 4%, IF(E933="TARJETA / CHEQUE", 3%, IF(OR(E933="FINANCIADO", E933="MCP"), 2.5%, "")))</f>
        <v/>
      </c>
      <c r="G933" s="121" t="str">
        <f aca="false">IF(F933="", "", F933*D933)</f>
        <v/>
      </c>
      <c r="H933" s="132" t="b">
        <f aca="false">FALSE()</f>
        <v>0</v>
      </c>
      <c r="I933" s="132" t="b">
        <f aca="false">FALSE()</f>
        <v>0</v>
      </c>
      <c r="J933" s="126"/>
      <c r="K933" s="99"/>
      <c r="L933" s="83"/>
      <c r="M933" s="103"/>
      <c r="N933" s="103"/>
      <c r="O933" s="103"/>
      <c r="P933" s="103"/>
      <c r="Q933" s="103"/>
      <c r="R933" s="83"/>
      <c r="S933" s="103"/>
      <c r="T933" s="103"/>
      <c r="U933" s="103"/>
    </row>
    <row r="934" customFormat="false" ht="22.5" hidden="false" customHeight="true" outlineLevel="0" collapsed="false">
      <c r="A934" s="110"/>
      <c r="B934" s="110"/>
      <c r="C934" s="110"/>
      <c r="D934" s="122"/>
      <c r="E934" s="110"/>
      <c r="F934" s="128" t="str">
        <f aca="false">IF(E934="CONTADO", 4%, IF(E934="TARJETA / CHEQUE", 3%, IF(OR(E934="FINANCIADO", E934="MCP"), 2.5%, "")))</f>
        <v/>
      </c>
      <c r="G934" s="122" t="str">
        <f aca="false">IF(F934="", "", F934*D934)</f>
        <v/>
      </c>
      <c r="H934" s="131" t="b">
        <f aca="false">FALSE()</f>
        <v>0</v>
      </c>
      <c r="I934" s="131" t="b">
        <f aca="false">FALSE()</f>
        <v>0</v>
      </c>
      <c r="J934" s="130"/>
      <c r="K934" s="110"/>
      <c r="L934" s="83"/>
      <c r="M934" s="103"/>
      <c r="N934" s="103"/>
      <c r="O934" s="103"/>
      <c r="P934" s="103"/>
      <c r="Q934" s="103"/>
      <c r="R934" s="83"/>
      <c r="S934" s="103"/>
      <c r="T934" s="103"/>
      <c r="U934" s="103"/>
    </row>
    <row r="935" customFormat="false" ht="22.5" hidden="false" customHeight="true" outlineLevel="0" collapsed="false">
      <c r="A935" s="99"/>
      <c r="B935" s="99"/>
      <c r="C935" s="99"/>
      <c r="D935" s="121"/>
      <c r="E935" s="99"/>
      <c r="F935" s="124" t="str">
        <f aca="false">IF(E935="CONTADO", 4%, IF(E935="TARJETA / CHEQUE", 3%, IF(OR(E935="FINANCIADO", E935="MCP"), 2.5%, "")))</f>
        <v/>
      </c>
      <c r="G935" s="121" t="str">
        <f aca="false">IF(F935="", "", F935*D935)</f>
        <v/>
      </c>
      <c r="H935" s="132" t="b">
        <f aca="false">FALSE()</f>
        <v>0</v>
      </c>
      <c r="I935" s="132" t="b">
        <f aca="false">FALSE()</f>
        <v>0</v>
      </c>
      <c r="J935" s="126"/>
      <c r="K935" s="99"/>
      <c r="L935" s="83"/>
      <c r="M935" s="103"/>
      <c r="N935" s="103"/>
      <c r="O935" s="103"/>
      <c r="P935" s="103"/>
      <c r="Q935" s="103"/>
      <c r="R935" s="83"/>
      <c r="S935" s="103"/>
      <c r="T935" s="103"/>
      <c r="U935" s="103"/>
    </row>
    <row r="936" customFormat="false" ht="22.5" hidden="false" customHeight="true" outlineLevel="0" collapsed="false">
      <c r="A936" s="110"/>
      <c r="B936" s="110"/>
      <c r="C936" s="110"/>
      <c r="D936" s="122"/>
      <c r="E936" s="110"/>
      <c r="F936" s="128" t="str">
        <f aca="false">IF(E936="CONTADO", 4%, IF(E936="TARJETA / CHEQUE", 3%, IF(OR(E936="FINANCIADO", E936="MCP"), 2.5%, "")))</f>
        <v/>
      </c>
      <c r="G936" s="122" t="str">
        <f aca="false">IF(F936="", "", F936*D936)</f>
        <v/>
      </c>
      <c r="H936" s="131" t="b">
        <f aca="false">FALSE()</f>
        <v>0</v>
      </c>
      <c r="I936" s="131" t="b">
        <f aca="false">FALSE()</f>
        <v>0</v>
      </c>
      <c r="J936" s="130"/>
      <c r="K936" s="110"/>
      <c r="L936" s="83"/>
      <c r="M936" s="103"/>
      <c r="N936" s="103"/>
      <c r="O936" s="103"/>
      <c r="P936" s="103"/>
      <c r="Q936" s="103"/>
      <c r="R936" s="83"/>
      <c r="S936" s="103"/>
      <c r="T936" s="103"/>
      <c r="U936" s="103"/>
    </row>
    <row r="937" customFormat="false" ht="22.5" hidden="false" customHeight="true" outlineLevel="0" collapsed="false">
      <c r="A937" s="99"/>
      <c r="B937" s="99"/>
      <c r="C937" s="99"/>
      <c r="D937" s="121"/>
      <c r="E937" s="99"/>
      <c r="F937" s="124" t="str">
        <f aca="false">IF(E937="CONTADO", 4%, IF(E937="TARJETA / CHEQUE", 3%, IF(OR(E937="FINANCIADO", E937="MCP"), 2.5%, "")))</f>
        <v/>
      </c>
      <c r="G937" s="121" t="str">
        <f aca="false">IF(F937="", "", F937*D937)</f>
        <v/>
      </c>
      <c r="H937" s="132" t="b">
        <f aca="false">FALSE()</f>
        <v>0</v>
      </c>
      <c r="I937" s="132" t="b">
        <f aca="false">FALSE()</f>
        <v>0</v>
      </c>
      <c r="J937" s="126"/>
      <c r="K937" s="99"/>
      <c r="L937" s="83"/>
      <c r="M937" s="103"/>
      <c r="N937" s="103"/>
      <c r="O937" s="103"/>
      <c r="P937" s="103"/>
      <c r="Q937" s="103"/>
      <c r="R937" s="83"/>
      <c r="S937" s="103"/>
      <c r="T937" s="103"/>
      <c r="U937" s="103"/>
    </row>
    <row r="938" customFormat="false" ht="22.5" hidden="false" customHeight="true" outlineLevel="0" collapsed="false">
      <c r="A938" s="110"/>
      <c r="B938" s="110"/>
      <c r="C938" s="110"/>
      <c r="D938" s="122"/>
      <c r="E938" s="110"/>
      <c r="F938" s="128" t="str">
        <f aca="false">IF(E938="CONTADO", 4%, IF(E938="TARJETA / CHEQUE", 3%, IF(OR(E938="FINANCIADO", E938="MCP"), 2.5%, "")))</f>
        <v/>
      </c>
      <c r="G938" s="122" t="str">
        <f aca="false">IF(F938="", "", F938*D938)</f>
        <v/>
      </c>
      <c r="H938" s="131" t="b">
        <f aca="false">FALSE()</f>
        <v>0</v>
      </c>
      <c r="I938" s="131" t="b">
        <f aca="false">FALSE()</f>
        <v>0</v>
      </c>
      <c r="J938" s="130"/>
      <c r="K938" s="110"/>
      <c r="L938" s="83"/>
      <c r="M938" s="103"/>
      <c r="N938" s="103"/>
      <c r="O938" s="103"/>
      <c r="P938" s="103"/>
      <c r="Q938" s="103"/>
      <c r="R938" s="83"/>
      <c r="S938" s="103"/>
      <c r="T938" s="103"/>
      <c r="U938" s="103"/>
    </row>
    <row r="939" customFormat="false" ht="22.5" hidden="false" customHeight="true" outlineLevel="0" collapsed="false">
      <c r="A939" s="99"/>
      <c r="B939" s="99"/>
      <c r="C939" s="99"/>
      <c r="D939" s="121"/>
      <c r="E939" s="99"/>
      <c r="F939" s="124" t="str">
        <f aca="false">IF(E939="CONTADO", 4%, IF(E939="TARJETA / CHEQUE", 3%, IF(OR(E939="FINANCIADO", E939="MCP"), 2.5%, "")))</f>
        <v/>
      </c>
      <c r="G939" s="121" t="str">
        <f aca="false">IF(F939="", "", F939*D939)</f>
        <v/>
      </c>
      <c r="H939" s="132" t="b">
        <f aca="false">FALSE()</f>
        <v>0</v>
      </c>
      <c r="I939" s="132" t="b">
        <f aca="false">FALSE()</f>
        <v>0</v>
      </c>
      <c r="J939" s="126"/>
      <c r="K939" s="99"/>
      <c r="L939" s="83"/>
      <c r="M939" s="103"/>
      <c r="N939" s="103"/>
      <c r="O939" s="103"/>
      <c r="P939" s="103"/>
      <c r="Q939" s="103"/>
      <c r="R939" s="83"/>
      <c r="S939" s="103"/>
      <c r="T939" s="103"/>
      <c r="U939" s="103"/>
    </row>
    <row r="940" customFormat="false" ht="22.5" hidden="false" customHeight="true" outlineLevel="0" collapsed="false">
      <c r="A940" s="110"/>
      <c r="B940" s="110"/>
      <c r="C940" s="110"/>
      <c r="D940" s="122"/>
      <c r="E940" s="110"/>
      <c r="F940" s="128" t="str">
        <f aca="false">IF(E940="CONTADO", 4%, IF(E940="TARJETA / CHEQUE", 3%, IF(OR(E940="FINANCIADO", E940="MCP"), 2.5%, "")))</f>
        <v/>
      </c>
      <c r="G940" s="122" t="str">
        <f aca="false">IF(F940="", "", F940*D940)</f>
        <v/>
      </c>
      <c r="H940" s="131" t="b">
        <f aca="false">FALSE()</f>
        <v>0</v>
      </c>
      <c r="I940" s="131" t="b">
        <f aca="false">FALSE()</f>
        <v>0</v>
      </c>
      <c r="J940" s="130"/>
      <c r="K940" s="110"/>
      <c r="L940" s="83"/>
      <c r="M940" s="103"/>
      <c r="N940" s="103"/>
      <c r="O940" s="103"/>
      <c r="P940" s="103"/>
      <c r="Q940" s="103"/>
      <c r="R940" s="83"/>
      <c r="S940" s="103"/>
      <c r="T940" s="103"/>
      <c r="U940" s="103"/>
    </row>
    <row r="941" customFormat="false" ht="22.5" hidden="false" customHeight="true" outlineLevel="0" collapsed="false">
      <c r="A941" s="99"/>
      <c r="B941" s="99"/>
      <c r="C941" s="99"/>
      <c r="D941" s="121"/>
      <c r="E941" s="99"/>
      <c r="F941" s="124" t="str">
        <f aca="false">IF(E941="CONTADO", 4%, IF(E941="TARJETA / CHEQUE", 3%, IF(OR(E941="FINANCIADO", E941="MCP"), 2.5%, "")))</f>
        <v/>
      </c>
      <c r="G941" s="121" t="str">
        <f aca="false">IF(F941="", "", F941*D941)</f>
        <v/>
      </c>
      <c r="H941" s="132" t="b">
        <f aca="false">FALSE()</f>
        <v>0</v>
      </c>
      <c r="I941" s="132" t="b">
        <f aca="false">FALSE()</f>
        <v>0</v>
      </c>
      <c r="J941" s="126"/>
      <c r="K941" s="99"/>
      <c r="L941" s="83"/>
      <c r="M941" s="103"/>
      <c r="N941" s="103"/>
      <c r="O941" s="103"/>
      <c r="P941" s="103"/>
      <c r="Q941" s="103"/>
      <c r="R941" s="83"/>
      <c r="S941" s="103"/>
      <c r="T941" s="103"/>
      <c r="U941" s="103"/>
    </row>
    <row r="942" customFormat="false" ht="22.5" hidden="false" customHeight="true" outlineLevel="0" collapsed="false">
      <c r="A942" s="110"/>
      <c r="B942" s="110"/>
      <c r="C942" s="110"/>
      <c r="D942" s="122"/>
      <c r="E942" s="110"/>
      <c r="F942" s="128" t="str">
        <f aca="false">IF(E942="CONTADO", 4%, IF(E942="TARJETA / CHEQUE", 3%, IF(OR(E942="FINANCIADO", E942="MCP"), 2.5%, "")))</f>
        <v/>
      </c>
      <c r="G942" s="122" t="str">
        <f aca="false">IF(F942="", "", F942*D942)</f>
        <v/>
      </c>
      <c r="H942" s="131" t="b">
        <f aca="false">FALSE()</f>
        <v>0</v>
      </c>
      <c r="I942" s="131" t="b">
        <f aca="false">FALSE()</f>
        <v>0</v>
      </c>
      <c r="J942" s="130"/>
      <c r="K942" s="110"/>
      <c r="L942" s="83"/>
      <c r="M942" s="103"/>
      <c r="N942" s="103"/>
      <c r="O942" s="103"/>
      <c r="P942" s="103"/>
      <c r="Q942" s="103"/>
      <c r="R942" s="83"/>
      <c r="S942" s="103"/>
      <c r="T942" s="103"/>
      <c r="U942" s="103"/>
    </row>
    <row r="943" customFormat="false" ht="22.5" hidden="false" customHeight="true" outlineLevel="0" collapsed="false">
      <c r="A943" s="99"/>
      <c r="B943" s="99"/>
      <c r="C943" s="99"/>
      <c r="D943" s="121"/>
      <c r="E943" s="99"/>
      <c r="F943" s="124" t="str">
        <f aca="false">IF(E943="CONTADO", 4%, IF(E943="TARJETA / CHEQUE", 3%, IF(OR(E943="FINANCIADO", E943="MCP"), 2.5%, "")))</f>
        <v/>
      </c>
      <c r="G943" s="121" t="str">
        <f aca="false">IF(F943="", "", F943*D943)</f>
        <v/>
      </c>
      <c r="H943" s="132" t="b">
        <f aca="false">FALSE()</f>
        <v>0</v>
      </c>
      <c r="I943" s="132" t="b">
        <f aca="false">FALSE()</f>
        <v>0</v>
      </c>
      <c r="J943" s="126"/>
      <c r="K943" s="99"/>
      <c r="L943" s="83"/>
      <c r="M943" s="103"/>
      <c r="N943" s="103"/>
      <c r="O943" s="103"/>
      <c r="P943" s="103"/>
      <c r="Q943" s="103"/>
      <c r="R943" s="83"/>
      <c r="S943" s="103"/>
      <c r="T943" s="103"/>
      <c r="U943" s="103"/>
    </row>
    <row r="944" customFormat="false" ht="22.5" hidden="false" customHeight="true" outlineLevel="0" collapsed="false">
      <c r="A944" s="110"/>
      <c r="B944" s="110"/>
      <c r="C944" s="110"/>
      <c r="D944" s="122"/>
      <c r="E944" s="110"/>
      <c r="F944" s="128" t="str">
        <f aca="false">IF(E944="CONTADO", 4%, IF(E944="TARJETA / CHEQUE", 3%, IF(OR(E944="FINANCIADO", E944="MCP"), 2.5%, "")))</f>
        <v/>
      </c>
      <c r="G944" s="122" t="str">
        <f aca="false">IF(F944="", "", F944*D944)</f>
        <v/>
      </c>
      <c r="H944" s="131" t="b">
        <f aca="false">FALSE()</f>
        <v>0</v>
      </c>
      <c r="I944" s="131" t="b">
        <f aca="false">FALSE()</f>
        <v>0</v>
      </c>
      <c r="J944" s="130"/>
      <c r="K944" s="110"/>
      <c r="L944" s="83"/>
      <c r="M944" s="103"/>
      <c r="N944" s="103"/>
      <c r="O944" s="103"/>
      <c r="P944" s="103"/>
      <c r="Q944" s="103"/>
      <c r="R944" s="83"/>
      <c r="S944" s="103"/>
      <c r="T944" s="103"/>
      <c r="U944" s="103"/>
    </row>
    <row r="945" customFormat="false" ht="22.5" hidden="false" customHeight="true" outlineLevel="0" collapsed="false">
      <c r="A945" s="99"/>
      <c r="B945" s="99"/>
      <c r="C945" s="99"/>
      <c r="D945" s="121"/>
      <c r="E945" s="99"/>
      <c r="F945" s="124" t="str">
        <f aca="false">IF(E945="CONTADO", 4%, IF(E945="TARJETA / CHEQUE", 3%, IF(OR(E945="FINANCIADO", E945="MCP"), 2.5%, "")))</f>
        <v/>
      </c>
      <c r="G945" s="121" t="str">
        <f aca="false">IF(F945="", "", F945*D945)</f>
        <v/>
      </c>
      <c r="H945" s="132" t="b">
        <f aca="false">FALSE()</f>
        <v>0</v>
      </c>
      <c r="I945" s="132" t="b">
        <f aca="false">FALSE()</f>
        <v>0</v>
      </c>
      <c r="J945" s="126"/>
      <c r="K945" s="99"/>
      <c r="L945" s="83"/>
      <c r="M945" s="103"/>
      <c r="N945" s="103"/>
      <c r="O945" s="103"/>
      <c r="P945" s="103"/>
      <c r="Q945" s="103"/>
      <c r="R945" s="83"/>
      <c r="S945" s="103"/>
      <c r="T945" s="103"/>
      <c r="U945" s="103"/>
    </row>
    <row r="946" customFormat="false" ht="22.5" hidden="false" customHeight="true" outlineLevel="0" collapsed="false">
      <c r="A946" s="110"/>
      <c r="B946" s="110"/>
      <c r="C946" s="110"/>
      <c r="D946" s="122"/>
      <c r="E946" s="110"/>
      <c r="F946" s="128" t="str">
        <f aca="false">IF(E946="CONTADO", 4%, IF(E946="TARJETA / CHEQUE", 3%, IF(OR(E946="FINANCIADO", E946="MCP"), 2.5%, "")))</f>
        <v/>
      </c>
      <c r="G946" s="122" t="str">
        <f aca="false">IF(F946="", "", F946*D946)</f>
        <v/>
      </c>
      <c r="H946" s="131" t="b">
        <f aca="false">FALSE()</f>
        <v>0</v>
      </c>
      <c r="I946" s="131" t="b">
        <f aca="false">FALSE()</f>
        <v>0</v>
      </c>
      <c r="J946" s="130"/>
      <c r="K946" s="110"/>
      <c r="L946" s="83"/>
      <c r="M946" s="103"/>
      <c r="N946" s="103"/>
      <c r="O946" s="103"/>
      <c r="P946" s="103"/>
      <c r="Q946" s="103"/>
      <c r="R946" s="83"/>
      <c r="S946" s="103"/>
      <c r="T946" s="103"/>
      <c r="U946" s="103"/>
    </row>
    <row r="947" customFormat="false" ht="22.5" hidden="false" customHeight="true" outlineLevel="0" collapsed="false">
      <c r="A947" s="99"/>
      <c r="B947" s="99"/>
      <c r="C947" s="99"/>
      <c r="D947" s="121"/>
      <c r="E947" s="99"/>
      <c r="F947" s="124" t="str">
        <f aca="false">IF(E947="CONTADO", 4%, IF(E947="TARJETA / CHEQUE", 3%, IF(OR(E947="FINANCIADO", E947="MCP"), 2.5%, "")))</f>
        <v/>
      </c>
      <c r="G947" s="121" t="str">
        <f aca="false">IF(F947="", "", F947*D947)</f>
        <v/>
      </c>
      <c r="H947" s="132" t="b">
        <f aca="false">FALSE()</f>
        <v>0</v>
      </c>
      <c r="I947" s="132" t="b">
        <f aca="false">FALSE()</f>
        <v>0</v>
      </c>
      <c r="J947" s="126"/>
      <c r="K947" s="99"/>
      <c r="L947" s="83"/>
      <c r="M947" s="103"/>
      <c r="N947" s="103"/>
      <c r="O947" s="103"/>
      <c r="P947" s="103"/>
      <c r="Q947" s="103"/>
      <c r="R947" s="83"/>
      <c r="S947" s="103"/>
      <c r="T947" s="103"/>
      <c r="U947" s="103"/>
    </row>
    <row r="948" customFormat="false" ht="22.5" hidden="false" customHeight="true" outlineLevel="0" collapsed="false">
      <c r="A948" s="110"/>
      <c r="B948" s="110"/>
      <c r="C948" s="110"/>
      <c r="D948" s="122"/>
      <c r="E948" s="110"/>
      <c r="F948" s="128" t="str">
        <f aca="false">IF(E948="CONTADO", 4%, IF(E948="TARJETA / CHEQUE", 3%, IF(OR(E948="FINANCIADO", E948="MCP"), 2.5%, "")))</f>
        <v/>
      </c>
      <c r="G948" s="122" t="str">
        <f aca="false">IF(F948="", "", F948*D948)</f>
        <v/>
      </c>
      <c r="H948" s="131" t="b">
        <f aca="false">FALSE()</f>
        <v>0</v>
      </c>
      <c r="I948" s="131" t="b">
        <f aca="false">FALSE()</f>
        <v>0</v>
      </c>
      <c r="J948" s="130"/>
      <c r="K948" s="110"/>
      <c r="L948" s="83"/>
      <c r="M948" s="103"/>
      <c r="N948" s="103"/>
      <c r="O948" s="103"/>
      <c r="P948" s="103"/>
      <c r="Q948" s="103"/>
      <c r="R948" s="83"/>
      <c r="S948" s="103"/>
      <c r="T948" s="103"/>
      <c r="U948" s="103"/>
    </row>
    <row r="949" customFormat="false" ht="22.5" hidden="false" customHeight="true" outlineLevel="0" collapsed="false">
      <c r="A949" s="99"/>
      <c r="B949" s="99"/>
      <c r="C949" s="99"/>
      <c r="D949" s="121"/>
      <c r="E949" s="99"/>
      <c r="F949" s="124" t="str">
        <f aca="false">IF(E949="CONTADO", 4%, IF(E949="TARJETA / CHEQUE", 3%, IF(OR(E949="FINANCIADO", E949="MCP"), 2.5%, "")))</f>
        <v/>
      </c>
      <c r="G949" s="121" t="str">
        <f aca="false">IF(F949="", "", F949*D949)</f>
        <v/>
      </c>
      <c r="H949" s="132" t="b">
        <f aca="false">FALSE()</f>
        <v>0</v>
      </c>
      <c r="I949" s="132" t="b">
        <f aca="false">FALSE()</f>
        <v>0</v>
      </c>
      <c r="J949" s="126"/>
      <c r="K949" s="99"/>
      <c r="L949" s="83"/>
      <c r="M949" s="103"/>
      <c r="N949" s="103"/>
      <c r="O949" s="103"/>
      <c r="P949" s="103"/>
      <c r="Q949" s="103"/>
      <c r="R949" s="83"/>
      <c r="S949" s="103"/>
      <c r="T949" s="103"/>
      <c r="U949" s="103"/>
    </row>
    <row r="950" customFormat="false" ht="22.5" hidden="false" customHeight="true" outlineLevel="0" collapsed="false">
      <c r="A950" s="110"/>
      <c r="B950" s="110"/>
      <c r="C950" s="110"/>
      <c r="D950" s="122"/>
      <c r="E950" s="110"/>
      <c r="F950" s="128" t="str">
        <f aca="false">IF(E950="CONTADO", 4%, IF(E950="TARJETA / CHEQUE", 3%, IF(OR(E950="FINANCIADO", E950="MCP"), 2.5%, "")))</f>
        <v/>
      </c>
      <c r="G950" s="122" t="str">
        <f aca="false">IF(F950="", "", F950*D950)</f>
        <v/>
      </c>
      <c r="H950" s="131" t="b">
        <f aca="false">FALSE()</f>
        <v>0</v>
      </c>
      <c r="I950" s="131" t="b">
        <f aca="false">FALSE()</f>
        <v>0</v>
      </c>
      <c r="J950" s="130"/>
      <c r="K950" s="110"/>
      <c r="L950" s="83"/>
      <c r="M950" s="103"/>
      <c r="N950" s="103"/>
      <c r="O950" s="103"/>
      <c r="P950" s="103"/>
      <c r="Q950" s="103"/>
      <c r="R950" s="83"/>
      <c r="S950" s="103"/>
      <c r="T950" s="103"/>
      <c r="U950" s="103"/>
    </row>
    <row r="951" customFormat="false" ht="22.5" hidden="false" customHeight="true" outlineLevel="0" collapsed="false">
      <c r="A951" s="99"/>
      <c r="B951" s="99"/>
      <c r="C951" s="99"/>
      <c r="D951" s="121"/>
      <c r="E951" s="99"/>
      <c r="F951" s="124" t="str">
        <f aca="false">IF(E951="CONTADO", 4%, IF(E951="TARJETA / CHEQUE", 3%, IF(OR(E951="FINANCIADO", E951="MCP"), 2.5%, "")))</f>
        <v/>
      </c>
      <c r="G951" s="121" t="str">
        <f aca="false">IF(F951="", "", F951*D951)</f>
        <v/>
      </c>
      <c r="H951" s="132" t="b">
        <f aca="false">FALSE()</f>
        <v>0</v>
      </c>
      <c r="I951" s="132" t="b">
        <f aca="false">FALSE()</f>
        <v>0</v>
      </c>
      <c r="J951" s="126"/>
      <c r="K951" s="99"/>
      <c r="L951" s="83"/>
      <c r="M951" s="103"/>
      <c r="N951" s="103"/>
      <c r="O951" s="103"/>
      <c r="P951" s="103"/>
      <c r="Q951" s="103"/>
      <c r="R951" s="83"/>
      <c r="S951" s="103"/>
      <c r="T951" s="103"/>
      <c r="U951" s="103"/>
    </row>
    <row r="952" customFormat="false" ht="22.5" hidden="false" customHeight="true" outlineLevel="0" collapsed="false">
      <c r="A952" s="110"/>
      <c r="B952" s="110"/>
      <c r="C952" s="110"/>
      <c r="D952" s="122"/>
      <c r="E952" s="110"/>
      <c r="F952" s="128" t="str">
        <f aca="false">IF(E952="CONTADO", 4%, IF(E952="TARJETA / CHEQUE", 3%, IF(OR(E952="FINANCIADO", E952="MCP"), 2.5%, "")))</f>
        <v/>
      </c>
      <c r="G952" s="122" t="str">
        <f aca="false">IF(F952="", "", F952*D952)</f>
        <v/>
      </c>
      <c r="H952" s="131" t="b">
        <f aca="false">FALSE()</f>
        <v>0</v>
      </c>
      <c r="I952" s="131" t="b">
        <f aca="false">FALSE()</f>
        <v>0</v>
      </c>
      <c r="J952" s="130"/>
      <c r="K952" s="110"/>
      <c r="L952" s="83"/>
      <c r="M952" s="103"/>
      <c r="N952" s="103"/>
      <c r="O952" s="103"/>
      <c r="P952" s="103"/>
      <c r="Q952" s="103"/>
      <c r="R952" s="83"/>
      <c r="S952" s="103"/>
      <c r="T952" s="103"/>
      <c r="U952" s="103"/>
    </row>
    <row r="953" customFormat="false" ht="22.5" hidden="false" customHeight="true" outlineLevel="0" collapsed="false">
      <c r="A953" s="99"/>
      <c r="B953" s="99"/>
      <c r="C953" s="99"/>
      <c r="D953" s="121"/>
      <c r="E953" s="99"/>
      <c r="F953" s="124" t="str">
        <f aca="false">IF(E953="CONTADO", 4%, IF(E953="TARJETA / CHEQUE", 3%, IF(OR(E953="FINANCIADO", E953="MCP"), 2.5%, "")))</f>
        <v/>
      </c>
      <c r="G953" s="121" t="str">
        <f aca="false">IF(F953="", "", F953*D953)</f>
        <v/>
      </c>
      <c r="H953" s="132" t="b">
        <f aca="false">FALSE()</f>
        <v>0</v>
      </c>
      <c r="I953" s="132" t="b">
        <f aca="false">FALSE()</f>
        <v>0</v>
      </c>
      <c r="J953" s="126"/>
      <c r="K953" s="99"/>
      <c r="L953" s="83"/>
      <c r="M953" s="103"/>
      <c r="N953" s="103"/>
      <c r="O953" s="103"/>
      <c r="P953" s="103"/>
      <c r="Q953" s="103"/>
      <c r="R953" s="83"/>
      <c r="S953" s="103"/>
      <c r="T953" s="103"/>
      <c r="U953" s="103"/>
    </row>
    <row r="954" customFormat="false" ht="22.5" hidden="false" customHeight="true" outlineLevel="0" collapsed="false">
      <c r="A954" s="110"/>
      <c r="B954" s="110"/>
      <c r="C954" s="110"/>
      <c r="D954" s="122"/>
      <c r="E954" s="110"/>
      <c r="F954" s="128" t="str">
        <f aca="false">IF(E954="CONTADO", 4%, IF(E954="TARJETA / CHEQUE", 3%, IF(OR(E954="FINANCIADO", E954="MCP"), 2.5%, "")))</f>
        <v/>
      </c>
      <c r="G954" s="122" t="str">
        <f aca="false">IF(F954="", "", F954*D954)</f>
        <v/>
      </c>
      <c r="H954" s="131" t="b">
        <f aca="false">FALSE()</f>
        <v>0</v>
      </c>
      <c r="I954" s="131" t="b">
        <f aca="false">FALSE()</f>
        <v>0</v>
      </c>
      <c r="J954" s="130"/>
      <c r="K954" s="110"/>
      <c r="L954" s="83"/>
      <c r="M954" s="103"/>
      <c r="N954" s="103"/>
      <c r="O954" s="103"/>
      <c r="P954" s="103"/>
      <c r="Q954" s="103"/>
      <c r="R954" s="83"/>
      <c r="S954" s="103"/>
      <c r="T954" s="103"/>
      <c r="U954" s="103"/>
    </row>
    <row r="955" customFormat="false" ht="22.5" hidden="false" customHeight="true" outlineLevel="0" collapsed="false">
      <c r="A955" s="99"/>
      <c r="B955" s="99"/>
      <c r="C955" s="99"/>
      <c r="D955" s="121"/>
      <c r="E955" s="99"/>
      <c r="F955" s="124" t="str">
        <f aca="false">IF(E955="CONTADO", 4%, IF(E955="TARJETA / CHEQUE", 3%, IF(OR(E955="FINANCIADO", E955="MCP"), 2.5%, "")))</f>
        <v/>
      </c>
      <c r="G955" s="121" t="str">
        <f aca="false">IF(F955="", "", F955*D955)</f>
        <v/>
      </c>
      <c r="H955" s="132" t="b">
        <f aca="false">FALSE()</f>
        <v>0</v>
      </c>
      <c r="I955" s="132" t="b">
        <f aca="false">FALSE()</f>
        <v>0</v>
      </c>
      <c r="J955" s="126"/>
      <c r="K955" s="99"/>
      <c r="L955" s="83"/>
      <c r="M955" s="103"/>
      <c r="N955" s="103"/>
      <c r="O955" s="103"/>
      <c r="P955" s="103"/>
      <c r="Q955" s="103"/>
      <c r="R955" s="83"/>
      <c r="S955" s="103"/>
      <c r="T955" s="103"/>
      <c r="U955" s="103"/>
    </row>
    <row r="956" customFormat="false" ht="22.5" hidden="false" customHeight="true" outlineLevel="0" collapsed="false">
      <c r="A956" s="110"/>
      <c r="B956" s="110"/>
      <c r="C956" s="110"/>
      <c r="D956" s="122"/>
      <c r="E956" s="110"/>
      <c r="F956" s="128" t="str">
        <f aca="false">IF(E956="CONTADO", 4%, IF(E956="TARJETA / CHEQUE", 3%, IF(OR(E956="FINANCIADO", E956="MCP"), 2.5%, "")))</f>
        <v/>
      </c>
      <c r="G956" s="122" t="str">
        <f aca="false">IF(F956="", "", F956*D956)</f>
        <v/>
      </c>
      <c r="H956" s="131" t="b">
        <f aca="false">FALSE()</f>
        <v>0</v>
      </c>
      <c r="I956" s="131" t="b">
        <f aca="false">FALSE()</f>
        <v>0</v>
      </c>
      <c r="J956" s="130"/>
      <c r="K956" s="110"/>
      <c r="L956" s="83"/>
      <c r="M956" s="103"/>
      <c r="N956" s="103"/>
      <c r="O956" s="103"/>
      <c r="P956" s="103"/>
      <c r="Q956" s="103"/>
      <c r="R956" s="83"/>
      <c r="S956" s="103"/>
      <c r="T956" s="103"/>
      <c r="U956" s="103"/>
    </row>
    <row r="957" customFormat="false" ht="22.5" hidden="false" customHeight="true" outlineLevel="0" collapsed="false">
      <c r="A957" s="99"/>
      <c r="B957" s="99"/>
      <c r="C957" s="99"/>
      <c r="D957" s="121"/>
      <c r="E957" s="99"/>
      <c r="F957" s="124" t="str">
        <f aca="false">IF(E957="CONTADO", 4%, IF(E957="TARJETA / CHEQUE", 3%, IF(OR(E957="FINANCIADO", E957="MCP"), 2.5%, "")))</f>
        <v/>
      </c>
      <c r="G957" s="121" t="str">
        <f aca="false">IF(F957="", "", F957*D957)</f>
        <v/>
      </c>
      <c r="H957" s="132" t="b">
        <f aca="false">FALSE()</f>
        <v>0</v>
      </c>
      <c r="I957" s="132" t="b">
        <f aca="false">FALSE()</f>
        <v>0</v>
      </c>
      <c r="J957" s="126"/>
      <c r="K957" s="99"/>
      <c r="L957" s="83"/>
      <c r="M957" s="103"/>
      <c r="N957" s="103"/>
      <c r="O957" s="103"/>
      <c r="P957" s="103"/>
      <c r="Q957" s="103"/>
      <c r="R957" s="83"/>
      <c r="S957" s="103"/>
      <c r="T957" s="103"/>
      <c r="U957" s="103"/>
    </row>
    <row r="958" customFormat="false" ht="22.5" hidden="false" customHeight="true" outlineLevel="0" collapsed="false">
      <c r="A958" s="110"/>
      <c r="B958" s="110"/>
      <c r="C958" s="110"/>
      <c r="D958" s="122"/>
      <c r="E958" s="110"/>
      <c r="F958" s="128" t="str">
        <f aca="false">IF(E958="CONTADO", 4%, IF(E958="TARJETA / CHEQUE", 3%, IF(OR(E958="FINANCIADO", E958="MCP"), 2.5%, "")))</f>
        <v/>
      </c>
      <c r="G958" s="122" t="str">
        <f aca="false">IF(F958="", "", F958*D958)</f>
        <v/>
      </c>
      <c r="H958" s="131" t="b">
        <f aca="false">FALSE()</f>
        <v>0</v>
      </c>
      <c r="I958" s="131" t="b">
        <f aca="false">FALSE()</f>
        <v>0</v>
      </c>
      <c r="J958" s="130"/>
      <c r="K958" s="110"/>
      <c r="L958" s="83"/>
      <c r="M958" s="103"/>
      <c r="N958" s="103"/>
      <c r="O958" s="103"/>
      <c r="P958" s="103"/>
      <c r="Q958" s="103"/>
      <c r="R958" s="83"/>
      <c r="S958" s="103"/>
      <c r="T958" s="103"/>
      <c r="U958" s="103"/>
    </row>
    <row r="959" customFormat="false" ht="22.5" hidden="false" customHeight="true" outlineLevel="0" collapsed="false">
      <c r="A959" s="99"/>
      <c r="B959" s="99"/>
      <c r="C959" s="99"/>
      <c r="D959" s="121"/>
      <c r="E959" s="99"/>
      <c r="F959" s="124" t="str">
        <f aca="false">IF(E959="CONTADO", 4%, IF(E959="TARJETA / CHEQUE", 3%, IF(OR(E959="FINANCIADO", E959="MCP"), 2.5%, "")))</f>
        <v/>
      </c>
      <c r="G959" s="121" t="str">
        <f aca="false">IF(F959="", "", F959*D959)</f>
        <v/>
      </c>
      <c r="H959" s="132" t="b">
        <f aca="false">FALSE()</f>
        <v>0</v>
      </c>
      <c r="I959" s="132" t="b">
        <f aca="false">FALSE()</f>
        <v>0</v>
      </c>
      <c r="J959" s="126"/>
      <c r="K959" s="99"/>
      <c r="L959" s="83"/>
      <c r="M959" s="103"/>
      <c r="N959" s="103"/>
      <c r="O959" s="103"/>
      <c r="P959" s="103"/>
      <c r="Q959" s="103"/>
      <c r="R959" s="83"/>
      <c r="S959" s="103"/>
      <c r="T959" s="103"/>
      <c r="U959" s="103"/>
    </row>
    <row r="960" customFormat="false" ht="22.5" hidden="false" customHeight="true" outlineLevel="0" collapsed="false">
      <c r="A960" s="110"/>
      <c r="B960" s="110"/>
      <c r="C960" s="110"/>
      <c r="D960" s="122"/>
      <c r="E960" s="110"/>
      <c r="F960" s="128" t="str">
        <f aca="false">IF(E960="CONTADO", 4%, IF(E960="TARJETA / CHEQUE", 3%, IF(OR(E960="FINANCIADO", E960="MCP"), 2.5%, "")))</f>
        <v/>
      </c>
      <c r="G960" s="122" t="str">
        <f aca="false">IF(F960="", "", F960*D960)</f>
        <v/>
      </c>
      <c r="H960" s="131" t="b">
        <f aca="false">FALSE()</f>
        <v>0</v>
      </c>
      <c r="I960" s="131" t="b">
        <f aca="false">FALSE()</f>
        <v>0</v>
      </c>
      <c r="J960" s="130"/>
      <c r="K960" s="110"/>
      <c r="L960" s="83"/>
      <c r="M960" s="103"/>
      <c r="N960" s="103"/>
      <c r="O960" s="103"/>
      <c r="P960" s="103"/>
      <c r="Q960" s="103"/>
      <c r="R960" s="83"/>
      <c r="S960" s="103"/>
      <c r="T960" s="103"/>
      <c r="U960" s="103"/>
    </row>
    <row r="961" customFormat="false" ht="22.5" hidden="false" customHeight="true" outlineLevel="0" collapsed="false">
      <c r="A961" s="99"/>
      <c r="B961" s="99"/>
      <c r="C961" s="99"/>
      <c r="D961" s="121"/>
      <c r="E961" s="99"/>
      <c r="F961" s="124" t="str">
        <f aca="false">IF(E961="CONTADO", 4%, IF(E961="TARJETA / CHEQUE", 3%, IF(OR(E961="FINANCIADO", E961="MCP"), 2.5%, "")))</f>
        <v/>
      </c>
      <c r="G961" s="121" t="str">
        <f aca="false">IF(F961="", "", F961*D961)</f>
        <v/>
      </c>
      <c r="H961" s="132" t="b">
        <f aca="false">FALSE()</f>
        <v>0</v>
      </c>
      <c r="I961" s="132" t="b">
        <f aca="false">FALSE()</f>
        <v>0</v>
      </c>
      <c r="J961" s="126"/>
      <c r="K961" s="99"/>
      <c r="L961" s="83"/>
      <c r="M961" s="103"/>
      <c r="N961" s="103"/>
      <c r="O961" s="103"/>
      <c r="P961" s="103"/>
      <c r="Q961" s="103"/>
      <c r="R961" s="83"/>
      <c r="S961" s="103"/>
      <c r="T961" s="103"/>
      <c r="U961" s="103"/>
    </row>
    <row r="962" customFormat="false" ht="22.5" hidden="false" customHeight="true" outlineLevel="0" collapsed="false">
      <c r="A962" s="110"/>
      <c r="B962" s="110"/>
      <c r="C962" s="110"/>
      <c r="D962" s="122"/>
      <c r="E962" s="110"/>
      <c r="F962" s="128" t="str">
        <f aca="false">IF(E962="CONTADO", 4%, IF(E962="TARJETA / CHEQUE", 3%, IF(OR(E962="FINANCIADO", E962="MCP"), 2.5%, "")))</f>
        <v/>
      </c>
      <c r="G962" s="122" t="str">
        <f aca="false">IF(F962="", "", F962*D962)</f>
        <v/>
      </c>
      <c r="H962" s="131" t="b">
        <f aca="false">FALSE()</f>
        <v>0</v>
      </c>
      <c r="I962" s="131" t="b">
        <f aca="false">FALSE()</f>
        <v>0</v>
      </c>
      <c r="J962" s="130"/>
      <c r="K962" s="110"/>
      <c r="L962" s="83"/>
      <c r="M962" s="103"/>
      <c r="N962" s="103"/>
      <c r="O962" s="103"/>
      <c r="P962" s="103"/>
      <c r="Q962" s="103"/>
      <c r="R962" s="83"/>
      <c r="S962" s="103"/>
      <c r="T962" s="103"/>
      <c r="U962" s="103"/>
    </row>
    <row r="963" customFormat="false" ht="22.5" hidden="false" customHeight="true" outlineLevel="0" collapsed="false">
      <c r="A963" s="99"/>
      <c r="B963" s="99"/>
      <c r="C963" s="99"/>
      <c r="D963" s="121"/>
      <c r="E963" s="99"/>
      <c r="F963" s="124" t="str">
        <f aca="false">IF(E963="CONTADO", 4%, IF(E963="TARJETA / CHEQUE", 3%, IF(OR(E963="FINANCIADO", E963="MCP"), 2.5%, "")))</f>
        <v/>
      </c>
      <c r="G963" s="121" t="str">
        <f aca="false">IF(F963="", "", F963*D963)</f>
        <v/>
      </c>
      <c r="H963" s="132" t="b">
        <f aca="false">FALSE()</f>
        <v>0</v>
      </c>
      <c r="I963" s="132" t="b">
        <f aca="false">FALSE()</f>
        <v>0</v>
      </c>
      <c r="J963" s="126"/>
      <c r="K963" s="99"/>
      <c r="L963" s="83"/>
      <c r="M963" s="103"/>
      <c r="N963" s="103"/>
      <c r="O963" s="103"/>
      <c r="P963" s="103"/>
      <c r="Q963" s="103"/>
      <c r="R963" s="83"/>
      <c r="S963" s="103"/>
      <c r="T963" s="103"/>
      <c r="U963" s="103"/>
    </row>
    <row r="964" customFormat="false" ht="22.5" hidden="false" customHeight="true" outlineLevel="0" collapsed="false">
      <c r="A964" s="110"/>
      <c r="B964" s="110"/>
      <c r="C964" s="110"/>
      <c r="D964" s="122"/>
      <c r="E964" s="110"/>
      <c r="F964" s="128" t="str">
        <f aca="false">IF(E964="CONTADO", 4%, IF(E964="TARJETA / CHEQUE", 3%, IF(OR(E964="FINANCIADO", E964="MCP"), 2.5%, "")))</f>
        <v/>
      </c>
      <c r="G964" s="122" t="str">
        <f aca="false">IF(F964="", "", F964*D964)</f>
        <v/>
      </c>
      <c r="H964" s="131" t="b">
        <f aca="false">FALSE()</f>
        <v>0</v>
      </c>
      <c r="I964" s="131" t="b">
        <f aca="false">FALSE()</f>
        <v>0</v>
      </c>
      <c r="J964" s="130"/>
      <c r="K964" s="110"/>
      <c r="L964" s="83"/>
      <c r="M964" s="103"/>
      <c r="N964" s="103"/>
      <c r="O964" s="103"/>
      <c r="P964" s="103"/>
      <c r="Q964" s="103"/>
      <c r="R964" s="83"/>
      <c r="S964" s="103"/>
      <c r="T964" s="103"/>
      <c r="U964" s="103"/>
    </row>
    <row r="965" customFormat="false" ht="22.5" hidden="false" customHeight="true" outlineLevel="0" collapsed="false">
      <c r="A965" s="99"/>
      <c r="B965" s="99"/>
      <c r="C965" s="99"/>
      <c r="D965" s="121"/>
      <c r="E965" s="99"/>
      <c r="F965" s="124" t="str">
        <f aca="false">IF(E965="CONTADO", 4%, IF(E965="TARJETA / CHEQUE", 3%, IF(OR(E965="FINANCIADO", E965="MCP"), 2.5%, "")))</f>
        <v/>
      </c>
      <c r="G965" s="121" t="str">
        <f aca="false">IF(F965="", "", F965*D965)</f>
        <v/>
      </c>
      <c r="H965" s="132" t="b">
        <f aca="false">FALSE()</f>
        <v>0</v>
      </c>
      <c r="I965" s="132" t="b">
        <f aca="false">FALSE()</f>
        <v>0</v>
      </c>
      <c r="J965" s="126"/>
      <c r="K965" s="99"/>
      <c r="L965" s="83"/>
      <c r="M965" s="103"/>
      <c r="N965" s="103"/>
      <c r="O965" s="103"/>
      <c r="P965" s="103"/>
      <c r="Q965" s="103"/>
      <c r="R965" s="83"/>
      <c r="S965" s="103"/>
      <c r="T965" s="103"/>
      <c r="U965" s="103"/>
    </row>
    <row r="966" customFormat="false" ht="22.5" hidden="false" customHeight="true" outlineLevel="0" collapsed="false">
      <c r="A966" s="110"/>
      <c r="B966" s="110"/>
      <c r="C966" s="110"/>
      <c r="D966" s="122"/>
      <c r="E966" s="110"/>
      <c r="F966" s="128" t="str">
        <f aca="false">IF(E966="CONTADO", 4%, IF(E966="TARJETA / CHEQUE", 3%, IF(OR(E966="FINANCIADO", E966="MCP"), 2.5%, "")))</f>
        <v/>
      </c>
      <c r="G966" s="122" t="str">
        <f aca="false">IF(F966="", "", F966*D966)</f>
        <v/>
      </c>
      <c r="H966" s="131" t="b">
        <f aca="false">FALSE()</f>
        <v>0</v>
      </c>
      <c r="I966" s="131" t="b">
        <f aca="false">FALSE()</f>
        <v>0</v>
      </c>
      <c r="J966" s="130"/>
      <c r="K966" s="110"/>
      <c r="L966" s="83"/>
      <c r="M966" s="103"/>
      <c r="N966" s="103"/>
      <c r="O966" s="103"/>
      <c r="P966" s="103"/>
      <c r="Q966" s="103"/>
      <c r="R966" s="83"/>
      <c r="S966" s="103"/>
      <c r="T966" s="103"/>
      <c r="U966" s="103"/>
    </row>
    <row r="967" customFormat="false" ht="22.5" hidden="false" customHeight="true" outlineLevel="0" collapsed="false">
      <c r="A967" s="99"/>
      <c r="B967" s="99"/>
      <c r="C967" s="99"/>
      <c r="D967" s="121"/>
      <c r="E967" s="99"/>
      <c r="F967" s="124" t="str">
        <f aca="false">IF(E967="CONTADO", 4%, IF(E967="TARJETA / CHEQUE", 3%, IF(OR(E967="FINANCIADO", E967="MCP"), 2.5%, "")))</f>
        <v/>
      </c>
      <c r="G967" s="121" t="str">
        <f aca="false">IF(F967="", "", F967*D967)</f>
        <v/>
      </c>
      <c r="H967" s="132" t="b">
        <f aca="false">FALSE()</f>
        <v>0</v>
      </c>
      <c r="I967" s="132" t="b">
        <f aca="false">FALSE()</f>
        <v>0</v>
      </c>
      <c r="J967" s="126"/>
      <c r="K967" s="99"/>
      <c r="L967" s="83"/>
      <c r="M967" s="103"/>
      <c r="N967" s="103"/>
      <c r="O967" s="103"/>
      <c r="P967" s="103"/>
      <c r="Q967" s="103"/>
      <c r="R967" s="83"/>
      <c r="S967" s="103"/>
      <c r="T967" s="103"/>
      <c r="U967" s="103"/>
    </row>
    <row r="968" customFormat="false" ht="22.5" hidden="false" customHeight="true" outlineLevel="0" collapsed="false">
      <c r="A968" s="110"/>
      <c r="B968" s="110"/>
      <c r="C968" s="110"/>
      <c r="D968" s="122"/>
      <c r="E968" s="110"/>
      <c r="F968" s="128" t="str">
        <f aca="false">IF(E968="CONTADO", 4%, IF(E968="TARJETA / CHEQUE", 3%, IF(OR(E968="FINANCIADO", E968="MCP"), 2.5%, "")))</f>
        <v/>
      </c>
      <c r="G968" s="122" t="str">
        <f aca="false">IF(F968="", "", F968*D968)</f>
        <v/>
      </c>
      <c r="H968" s="131" t="b">
        <f aca="false">FALSE()</f>
        <v>0</v>
      </c>
      <c r="I968" s="131" t="b">
        <f aca="false">FALSE()</f>
        <v>0</v>
      </c>
      <c r="J968" s="130"/>
      <c r="K968" s="110"/>
      <c r="L968" s="83"/>
      <c r="M968" s="103"/>
      <c r="N968" s="103"/>
      <c r="O968" s="103"/>
      <c r="P968" s="103"/>
      <c r="Q968" s="103"/>
      <c r="R968" s="83"/>
      <c r="S968" s="103"/>
      <c r="T968" s="103"/>
      <c r="U968" s="103"/>
    </row>
    <row r="969" customFormat="false" ht="22.5" hidden="false" customHeight="true" outlineLevel="0" collapsed="false">
      <c r="A969" s="99"/>
      <c r="B969" s="99"/>
      <c r="C969" s="99"/>
      <c r="D969" s="121"/>
      <c r="E969" s="99"/>
      <c r="F969" s="124" t="str">
        <f aca="false">IF(E969="CONTADO", 4%, IF(E969="TARJETA / CHEQUE", 3%, IF(OR(E969="FINANCIADO", E969="MCP"), 2.5%, "")))</f>
        <v/>
      </c>
      <c r="G969" s="121" t="str">
        <f aca="false">IF(F969="", "", F969*D969)</f>
        <v/>
      </c>
      <c r="H969" s="132" t="b">
        <f aca="false">FALSE()</f>
        <v>0</v>
      </c>
      <c r="I969" s="132" t="b">
        <f aca="false">FALSE()</f>
        <v>0</v>
      </c>
      <c r="J969" s="126"/>
      <c r="K969" s="99"/>
      <c r="L969" s="83"/>
      <c r="M969" s="103"/>
      <c r="N969" s="103"/>
      <c r="O969" s="103"/>
      <c r="P969" s="103"/>
      <c r="Q969" s="103"/>
      <c r="R969" s="83"/>
      <c r="S969" s="103"/>
      <c r="T969" s="103"/>
      <c r="U969" s="103"/>
    </row>
    <row r="970" customFormat="false" ht="22.5" hidden="false" customHeight="true" outlineLevel="0" collapsed="false">
      <c r="A970" s="110"/>
      <c r="B970" s="110"/>
      <c r="C970" s="110"/>
      <c r="D970" s="122"/>
      <c r="E970" s="110"/>
      <c r="F970" s="128" t="str">
        <f aca="false">IF(E970="CONTADO", 4%, IF(E970="TARJETA / CHEQUE", 3%, IF(OR(E970="FINANCIADO", E970="MCP"), 2.5%, "")))</f>
        <v/>
      </c>
      <c r="G970" s="122" t="str">
        <f aca="false">IF(F970="", "", F970*D970)</f>
        <v/>
      </c>
      <c r="H970" s="131" t="b">
        <f aca="false">FALSE()</f>
        <v>0</v>
      </c>
      <c r="I970" s="131" t="b">
        <f aca="false">FALSE()</f>
        <v>0</v>
      </c>
      <c r="J970" s="130"/>
      <c r="K970" s="110"/>
      <c r="L970" s="83"/>
      <c r="M970" s="103"/>
      <c r="N970" s="103"/>
      <c r="O970" s="103"/>
      <c r="P970" s="103"/>
      <c r="Q970" s="103"/>
      <c r="R970" s="83"/>
      <c r="S970" s="103"/>
      <c r="T970" s="103"/>
      <c r="U970" s="103"/>
    </row>
    <row r="971" customFormat="false" ht="22.5" hidden="false" customHeight="true" outlineLevel="0" collapsed="false">
      <c r="A971" s="99"/>
      <c r="B971" s="99"/>
      <c r="C971" s="99"/>
      <c r="D971" s="121"/>
      <c r="E971" s="99"/>
      <c r="F971" s="124" t="str">
        <f aca="false">IF(E971="CONTADO", 4%, IF(E971="TARJETA / CHEQUE", 3%, IF(OR(E971="FINANCIADO", E971="MCP"), 2.5%, "")))</f>
        <v/>
      </c>
      <c r="G971" s="121" t="str">
        <f aca="false">IF(F971="", "", F971*D971)</f>
        <v/>
      </c>
      <c r="H971" s="132" t="b">
        <f aca="false">FALSE()</f>
        <v>0</v>
      </c>
      <c r="I971" s="132" t="b">
        <f aca="false">FALSE()</f>
        <v>0</v>
      </c>
      <c r="J971" s="126"/>
      <c r="K971" s="99"/>
      <c r="L971" s="83"/>
      <c r="M971" s="103"/>
      <c r="N971" s="103"/>
      <c r="O971" s="103"/>
      <c r="P971" s="103"/>
      <c r="Q971" s="103"/>
      <c r="R971" s="83"/>
      <c r="S971" s="103"/>
      <c r="T971" s="103"/>
      <c r="U971" s="103"/>
    </row>
    <row r="972" customFormat="false" ht="22.5" hidden="false" customHeight="true" outlineLevel="0" collapsed="false">
      <c r="A972" s="110"/>
      <c r="B972" s="110"/>
      <c r="C972" s="110"/>
      <c r="D972" s="122"/>
      <c r="E972" s="110"/>
      <c r="F972" s="128" t="str">
        <f aca="false">IF(E972="CONTADO", 4%, IF(E972="TARJETA / CHEQUE", 3%, IF(OR(E972="FINANCIADO", E972="MCP"), 2.5%, "")))</f>
        <v/>
      </c>
      <c r="G972" s="122" t="str">
        <f aca="false">IF(F972="", "", F972*D972)</f>
        <v/>
      </c>
      <c r="H972" s="131" t="b">
        <f aca="false">FALSE()</f>
        <v>0</v>
      </c>
      <c r="I972" s="131" t="b">
        <f aca="false">FALSE()</f>
        <v>0</v>
      </c>
      <c r="J972" s="130"/>
      <c r="K972" s="110"/>
      <c r="L972" s="83"/>
      <c r="M972" s="103"/>
      <c r="N972" s="103"/>
      <c r="O972" s="103"/>
      <c r="P972" s="103"/>
      <c r="Q972" s="103"/>
      <c r="R972" s="83"/>
      <c r="S972" s="103"/>
      <c r="T972" s="103"/>
      <c r="U972" s="103"/>
    </row>
    <row r="973" customFormat="false" ht="22.5" hidden="false" customHeight="true" outlineLevel="0" collapsed="false">
      <c r="A973" s="99"/>
      <c r="B973" s="99"/>
      <c r="C973" s="99"/>
      <c r="D973" s="121"/>
      <c r="E973" s="99"/>
      <c r="F973" s="124" t="str">
        <f aca="false">IF(E973="CONTADO", 4%, IF(E973="TARJETA / CHEQUE", 3%, IF(OR(E973="FINANCIADO", E973="MCP"), 2.5%, "")))</f>
        <v/>
      </c>
      <c r="G973" s="121" t="str">
        <f aca="false">IF(F973="", "", F973*D973)</f>
        <v/>
      </c>
      <c r="H973" s="132" t="b">
        <f aca="false">FALSE()</f>
        <v>0</v>
      </c>
      <c r="I973" s="132" t="b">
        <f aca="false">FALSE()</f>
        <v>0</v>
      </c>
      <c r="J973" s="126"/>
      <c r="K973" s="99"/>
      <c r="L973" s="83"/>
      <c r="M973" s="103"/>
      <c r="N973" s="103"/>
      <c r="O973" s="103"/>
      <c r="P973" s="103"/>
      <c r="Q973" s="103"/>
      <c r="R973" s="83"/>
      <c r="S973" s="103"/>
      <c r="T973" s="103"/>
      <c r="U973" s="103"/>
    </row>
    <row r="974" customFormat="false" ht="22.5" hidden="false" customHeight="true" outlineLevel="0" collapsed="false">
      <c r="A974" s="110"/>
      <c r="B974" s="110"/>
      <c r="C974" s="110"/>
      <c r="D974" s="122"/>
      <c r="E974" s="110"/>
      <c r="F974" s="128" t="str">
        <f aca="false">IF(E974="CONTADO", 4%, IF(E974="TARJETA / CHEQUE", 3%, IF(OR(E974="FINANCIADO", E974="MCP"), 2.5%, "")))</f>
        <v/>
      </c>
      <c r="G974" s="122" t="str">
        <f aca="false">IF(F974="", "", F974*D974)</f>
        <v/>
      </c>
      <c r="H974" s="131" t="b">
        <f aca="false">FALSE()</f>
        <v>0</v>
      </c>
      <c r="I974" s="131" t="b">
        <f aca="false">FALSE()</f>
        <v>0</v>
      </c>
      <c r="J974" s="130"/>
      <c r="K974" s="110"/>
      <c r="L974" s="83"/>
      <c r="M974" s="103"/>
      <c r="N974" s="103"/>
      <c r="O974" s="103"/>
      <c r="P974" s="103"/>
      <c r="Q974" s="103"/>
      <c r="R974" s="83"/>
      <c r="S974" s="103"/>
      <c r="T974" s="103"/>
      <c r="U974" s="103"/>
    </row>
    <row r="975" customFormat="false" ht="22.5" hidden="false" customHeight="true" outlineLevel="0" collapsed="false">
      <c r="A975" s="99"/>
      <c r="B975" s="99"/>
      <c r="C975" s="99"/>
      <c r="D975" s="121"/>
      <c r="E975" s="99"/>
      <c r="F975" s="124" t="str">
        <f aca="false">IF(E975="CONTADO", 4%, IF(E975="TARJETA / CHEQUE", 3%, IF(OR(E975="FINANCIADO", E975="MCP"), 2.5%, "")))</f>
        <v/>
      </c>
      <c r="G975" s="121" t="str">
        <f aca="false">IF(F975="", "", F975*D975)</f>
        <v/>
      </c>
      <c r="H975" s="132" t="b">
        <f aca="false">FALSE()</f>
        <v>0</v>
      </c>
      <c r="I975" s="132" t="b">
        <f aca="false">FALSE()</f>
        <v>0</v>
      </c>
      <c r="J975" s="126"/>
      <c r="K975" s="99"/>
      <c r="L975" s="83"/>
      <c r="M975" s="103"/>
      <c r="N975" s="103"/>
      <c r="O975" s="103"/>
      <c r="P975" s="103"/>
      <c r="Q975" s="103"/>
      <c r="R975" s="83"/>
      <c r="S975" s="103"/>
      <c r="T975" s="103"/>
      <c r="U975" s="103"/>
    </row>
    <row r="976" customFormat="false" ht="22.5" hidden="false" customHeight="true" outlineLevel="0" collapsed="false">
      <c r="A976" s="110"/>
      <c r="B976" s="110"/>
      <c r="C976" s="110"/>
      <c r="D976" s="122"/>
      <c r="E976" s="110"/>
      <c r="F976" s="128" t="str">
        <f aca="false">IF(E976="CONTADO", 4%, IF(E976="TARJETA / CHEQUE", 3%, IF(OR(E976="FINANCIADO", E976="MCP"), 2.5%, "")))</f>
        <v/>
      </c>
      <c r="G976" s="122" t="str">
        <f aca="false">IF(F976="", "", F976*D976)</f>
        <v/>
      </c>
      <c r="H976" s="131" t="b">
        <f aca="false">FALSE()</f>
        <v>0</v>
      </c>
      <c r="I976" s="131" t="b">
        <f aca="false">FALSE()</f>
        <v>0</v>
      </c>
      <c r="J976" s="130"/>
      <c r="K976" s="110"/>
      <c r="L976" s="83"/>
      <c r="M976" s="103"/>
      <c r="N976" s="103"/>
      <c r="O976" s="103"/>
      <c r="P976" s="103"/>
      <c r="Q976" s="103"/>
      <c r="R976" s="83"/>
      <c r="S976" s="103"/>
      <c r="T976" s="103"/>
      <c r="U976" s="103"/>
    </row>
    <row r="977" customFormat="false" ht="22.5" hidden="false" customHeight="true" outlineLevel="0" collapsed="false">
      <c r="A977" s="99"/>
      <c r="B977" s="99"/>
      <c r="C977" s="99"/>
      <c r="D977" s="121"/>
      <c r="E977" s="99"/>
      <c r="F977" s="124" t="str">
        <f aca="false">IF(E977="CONTADO", 4%, IF(E977="TARJETA / CHEQUE", 3%, IF(OR(E977="FINANCIADO", E977="MCP"), 2.5%, "")))</f>
        <v/>
      </c>
      <c r="G977" s="121" t="str">
        <f aca="false">IF(F977="", "", F977*D977)</f>
        <v/>
      </c>
      <c r="H977" s="132" t="b">
        <f aca="false">FALSE()</f>
        <v>0</v>
      </c>
      <c r="I977" s="132" t="b">
        <f aca="false">FALSE()</f>
        <v>0</v>
      </c>
      <c r="J977" s="126"/>
      <c r="K977" s="99"/>
      <c r="L977" s="83"/>
      <c r="M977" s="103"/>
      <c r="N977" s="103"/>
      <c r="O977" s="103"/>
      <c r="P977" s="103"/>
      <c r="Q977" s="103"/>
      <c r="R977" s="83"/>
      <c r="S977" s="103"/>
      <c r="T977" s="103"/>
      <c r="U977" s="103"/>
    </row>
    <row r="978" customFormat="false" ht="22.5" hidden="false" customHeight="true" outlineLevel="0" collapsed="false">
      <c r="A978" s="110"/>
      <c r="B978" s="110"/>
      <c r="C978" s="110"/>
      <c r="D978" s="122"/>
      <c r="E978" s="110"/>
      <c r="F978" s="128" t="str">
        <f aca="false">IF(E978="CONTADO", 4%, IF(E978="TARJETA / CHEQUE", 3%, IF(OR(E978="FINANCIADO", E978="MCP"), 2.5%, "")))</f>
        <v/>
      </c>
      <c r="G978" s="122" t="str">
        <f aca="false">IF(F978="", "", F978*D978)</f>
        <v/>
      </c>
      <c r="H978" s="131" t="b">
        <f aca="false">FALSE()</f>
        <v>0</v>
      </c>
      <c r="I978" s="131" t="b">
        <f aca="false">FALSE()</f>
        <v>0</v>
      </c>
      <c r="J978" s="130"/>
      <c r="K978" s="110"/>
      <c r="L978" s="83"/>
      <c r="M978" s="103"/>
      <c r="N978" s="103"/>
      <c r="O978" s="103"/>
      <c r="P978" s="103"/>
      <c r="Q978" s="103"/>
      <c r="R978" s="83"/>
      <c r="S978" s="103"/>
      <c r="T978" s="103"/>
      <c r="U978" s="103"/>
    </row>
    <row r="979" customFormat="false" ht="22.5" hidden="false" customHeight="true" outlineLevel="0" collapsed="false">
      <c r="A979" s="99"/>
      <c r="B979" s="99"/>
      <c r="C979" s="99"/>
      <c r="D979" s="121"/>
      <c r="E979" s="99"/>
      <c r="F979" s="124" t="str">
        <f aca="false">IF(E979="CONTADO", 4%, IF(E979="TARJETA / CHEQUE", 3%, IF(OR(E979="FINANCIADO", E979="MCP"), 2.5%, "")))</f>
        <v/>
      </c>
      <c r="G979" s="121" t="str">
        <f aca="false">IF(F979="", "", F979*D979)</f>
        <v/>
      </c>
      <c r="H979" s="132" t="b">
        <f aca="false">FALSE()</f>
        <v>0</v>
      </c>
      <c r="I979" s="132" t="b">
        <f aca="false">FALSE()</f>
        <v>0</v>
      </c>
      <c r="J979" s="126"/>
      <c r="K979" s="99"/>
      <c r="L979" s="83"/>
      <c r="M979" s="103"/>
      <c r="N979" s="103"/>
      <c r="O979" s="103"/>
      <c r="P979" s="103"/>
      <c r="Q979" s="103"/>
      <c r="R979" s="83"/>
      <c r="S979" s="103"/>
      <c r="T979" s="103"/>
      <c r="U979" s="103"/>
    </row>
    <row r="980" customFormat="false" ht="22.5" hidden="false" customHeight="true" outlineLevel="0" collapsed="false">
      <c r="A980" s="110"/>
      <c r="B980" s="110"/>
      <c r="C980" s="110"/>
      <c r="D980" s="122"/>
      <c r="E980" s="110"/>
      <c r="F980" s="128" t="str">
        <f aca="false">IF(E980="CONTADO", 4%, IF(E980="TARJETA / CHEQUE", 3%, IF(OR(E980="FINANCIADO", E980="MCP"), 2.5%, "")))</f>
        <v/>
      </c>
      <c r="G980" s="122" t="str">
        <f aca="false">IF(F980="", "", F980*D980)</f>
        <v/>
      </c>
      <c r="H980" s="131" t="b">
        <f aca="false">FALSE()</f>
        <v>0</v>
      </c>
      <c r="I980" s="131" t="b">
        <f aca="false">FALSE()</f>
        <v>0</v>
      </c>
      <c r="J980" s="130"/>
      <c r="K980" s="110"/>
      <c r="L980" s="83"/>
      <c r="M980" s="103"/>
      <c r="N980" s="103"/>
      <c r="O980" s="103"/>
      <c r="P980" s="103"/>
      <c r="Q980" s="103"/>
      <c r="R980" s="83"/>
      <c r="S980" s="103"/>
      <c r="T980" s="103"/>
      <c r="U980" s="103"/>
    </row>
    <row r="981" customFormat="false" ht="22.5" hidden="false" customHeight="true" outlineLevel="0" collapsed="false">
      <c r="A981" s="99"/>
      <c r="B981" s="99"/>
      <c r="C981" s="99"/>
      <c r="D981" s="121"/>
      <c r="E981" s="99"/>
      <c r="F981" s="124" t="str">
        <f aca="false">IF(E981="CONTADO", 4%, IF(E981="TARJETA / CHEQUE", 3%, IF(OR(E981="FINANCIADO", E981="MCP"), 2.5%, "")))</f>
        <v/>
      </c>
      <c r="G981" s="121" t="str">
        <f aca="false">IF(F981="", "", F981*D981)</f>
        <v/>
      </c>
      <c r="H981" s="132" t="b">
        <f aca="false">FALSE()</f>
        <v>0</v>
      </c>
      <c r="I981" s="132" t="b">
        <f aca="false">FALSE()</f>
        <v>0</v>
      </c>
      <c r="J981" s="126"/>
      <c r="K981" s="99"/>
      <c r="L981" s="83"/>
      <c r="M981" s="103"/>
      <c r="N981" s="103"/>
      <c r="O981" s="103"/>
      <c r="P981" s="103"/>
      <c r="Q981" s="103"/>
      <c r="R981" s="83"/>
      <c r="S981" s="103"/>
      <c r="T981" s="103"/>
      <c r="U981" s="103"/>
    </row>
    <row r="982" customFormat="false" ht="22.5" hidden="false" customHeight="true" outlineLevel="0" collapsed="false">
      <c r="A982" s="110"/>
      <c r="B982" s="110"/>
      <c r="C982" s="110"/>
      <c r="D982" s="122"/>
      <c r="E982" s="110"/>
      <c r="F982" s="128" t="str">
        <f aca="false">IF(E982="CONTADO", 4%, IF(E982="TARJETA / CHEQUE", 3%, IF(OR(E982="FINANCIADO", E982="MCP"), 2.5%, "")))</f>
        <v/>
      </c>
      <c r="G982" s="122" t="str">
        <f aca="false">IF(F982="", "", F982*D982)</f>
        <v/>
      </c>
      <c r="H982" s="131" t="b">
        <f aca="false">FALSE()</f>
        <v>0</v>
      </c>
      <c r="I982" s="131" t="b">
        <f aca="false">FALSE()</f>
        <v>0</v>
      </c>
      <c r="J982" s="130"/>
      <c r="K982" s="110"/>
      <c r="L982" s="83"/>
      <c r="M982" s="103"/>
      <c r="N982" s="103"/>
      <c r="O982" s="103"/>
      <c r="P982" s="103"/>
      <c r="Q982" s="103"/>
      <c r="R982" s="83"/>
      <c r="S982" s="103"/>
      <c r="T982" s="103"/>
      <c r="U982" s="103"/>
    </row>
    <row r="983" customFormat="false" ht="22.5" hidden="false" customHeight="true" outlineLevel="0" collapsed="false">
      <c r="A983" s="99"/>
      <c r="B983" s="99"/>
      <c r="C983" s="99"/>
      <c r="D983" s="121"/>
      <c r="E983" s="99"/>
      <c r="F983" s="124" t="str">
        <f aca="false">IF(E983="CONTADO", 4%, IF(E983="TARJETA / CHEQUE", 3%, IF(OR(E983="FINANCIADO", E983="MCP"), 2.5%, "")))</f>
        <v/>
      </c>
      <c r="G983" s="121" t="str">
        <f aca="false">IF(F983="", "", F983*D983)</f>
        <v/>
      </c>
      <c r="H983" s="132" t="b">
        <f aca="false">FALSE()</f>
        <v>0</v>
      </c>
      <c r="I983" s="132" t="b">
        <f aca="false">FALSE()</f>
        <v>0</v>
      </c>
      <c r="J983" s="126"/>
      <c r="K983" s="99"/>
      <c r="L983" s="83"/>
      <c r="M983" s="103"/>
      <c r="N983" s="103"/>
      <c r="O983" s="103"/>
      <c r="P983" s="103"/>
      <c r="Q983" s="103"/>
      <c r="R983" s="83"/>
      <c r="S983" s="103"/>
      <c r="T983" s="103"/>
      <c r="U983" s="103"/>
    </row>
    <row r="984" customFormat="false" ht="22.5" hidden="false" customHeight="true" outlineLevel="0" collapsed="false">
      <c r="A984" s="110"/>
      <c r="B984" s="110"/>
      <c r="C984" s="110"/>
      <c r="D984" s="122"/>
      <c r="E984" s="110"/>
      <c r="F984" s="128" t="str">
        <f aca="false">IF(E984="CONTADO", 4%, IF(E984="TARJETA / CHEQUE", 3%, IF(OR(E984="FINANCIADO", E984="MCP"), 2.5%, "")))</f>
        <v/>
      </c>
      <c r="G984" s="122" t="str">
        <f aca="false">IF(F984="", "", F984*D984)</f>
        <v/>
      </c>
      <c r="H984" s="131" t="b">
        <f aca="false">FALSE()</f>
        <v>0</v>
      </c>
      <c r="I984" s="131" t="b">
        <f aca="false">FALSE()</f>
        <v>0</v>
      </c>
      <c r="J984" s="130"/>
      <c r="K984" s="110"/>
      <c r="L984" s="83"/>
      <c r="M984" s="103"/>
      <c r="N984" s="103"/>
      <c r="O984" s="103"/>
      <c r="P984" s="103"/>
      <c r="Q984" s="103"/>
      <c r="R984" s="83"/>
      <c r="S984" s="103"/>
      <c r="T984" s="103"/>
      <c r="U984" s="103"/>
    </row>
    <row r="985" customFormat="false" ht="22.5" hidden="false" customHeight="true" outlineLevel="0" collapsed="false">
      <c r="A985" s="99"/>
      <c r="B985" s="99"/>
      <c r="C985" s="99"/>
      <c r="D985" s="121"/>
      <c r="E985" s="99"/>
      <c r="F985" s="124" t="str">
        <f aca="false">IF(E985="CONTADO", 4%, IF(E985="TARJETA / CHEQUE", 3%, IF(OR(E985="FINANCIADO", E985="MCP"), 2.5%, "")))</f>
        <v/>
      </c>
      <c r="G985" s="121" t="str">
        <f aca="false">IF(F985="", "", F985*D985)</f>
        <v/>
      </c>
      <c r="H985" s="132" t="b">
        <f aca="false">FALSE()</f>
        <v>0</v>
      </c>
      <c r="I985" s="132" t="b">
        <f aca="false">FALSE()</f>
        <v>0</v>
      </c>
      <c r="J985" s="126"/>
      <c r="K985" s="99"/>
      <c r="L985" s="83"/>
      <c r="M985" s="103"/>
      <c r="N985" s="103"/>
      <c r="O985" s="103"/>
      <c r="P985" s="103"/>
      <c r="Q985" s="103"/>
      <c r="R985" s="83"/>
      <c r="S985" s="103"/>
      <c r="T985" s="103"/>
      <c r="U985" s="103"/>
    </row>
    <row r="986" customFormat="false" ht="22.5" hidden="false" customHeight="true" outlineLevel="0" collapsed="false">
      <c r="A986" s="110"/>
      <c r="B986" s="110"/>
      <c r="C986" s="110"/>
      <c r="D986" s="122"/>
      <c r="E986" s="110"/>
      <c r="F986" s="128" t="str">
        <f aca="false">IF(E986="CONTADO", 4%, IF(E986="TARJETA / CHEQUE", 3%, IF(OR(E986="FINANCIADO", E986="MCP"), 2.5%, "")))</f>
        <v/>
      </c>
      <c r="G986" s="122" t="str">
        <f aca="false">IF(F986="", "", F986*D986)</f>
        <v/>
      </c>
      <c r="H986" s="131" t="b">
        <f aca="false">FALSE()</f>
        <v>0</v>
      </c>
      <c r="I986" s="131" t="b">
        <f aca="false">FALSE()</f>
        <v>0</v>
      </c>
      <c r="J986" s="130"/>
      <c r="K986" s="110"/>
      <c r="L986" s="83"/>
      <c r="M986" s="103"/>
      <c r="N986" s="103"/>
      <c r="O986" s="103"/>
      <c r="P986" s="103"/>
      <c r="Q986" s="103"/>
      <c r="R986" s="83"/>
      <c r="S986" s="103"/>
      <c r="T986" s="103"/>
      <c r="U986" s="103"/>
    </row>
    <row r="987" customFormat="false" ht="22.5" hidden="false" customHeight="true" outlineLevel="0" collapsed="false">
      <c r="A987" s="99"/>
      <c r="B987" s="99"/>
      <c r="C987" s="99"/>
      <c r="D987" s="121"/>
      <c r="E987" s="99"/>
      <c r="F987" s="124" t="str">
        <f aca="false">IF(E987="CONTADO", 4%, IF(E987="TARJETA / CHEQUE", 3%, IF(OR(E987="FINANCIADO", E987="MCP"), 2.5%, "")))</f>
        <v/>
      </c>
      <c r="G987" s="121" t="str">
        <f aca="false">IF(F987="", "", F987*D987)</f>
        <v/>
      </c>
      <c r="H987" s="132" t="b">
        <f aca="false">FALSE()</f>
        <v>0</v>
      </c>
      <c r="I987" s="132" t="b">
        <f aca="false">FALSE()</f>
        <v>0</v>
      </c>
      <c r="J987" s="126"/>
      <c r="K987" s="99"/>
      <c r="L987" s="83"/>
      <c r="M987" s="103"/>
      <c r="N987" s="103"/>
      <c r="O987" s="103"/>
      <c r="P987" s="103"/>
      <c r="Q987" s="103"/>
      <c r="R987" s="83"/>
      <c r="S987" s="103"/>
      <c r="T987" s="103"/>
      <c r="U987" s="103"/>
    </row>
    <row r="988" customFormat="false" ht="22.5" hidden="false" customHeight="true" outlineLevel="0" collapsed="false">
      <c r="A988" s="110"/>
      <c r="B988" s="110"/>
      <c r="C988" s="110"/>
      <c r="D988" s="122"/>
      <c r="E988" s="110"/>
      <c r="F988" s="128" t="str">
        <f aca="false">IF(E988="CONTADO", 4%, IF(E988="TARJETA / CHEQUE", 3%, IF(OR(E988="FINANCIADO", E988="MCP"), 2.5%, "")))</f>
        <v/>
      </c>
      <c r="G988" s="122" t="str">
        <f aca="false">IF(F988="", "", F988*D988)</f>
        <v/>
      </c>
      <c r="H988" s="131" t="b">
        <f aca="false">FALSE()</f>
        <v>0</v>
      </c>
      <c r="I988" s="131" t="b">
        <f aca="false">FALSE()</f>
        <v>0</v>
      </c>
      <c r="J988" s="130"/>
      <c r="K988" s="110"/>
      <c r="L988" s="83"/>
      <c r="M988" s="103"/>
      <c r="N988" s="103"/>
      <c r="O988" s="103"/>
      <c r="P988" s="103"/>
      <c r="Q988" s="103"/>
      <c r="R988" s="83"/>
      <c r="S988" s="103"/>
      <c r="T988" s="103"/>
      <c r="U988" s="103"/>
    </row>
    <row r="989" customFormat="false" ht="22.5" hidden="false" customHeight="true" outlineLevel="0" collapsed="false">
      <c r="A989" s="99"/>
      <c r="B989" s="99"/>
      <c r="C989" s="99"/>
      <c r="D989" s="121"/>
      <c r="E989" s="99"/>
      <c r="F989" s="124" t="str">
        <f aca="false">IF(E989="CONTADO", 4%, IF(E989="TARJETA / CHEQUE", 3%, IF(OR(E989="FINANCIADO", E989="MCP"), 2.5%, "")))</f>
        <v/>
      </c>
      <c r="G989" s="121" t="str">
        <f aca="false">IF(F989="", "", F989*D989)</f>
        <v/>
      </c>
      <c r="H989" s="132" t="b">
        <f aca="false">FALSE()</f>
        <v>0</v>
      </c>
      <c r="I989" s="132" t="b">
        <f aca="false">FALSE()</f>
        <v>0</v>
      </c>
      <c r="J989" s="126"/>
      <c r="K989" s="99"/>
      <c r="L989" s="83"/>
      <c r="M989" s="103"/>
      <c r="N989" s="103"/>
      <c r="O989" s="103"/>
      <c r="P989" s="103"/>
      <c r="Q989" s="103"/>
      <c r="R989" s="83"/>
      <c r="S989" s="103"/>
      <c r="T989" s="103"/>
      <c r="U989" s="103"/>
    </row>
    <row r="990" customFormat="false" ht="22.5" hidden="false" customHeight="true" outlineLevel="0" collapsed="false">
      <c r="A990" s="110"/>
      <c r="B990" s="110"/>
      <c r="C990" s="110"/>
      <c r="D990" s="122"/>
      <c r="E990" s="110"/>
      <c r="F990" s="128" t="str">
        <f aca="false">IF(E990="CONTADO", 4%, IF(E990="TARJETA / CHEQUE", 3%, IF(OR(E990="FINANCIADO", E990="MCP"), 2.5%, "")))</f>
        <v/>
      </c>
      <c r="G990" s="122" t="str">
        <f aca="false">IF(F990="", "", F990*D990)</f>
        <v/>
      </c>
      <c r="H990" s="131" t="b">
        <f aca="false">FALSE()</f>
        <v>0</v>
      </c>
      <c r="I990" s="131" t="b">
        <f aca="false">FALSE()</f>
        <v>0</v>
      </c>
      <c r="J990" s="130"/>
      <c r="K990" s="110"/>
      <c r="L990" s="83"/>
      <c r="M990" s="103"/>
      <c r="N990" s="103"/>
      <c r="O990" s="103"/>
      <c r="P990" s="103"/>
      <c r="Q990" s="103"/>
      <c r="R990" s="83"/>
      <c r="S990" s="103"/>
      <c r="T990" s="103"/>
      <c r="U990" s="103"/>
    </row>
    <row r="991" customFormat="false" ht="22.5" hidden="false" customHeight="true" outlineLevel="0" collapsed="false">
      <c r="A991" s="99"/>
      <c r="B991" s="99"/>
      <c r="C991" s="99"/>
      <c r="D991" s="121"/>
      <c r="E991" s="99"/>
      <c r="F991" s="124" t="str">
        <f aca="false">IF(E991="CONTADO", 4%, IF(E991="TARJETA / CHEQUE", 3%, IF(OR(E991="FINANCIADO", E991="MCP"), 2.5%, "")))</f>
        <v/>
      </c>
      <c r="G991" s="121" t="str">
        <f aca="false">IF(F991="", "", F991*D991)</f>
        <v/>
      </c>
      <c r="H991" s="132" t="b">
        <f aca="false">FALSE()</f>
        <v>0</v>
      </c>
      <c r="I991" s="132" t="b">
        <f aca="false">FALSE()</f>
        <v>0</v>
      </c>
      <c r="J991" s="126"/>
      <c r="K991" s="99"/>
      <c r="L991" s="83"/>
      <c r="M991" s="103"/>
      <c r="N991" s="103"/>
      <c r="O991" s="103"/>
      <c r="P991" s="103"/>
      <c r="Q991" s="103"/>
      <c r="R991" s="83"/>
      <c r="S991" s="103"/>
      <c r="T991" s="103"/>
      <c r="U991" s="103"/>
    </row>
    <row r="992" customFormat="false" ht="22.5" hidden="false" customHeight="true" outlineLevel="0" collapsed="false">
      <c r="A992" s="110"/>
      <c r="B992" s="110"/>
      <c r="C992" s="110"/>
      <c r="D992" s="122"/>
      <c r="E992" s="110"/>
      <c r="F992" s="128" t="str">
        <f aca="false">IF(E992="CONTADO", 4%, IF(E992="TARJETA / CHEQUE", 3%, IF(OR(E992="FINANCIADO", E992="MCP"), 2.5%, "")))</f>
        <v/>
      </c>
      <c r="G992" s="122" t="str">
        <f aca="false">IF(F992="", "", F992*D992)</f>
        <v/>
      </c>
      <c r="H992" s="131" t="b">
        <f aca="false">FALSE()</f>
        <v>0</v>
      </c>
      <c r="I992" s="131" t="b">
        <f aca="false">FALSE()</f>
        <v>0</v>
      </c>
      <c r="J992" s="130"/>
      <c r="K992" s="110"/>
      <c r="L992" s="83"/>
      <c r="M992" s="103"/>
      <c r="N992" s="103"/>
      <c r="O992" s="103"/>
      <c r="P992" s="103"/>
      <c r="Q992" s="103"/>
      <c r="R992" s="83"/>
      <c r="S992" s="103"/>
      <c r="T992" s="103"/>
      <c r="U992" s="103"/>
    </row>
    <row r="993" customFormat="false" ht="22.5" hidden="false" customHeight="true" outlineLevel="0" collapsed="false">
      <c r="A993" s="99"/>
      <c r="B993" s="99"/>
      <c r="C993" s="99"/>
      <c r="D993" s="121"/>
      <c r="E993" s="99"/>
      <c r="F993" s="124" t="str">
        <f aca="false">IF(E993="CONTADO", 4%, IF(E993="TARJETA / CHEQUE", 3%, IF(OR(E993="FINANCIADO", E993="MCP"), 2.5%, "")))</f>
        <v/>
      </c>
      <c r="G993" s="121" t="str">
        <f aca="false">IF(F993="", "", F993*D993)</f>
        <v/>
      </c>
      <c r="H993" s="132" t="b">
        <f aca="false">FALSE()</f>
        <v>0</v>
      </c>
      <c r="I993" s="132" t="b">
        <f aca="false">FALSE()</f>
        <v>0</v>
      </c>
      <c r="J993" s="126"/>
      <c r="K993" s="99"/>
      <c r="L993" s="83"/>
      <c r="M993" s="103"/>
      <c r="N993" s="103"/>
      <c r="O993" s="103"/>
      <c r="P993" s="103"/>
      <c r="Q993" s="103"/>
      <c r="R993" s="83"/>
      <c r="S993" s="103"/>
      <c r="T993" s="103"/>
      <c r="U993" s="103"/>
    </row>
    <row r="994" customFormat="false" ht="22.5" hidden="false" customHeight="true" outlineLevel="0" collapsed="false">
      <c r="A994" s="110"/>
      <c r="B994" s="110"/>
      <c r="C994" s="110"/>
      <c r="D994" s="122"/>
      <c r="E994" s="110"/>
      <c r="F994" s="128" t="str">
        <f aca="false">IF(E994="CONTADO", 4%, IF(E994="TARJETA / CHEQUE", 3%, IF(OR(E994="FINANCIADO", E994="MCP"), 2.5%, "")))</f>
        <v/>
      </c>
      <c r="G994" s="122" t="str">
        <f aca="false">IF(F994="", "", F994*D994)</f>
        <v/>
      </c>
      <c r="H994" s="131" t="b">
        <f aca="false">FALSE()</f>
        <v>0</v>
      </c>
      <c r="I994" s="131" t="b">
        <f aca="false">FALSE()</f>
        <v>0</v>
      </c>
      <c r="J994" s="130"/>
      <c r="K994" s="110"/>
      <c r="L994" s="83"/>
      <c r="M994" s="103"/>
      <c r="N994" s="103"/>
      <c r="O994" s="103"/>
      <c r="P994" s="103"/>
      <c r="Q994" s="103"/>
      <c r="R994" s="83"/>
      <c r="S994" s="103"/>
      <c r="T994" s="103"/>
      <c r="U994" s="103"/>
    </row>
    <row r="995" customFormat="false" ht="22.5" hidden="false" customHeight="true" outlineLevel="0" collapsed="false">
      <c r="A995" s="99"/>
      <c r="B995" s="99"/>
      <c r="C995" s="99"/>
      <c r="D995" s="121"/>
      <c r="E995" s="99"/>
      <c r="F995" s="124" t="str">
        <f aca="false">IF(E995="CONTADO", 4%, IF(E995="TARJETA / CHEQUE", 3%, IF(OR(E995="FINANCIADO", E995="MCP"), 2.5%, "")))</f>
        <v/>
      </c>
      <c r="G995" s="121" t="str">
        <f aca="false">IF(F995="", "", F995*D995)</f>
        <v/>
      </c>
      <c r="H995" s="132" t="b">
        <f aca="false">FALSE()</f>
        <v>0</v>
      </c>
      <c r="I995" s="132" t="b">
        <f aca="false">FALSE()</f>
        <v>0</v>
      </c>
      <c r="J995" s="126"/>
      <c r="K995" s="99"/>
      <c r="L995" s="83"/>
      <c r="M995" s="103"/>
      <c r="N995" s="103"/>
      <c r="O995" s="103"/>
      <c r="P995" s="103"/>
      <c r="Q995" s="103"/>
      <c r="R995" s="83"/>
      <c r="S995" s="103"/>
      <c r="T995" s="103"/>
      <c r="U995" s="103"/>
    </row>
    <row r="996" customFormat="false" ht="22.5" hidden="false" customHeight="true" outlineLevel="0" collapsed="false">
      <c r="A996" s="110"/>
      <c r="B996" s="110"/>
      <c r="C996" s="110"/>
      <c r="D996" s="122"/>
      <c r="E996" s="110"/>
      <c r="F996" s="128" t="str">
        <f aca="false">IF(E996="CONTADO", 4%, IF(E996="TARJETA / CHEQUE", 3%, IF(OR(E996="FINANCIADO", E996="MCP"), 2.5%, "")))</f>
        <v/>
      </c>
      <c r="G996" s="122" t="str">
        <f aca="false">IF(F996="", "", F996*D996)</f>
        <v/>
      </c>
      <c r="H996" s="131" t="b">
        <f aca="false">FALSE()</f>
        <v>0</v>
      </c>
      <c r="I996" s="131" t="b">
        <f aca="false">FALSE()</f>
        <v>0</v>
      </c>
      <c r="J996" s="130"/>
      <c r="K996" s="110"/>
      <c r="L996" s="83"/>
      <c r="M996" s="103"/>
      <c r="N996" s="103"/>
      <c r="O996" s="103"/>
      <c r="P996" s="103"/>
      <c r="Q996" s="103"/>
      <c r="R996" s="83"/>
      <c r="S996" s="103"/>
      <c r="T996" s="103"/>
      <c r="U996" s="103"/>
    </row>
    <row r="997" customFormat="false" ht="22.5" hidden="false" customHeight="true" outlineLevel="0" collapsed="false">
      <c r="A997" s="99"/>
      <c r="B997" s="99"/>
      <c r="C997" s="99"/>
      <c r="D997" s="121"/>
      <c r="E997" s="99"/>
      <c r="F997" s="124" t="str">
        <f aca="false">IF(E997="CONTADO", 4%, IF(E997="TARJETA / CHEQUE", 3%, IF(OR(E997="FINANCIADO", E997="MCP"), 2.5%, "")))</f>
        <v/>
      </c>
      <c r="G997" s="121" t="str">
        <f aca="false">IF(F997="", "", F997*D997)</f>
        <v/>
      </c>
      <c r="H997" s="132" t="b">
        <f aca="false">FALSE()</f>
        <v>0</v>
      </c>
      <c r="I997" s="132" t="b">
        <f aca="false">FALSE()</f>
        <v>0</v>
      </c>
      <c r="J997" s="126"/>
      <c r="K997" s="99"/>
      <c r="L997" s="83"/>
      <c r="M997" s="103"/>
      <c r="N997" s="103"/>
      <c r="O997" s="103"/>
      <c r="P997" s="103"/>
      <c r="Q997" s="103"/>
      <c r="R997" s="83"/>
      <c r="S997" s="103"/>
      <c r="T997" s="103"/>
      <c r="U997" s="103"/>
    </row>
    <row r="998" customFormat="false" ht="22.5" hidden="false" customHeight="true" outlineLevel="0" collapsed="false">
      <c r="A998" s="110"/>
      <c r="B998" s="110"/>
      <c r="C998" s="110"/>
      <c r="D998" s="122"/>
      <c r="E998" s="110"/>
      <c r="F998" s="128" t="str">
        <f aca="false">IF(E998="CONTADO", 4%, IF(E998="TARJETA / CHEQUE", 3%, IF(OR(E998="FINANCIADO", E998="MCP"), 2.5%, "")))</f>
        <v/>
      </c>
      <c r="G998" s="122" t="str">
        <f aca="false">IF(F998="", "", F998*D998)</f>
        <v/>
      </c>
      <c r="H998" s="131" t="b">
        <f aca="false">FALSE()</f>
        <v>0</v>
      </c>
      <c r="I998" s="131" t="b">
        <f aca="false">FALSE()</f>
        <v>0</v>
      </c>
      <c r="J998" s="130"/>
      <c r="K998" s="110"/>
      <c r="L998" s="83"/>
      <c r="M998" s="103"/>
      <c r="N998" s="103"/>
      <c r="O998" s="103"/>
      <c r="P998" s="103"/>
      <c r="Q998" s="103"/>
      <c r="R998" s="83"/>
      <c r="S998" s="103"/>
      <c r="T998" s="103"/>
      <c r="U998" s="103"/>
    </row>
    <row r="999" customFormat="false" ht="22.5" hidden="false" customHeight="true" outlineLevel="0" collapsed="false">
      <c r="A999" s="99"/>
      <c r="B999" s="99"/>
      <c r="C999" s="99"/>
      <c r="D999" s="121"/>
      <c r="E999" s="99"/>
      <c r="F999" s="124" t="str">
        <f aca="false">IF(E999="CONTADO", 4%, IF(E999="TARJETA / CHEQUE", 3%, IF(OR(E999="FINANCIADO", E999="MCP"), 2.5%, "")))</f>
        <v/>
      </c>
      <c r="G999" s="121" t="str">
        <f aca="false">IF(F999="", "", F999*D999)</f>
        <v/>
      </c>
      <c r="H999" s="132" t="b">
        <f aca="false">FALSE()</f>
        <v>0</v>
      </c>
      <c r="I999" s="132" t="b">
        <f aca="false">FALSE()</f>
        <v>0</v>
      </c>
      <c r="J999" s="126"/>
      <c r="K999" s="99"/>
      <c r="L999" s="83"/>
      <c r="M999" s="103"/>
      <c r="N999" s="103"/>
      <c r="O999" s="103"/>
      <c r="P999" s="103"/>
      <c r="Q999" s="103"/>
      <c r="R999" s="83"/>
      <c r="S999" s="103"/>
      <c r="T999" s="103"/>
      <c r="U999" s="103"/>
    </row>
    <row r="1000" customFormat="false" ht="22.5" hidden="false" customHeight="true" outlineLevel="0" collapsed="false">
      <c r="A1000" s="110"/>
      <c r="B1000" s="110"/>
      <c r="C1000" s="110"/>
      <c r="D1000" s="122"/>
      <c r="E1000" s="110"/>
      <c r="F1000" s="128" t="str">
        <f aca="false">IF(E1000="CONTADO", 4%, IF(E1000="TARJETA / CHEQUE", 3%, IF(OR(E1000="FINANCIADO", E1000="MCP"), 2.5%, "")))</f>
        <v/>
      </c>
      <c r="G1000" s="122" t="str">
        <f aca="false">IF(F1000="", "", F1000*D1000)</f>
        <v/>
      </c>
      <c r="H1000" s="131" t="b">
        <f aca="false">FALSE()</f>
        <v>0</v>
      </c>
      <c r="I1000" s="131" t="b">
        <f aca="false">FALSE()</f>
        <v>0</v>
      </c>
      <c r="J1000" s="130"/>
      <c r="K1000" s="110"/>
      <c r="L1000" s="83"/>
      <c r="M1000" s="103"/>
      <c r="N1000" s="103"/>
      <c r="O1000" s="103"/>
      <c r="P1000" s="103"/>
      <c r="Q1000" s="103"/>
      <c r="R1000" s="83"/>
      <c r="S1000" s="103"/>
      <c r="T1000" s="103"/>
      <c r="U1000" s="103"/>
    </row>
    <row r="1001" customFormat="false" ht="22.5" hidden="false" customHeight="true" outlineLevel="0" collapsed="false">
      <c r="A1001" s="99"/>
      <c r="B1001" s="99"/>
      <c r="C1001" s="99"/>
      <c r="D1001" s="121"/>
      <c r="E1001" s="99"/>
      <c r="F1001" s="124" t="str">
        <f aca="false">IF(E1001="CONTADO", 4%, IF(E1001="TARJETA / CHEQUE", 3%, IF(OR(E1001="FINANCIADO", E1001="MCP"), 2.5%, "")))</f>
        <v/>
      </c>
      <c r="G1001" s="121" t="str">
        <f aca="false">IF(F1001="", "", F1001*D1001)</f>
        <v/>
      </c>
      <c r="H1001" s="132" t="b">
        <f aca="false">FALSE()</f>
        <v>0</v>
      </c>
      <c r="I1001" s="132" t="b">
        <f aca="false">FALSE()</f>
        <v>0</v>
      </c>
      <c r="J1001" s="126"/>
      <c r="K1001" s="99"/>
      <c r="L1001" s="83"/>
      <c r="M1001" s="103"/>
      <c r="N1001" s="103"/>
      <c r="O1001" s="103"/>
      <c r="P1001" s="103"/>
      <c r="Q1001" s="103"/>
      <c r="R1001" s="83"/>
      <c r="S1001" s="103"/>
      <c r="T1001" s="103"/>
      <c r="U1001" s="103"/>
    </row>
    <row r="1002" customFormat="false" ht="22.5" hidden="false" customHeight="true" outlineLevel="0" collapsed="false">
      <c r="A1002" s="110"/>
      <c r="B1002" s="110"/>
      <c r="C1002" s="110"/>
      <c r="D1002" s="122"/>
      <c r="E1002" s="110"/>
      <c r="F1002" s="128" t="str">
        <f aca="false">IF(E1002="CONTADO", 4%, IF(E1002="TARJETA / CHEQUE", 3%, IF(OR(E1002="FINANCIADO", E1002="MCP"), 2.5%, "")))</f>
        <v/>
      </c>
      <c r="G1002" s="122" t="str">
        <f aca="false">IF(F1002="", "", F1002*D1002)</f>
        <v/>
      </c>
      <c r="H1002" s="131" t="b">
        <f aca="false">FALSE()</f>
        <v>0</v>
      </c>
      <c r="I1002" s="131" t="b">
        <f aca="false">FALSE()</f>
        <v>0</v>
      </c>
      <c r="J1002" s="130"/>
      <c r="K1002" s="110"/>
      <c r="L1002" s="83"/>
      <c r="M1002" s="103"/>
      <c r="N1002" s="103"/>
      <c r="O1002" s="103"/>
      <c r="P1002" s="103"/>
      <c r="Q1002" s="103"/>
      <c r="R1002" s="83"/>
      <c r="S1002" s="103"/>
      <c r="T1002" s="103"/>
      <c r="U1002" s="103"/>
    </row>
    <row r="1003" customFormat="false" ht="22.5" hidden="false" customHeight="true" outlineLevel="0" collapsed="false">
      <c r="A1003" s="99"/>
      <c r="B1003" s="99"/>
      <c r="C1003" s="99"/>
      <c r="D1003" s="121"/>
      <c r="E1003" s="99"/>
      <c r="F1003" s="124" t="str">
        <f aca="false">IF(E1003="CONTADO", 4%, IF(E1003="TARJETA / CHEQUE", 3%, IF(OR(E1003="FINANCIADO", E1003="MCP"), 2.5%, "")))</f>
        <v/>
      </c>
      <c r="G1003" s="121" t="str">
        <f aca="false">IF(F1003="", "", F1003*D1003)</f>
        <v/>
      </c>
      <c r="H1003" s="132" t="b">
        <f aca="false">FALSE()</f>
        <v>0</v>
      </c>
      <c r="I1003" s="132" t="b">
        <f aca="false">FALSE()</f>
        <v>0</v>
      </c>
      <c r="J1003" s="126"/>
      <c r="K1003" s="99"/>
      <c r="L1003" s="83"/>
      <c r="M1003" s="103"/>
      <c r="N1003" s="103"/>
      <c r="O1003" s="103"/>
      <c r="P1003" s="103"/>
      <c r="Q1003" s="103"/>
      <c r="R1003" s="83"/>
      <c r="S1003" s="103"/>
      <c r="T1003" s="103"/>
      <c r="U1003" s="103"/>
    </row>
    <row r="1004" customFormat="false" ht="22.5" hidden="false" customHeight="true" outlineLevel="0" collapsed="false">
      <c r="A1004" s="110"/>
      <c r="B1004" s="110"/>
      <c r="C1004" s="110"/>
      <c r="D1004" s="122"/>
      <c r="E1004" s="110"/>
      <c r="F1004" s="128" t="str">
        <f aca="false">IF(E1004="CONTADO", 4%, IF(E1004="TARJETA / CHEQUE", 3%, IF(OR(E1004="FINANCIADO", E1004="MCP"), 2.5%, "")))</f>
        <v/>
      </c>
      <c r="G1004" s="122" t="str">
        <f aca="false">IF(F1004="", "", F1004*D1004)</f>
        <v/>
      </c>
      <c r="H1004" s="131" t="b">
        <f aca="false">FALSE()</f>
        <v>0</v>
      </c>
      <c r="I1004" s="131" t="b">
        <f aca="false">FALSE()</f>
        <v>0</v>
      </c>
      <c r="J1004" s="130"/>
      <c r="K1004" s="110"/>
      <c r="L1004" s="83"/>
      <c r="M1004" s="103"/>
      <c r="N1004" s="103"/>
      <c r="O1004" s="103"/>
      <c r="P1004" s="103"/>
      <c r="Q1004" s="103"/>
      <c r="R1004" s="83"/>
      <c r="S1004" s="103"/>
      <c r="T1004" s="103"/>
      <c r="U1004" s="103"/>
    </row>
    <row r="1005" customFormat="false" ht="22.5" hidden="false" customHeight="true" outlineLevel="0" collapsed="false">
      <c r="A1005" s="99"/>
      <c r="B1005" s="99"/>
      <c r="C1005" s="99"/>
      <c r="D1005" s="121"/>
      <c r="E1005" s="99"/>
      <c r="F1005" s="124" t="str">
        <f aca="false">IF(E1005="CONTADO", 4%, IF(E1005="TARJETA / CHEQUE", 3%, IF(OR(E1005="FINANCIADO", E1005="MCP"), 2.5%, "")))</f>
        <v/>
      </c>
      <c r="G1005" s="121" t="str">
        <f aca="false">IF(F1005="", "", F1005*D1005)</f>
        <v/>
      </c>
      <c r="H1005" s="132" t="b">
        <f aca="false">FALSE()</f>
        <v>0</v>
      </c>
      <c r="I1005" s="132" t="b">
        <f aca="false">FALSE()</f>
        <v>0</v>
      </c>
      <c r="J1005" s="126"/>
      <c r="K1005" s="99"/>
      <c r="L1005" s="83"/>
      <c r="M1005" s="103"/>
      <c r="N1005" s="103"/>
      <c r="O1005" s="103"/>
      <c r="P1005" s="103"/>
      <c r="Q1005" s="103"/>
      <c r="R1005" s="83"/>
      <c r="S1005" s="103"/>
      <c r="T1005" s="103"/>
      <c r="U1005" s="103"/>
    </row>
    <row r="1006" customFormat="false" ht="22.5" hidden="false" customHeight="true" outlineLevel="0" collapsed="false">
      <c r="A1006" s="110"/>
      <c r="B1006" s="110"/>
      <c r="C1006" s="110"/>
      <c r="D1006" s="122"/>
      <c r="E1006" s="110"/>
      <c r="F1006" s="128" t="str">
        <f aca="false">IF(E1006="CONTADO", 4%, IF(E1006="TARJETA / CHEQUE", 3%, IF(OR(E1006="FINANCIADO", E1006="MCP"), 2.5%, "")))</f>
        <v/>
      </c>
      <c r="G1006" s="122" t="str">
        <f aca="false">IF(F1006="", "", F1006*D1006)</f>
        <v/>
      </c>
      <c r="H1006" s="131" t="b">
        <f aca="false">FALSE()</f>
        <v>0</v>
      </c>
      <c r="I1006" s="131" t="b">
        <f aca="false">FALSE()</f>
        <v>0</v>
      </c>
      <c r="J1006" s="130"/>
      <c r="K1006" s="110"/>
      <c r="L1006" s="83"/>
      <c r="M1006" s="103"/>
      <c r="N1006" s="103"/>
      <c r="O1006" s="103"/>
      <c r="P1006" s="103"/>
      <c r="Q1006" s="103"/>
      <c r="R1006" s="83"/>
      <c r="S1006" s="103"/>
      <c r="T1006" s="103"/>
      <c r="U1006" s="103"/>
    </row>
    <row r="1007" customFormat="false" ht="22.5" hidden="false" customHeight="true" outlineLevel="0" collapsed="false">
      <c r="A1007" s="99"/>
      <c r="B1007" s="99"/>
      <c r="C1007" s="99"/>
      <c r="D1007" s="121"/>
      <c r="E1007" s="99"/>
      <c r="F1007" s="124" t="str">
        <f aca="false">IF(E1007="CONTADO", 4%, IF(E1007="TARJETA / CHEQUE", 3%, IF(OR(E1007="FINANCIADO", E1007="MCP"), 2.5%, "")))</f>
        <v/>
      </c>
      <c r="G1007" s="121" t="str">
        <f aca="false">IF(F1007="", "", F1007*D1007)</f>
        <v/>
      </c>
      <c r="H1007" s="132" t="b">
        <f aca="false">FALSE()</f>
        <v>0</v>
      </c>
      <c r="I1007" s="132" t="b">
        <f aca="false">FALSE()</f>
        <v>0</v>
      </c>
      <c r="J1007" s="126"/>
      <c r="K1007" s="99"/>
      <c r="L1007" s="83"/>
      <c r="M1007" s="103"/>
      <c r="N1007" s="103"/>
      <c r="O1007" s="103"/>
      <c r="P1007" s="103"/>
      <c r="Q1007" s="103"/>
      <c r="R1007" s="83"/>
      <c r="S1007" s="103"/>
      <c r="T1007" s="103"/>
      <c r="U1007" s="103"/>
    </row>
    <row r="1008" customFormat="false" ht="22.5" hidden="false" customHeight="true" outlineLevel="0" collapsed="false">
      <c r="A1008" s="110"/>
      <c r="B1008" s="110"/>
      <c r="C1008" s="110"/>
      <c r="D1008" s="122"/>
      <c r="E1008" s="110"/>
      <c r="F1008" s="128" t="str">
        <f aca="false">IF(E1008="CONTADO", 4%, IF(E1008="TARJETA / CHEQUE", 3%, IF(OR(E1008="FINANCIADO", E1008="MCP"), 2.5%, "")))</f>
        <v/>
      </c>
      <c r="G1008" s="122" t="str">
        <f aca="false">IF(F1008="", "", F1008*D1008)</f>
        <v/>
      </c>
      <c r="H1008" s="131" t="b">
        <f aca="false">FALSE()</f>
        <v>0</v>
      </c>
      <c r="I1008" s="131" t="b">
        <f aca="false">FALSE()</f>
        <v>0</v>
      </c>
      <c r="J1008" s="130"/>
      <c r="K1008" s="110"/>
      <c r="L1008" s="83"/>
      <c r="M1008" s="103"/>
      <c r="N1008" s="103"/>
      <c r="O1008" s="103"/>
      <c r="P1008" s="103"/>
      <c r="Q1008" s="103"/>
      <c r="R1008" s="83"/>
      <c r="S1008" s="103"/>
      <c r="T1008" s="103"/>
      <c r="U1008" s="103"/>
    </row>
    <row r="1009" customFormat="false" ht="22.5" hidden="false" customHeight="true" outlineLevel="0" collapsed="false">
      <c r="A1009" s="99"/>
      <c r="B1009" s="99"/>
      <c r="C1009" s="99"/>
      <c r="D1009" s="121"/>
      <c r="E1009" s="99"/>
      <c r="F1009" s="124" t="str">
        <f aca="false">IF(E1009="CONTADO", 4%, IF(E1009="TARJETA / CHEQUE", 3%, IF(OR(E1009="FINANCIADO", E1009="MCP"), 2.5%, "")))</f>
        <v/>
      </c>
      <c r="G1009" s="121" t="str">
        <f aca="false">IF(F1009="", "", F1009*D1009)</f>
        <v/>
      </c>
      <c r="H1009" s="132" t="b">
        <f aca="false">FALSE()</f>
        <v>0</v>
      </c>
      <c r="I1009" s="132" t="b">
        <f aca="false">FALSE()</f>
        <v>0</v>
      </c>
      <c r="J1009" s="126"/>
      <c r="K1009" s="99"/>
      <c r="L1009" s="83"/>
      <c r="M1009" s="103"/>
      <c r="N1009" s="103"/>
      <c r="O1009" s="103"/>
      <c r="P1009" s="103"/>
      <c r="Q1009" s="103"/>
      <c r="R1009" s="83"/>
      <c r="S1009" s="103"/>
      <c r="T1009" s="103"/>
      <c r="U1009" s="103"/>
    </row>
    <row r="1010" customFormat="false" ht="22.5" hidden="false" customHeight="true" outlineLevel="0" collapsed="false">
      <c r="A1010" s="110"/>
      <c r="B1010" s="110"/>
      <c r="C1010" s="138"/>
      <c r="D1010" s="139"/>
      <c r="E1010" s="138"/>
      <c r="F1010" s="140"/>
      <c r="G1010" s="139"/>
      <c r="H1010" s="141" t="b">
        <f aca="false">FALSE()</f>
        <v>0</v>
      </c>
      <c r="I1010" s="141" t="b">
        <f aca="false">FALSE()</f>
        <v>0</v>
      </c>
      <c r="J1010" s="142"/>
      <c r="K1010" s="138"/>
      <c r="L1010" s="83"/>
      <c r="M1010" s="103"/>
      <c r="N1010" s="103"/>
      <c r="O1010" s="103"/>
      <c r="P1010" s="103"/>
      <c r="Q1010" s="103"/>
      <c r="R1010" s="83"/>
      <c r="S1010" s="103"/>
      <c r="T1010" s="103"/>
      <c r="U1010" s="103"/>
    </row>
  </sheetData>
  <mergeCells count="7">
    <mergeCell ref="A1:K1"/>
    <mergeCell ref="R1:S1"/>
    <mergeCell ref="T1:U1"/>
    <mergeCell ref="R5:S5"/>
    <mergeCell ref="T5:U5"/>
    <mergeCell ref="R6:S6"/>
    <mergeCell ref="T6:U6"/>
  </mergeCells>
  <dataValidations count="4">
    <dataValidation allowBlank="true" errorStyle="stop" operator="between" showDropDown="false" showErrorMessage="true" showInputMessage="false" sqref="K3:K1010" type="list">
      <formula1>"NUEVO,EXISTENTE"</formula1>
      <formula2>0</formula2>
    </dataValidation>
    <dataValidation allowBlank="true" errorStyle="stop" operator="between" showDropDown="true" showErrorMessage="true" showInputMessage="false" sqref="B3:B1010 J3:J1010" type="custom">
      <formula1>OR(NOT(ISERROR(DATEVALUE(B3))), AND(ISNUMBER(B3), LEFT(CELL("format", B3))="D"))</formula1>
      <formula2>0</formula2>
    </dataValidation>
    <dataValidation allowBlank="true" errorStyle="stop" operator="between" showDropDown="false" showErrorMessage="true" showInputMessage="false" sqref="M6" type="list">
      <formula1>BD!$H$2:$H1010</formula1>
      <formula2>0</formula2>
    </dataValidation>
    <dataValidation allowBlank="true" errorStyle="stop" operator="between" showDropDown="false" showErrorMessage="true" showInputMessage="false" sqref="E3:E1010" type="list">
      <formula1>"CONTADO,TARJETA / CHEQUE,FINANCIADO,MCP"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1130"/>
    <outlinePr summaryBelow="0"/>
    <pageSetUpPr fitToPage="false"/>
  </sheetPr>
  <dimension ref="A1:U10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true" outlineLevel="1" max="6" min="6" style="0" width="14"/>
    <col collapsed="false" customWidth="true" hidden="true" outlineLevel="1" max="7" min="7" style="0" width="13.63"/>
    <col collapsed="false" customWidth="false" hidden="true" outlineLevel="1" max="8" min="8" style="0" width="12.63"/>
    <col collapsed="false" customWidth="true" hidden="true" outlineLevel="1" max="9" min="9" style="0" width="9.88"/>
    <col collapsed="false" customWidth="true" hidden="true" outlineLevel="1" max="10" min="10" style="0" width="15.38"/>
    <col collapsed="false" customWidth="true" hidden="false" outlineLevel="1" max="11" min="11" style="0" width="15.45"/>
    <col collapsed="false" customWidth="true" hidden="false" outlineLevel="0" max="12" min="12" style="0" width="5.75"/>
    <col collapsed="false" customWidth="true" hidden="false" outlineLevel="0" max="13" min="13" style="0" width="17.88"/>
    <col collapsed="false" customWidth="true" hidden="true" outlineLevel="1" max="14" min="14" style="0" width="14.51"/>
    <col collapsed="false" customWidth="true" hidden="true" outlineLevel="1" max="15" min="15" style="0" width="16.75"/>
    <col collapsed="false" customWidth="true" hidden="true" outlineLevel="1" max="17" min="16" style="0" width="14.51"/>
    <col collapsed="false" customWidth="true" hidden="false" outlineLevel="0" max="19" min="19" style="0" width="15.13"/>
    <col collapsed="false" customWidth="true" hidden="false" outlineLevel="0" max="20" min="20" style="0" width="15.88"/>
    <col collapsed="false" customWidth="true" hidden="false" outlineLevel="0" max="21" min="21" style="0" width="12.5"/>
  </cols>
  <sheetData>
    <row r="1" customFormat="false" ht="30" hidden="false" customHeight="true" outlineLevel="0" collapsed="false">
      <c r="A1" s="133" t="s">
        <v>511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83"/>
      <c r="M1" s="84" t="s">
        <v>446</v>
      </c>
      <c r="N1" s="85" t="s">
        <v>431</v>
      </c>
      <c r="O1" s="86" t="s">
        <v>447</v>
      </c>
      <c r="P1" s="87" t="s">
        <v>433</v>
      </c>
      <c r="Q1" s="88" t="s">
        <v>400</v>
      </c>
      <c r="R1" s="89" t="s">
        <v>448</v>
      </c>
      <c r="S1" s="89"/>
      <c r="T1" s="90" t="s">
        <v>449</v>
      </c>
      <c r="U1" s="90"/>
    </row>
    <row r="2" customFormat="false" ht="30" hidden="false" customHeight="true" outlineLevel="0" collapsed="false">
      <c r="A2" s="91" t="s">
        <v>450</v>
      </c>
      <c r="B2" s="91" t="s">
        <v>451</v>
      </c>
      <c r="C2" s="91" t="s">
        <v>452</v>
      </c>
      <c r="D2" s="91" t="s">
        <v>453</v>
      </c>
      <c r="E2" s="91" t="s">
        <v>454</v>
      </c>
      <c r="F2" s="91" t="s">
        <v>455</v>
      </c>
      <c r="G2" s="91" t="s">
        <v>456</v>
      </c>
      <c r="H2" s="91" t="s">
        <v>457</v>
      </c>
      <c r="I2" s="91" t="s">
        <v>458</v>
      </c>
      <c r="J2" s="92" t="s">
        <v>459</v>
      </c>
      <c r="K2" s="91" t="s">
        <v>382</v>
      </c>
      <c r="L2" s="83"/>
      <c r="M2" s="93" t="n">
        <f aca="false">SUM(D:D)</f>
        <v>18218001</v>
      </c>
      <c r="N2" s="94" t="n">
        <f aca="false">SUMIF($E:$E,N1,$D:$D)</f>
        <v>3937531</v>
      </c>
      <c r="O2" s="94" t="n">
        <f aca="false">SUMIF($E:$E,O1,$D:$D)</f>
        <v>6404156</v>
      </c>
      <c r="P2" s="94" t="n">
        <f aca="false">SUMIF($E:$E,P1,$D:$D)</f>
        <v>7876314</v>
      </c>
      <c r="Q2" s="94" t="n">
        <f aca="false">SUMIF($E:$E,Q1,$D:$D)</f>
        <v>0</v>
      </c>
      <c r="R2" s="95" t="n">
        <f aca="false">M2/S2</f>
        <v>0.9008911493</v>
      </c>
      <c r="S2" s="93" t="n">
        <v>20222200</v>
      </c>
      <c r="T2" s="95" t="n">
        <f aca="false">(N2+O2+P2+(Q2/2))/U2</f>
        <v>1.324945527</v>
      </c>
      <c r="U2" s="93" t="n">
        <v>13750000</v>
      </c>
    </row>
    <row r="3" customFormat="false" ht="22.5" hidden="false" customHeight="true" outlineLevel="0" collapsed="false">
      <c r="A3" s="143" t="s">
        <v>512</v>
      </c>
      <c r="B3" s="144" t="n">
        <v>46144</v>
      </c>
      <c r="C3" s="145" t="s">
        <v>513</v>
      </c>
      <c r="D3" s="146" t="n">
        <v>1118080</v>
      </c>
      <c r="E3" s="147" t="s">
        <v>433</v>
      </c>
      <c r="F3" s="100" t="n">
        <f aca="false">IF(E3="CONTADO", 4%, IF(E3="TARJETA / CHEQUE", 3%, IF(OR(E3="FINANCIADO", E3="MCP"), 2.5%, "")))</f>
        <v>0.025</v>
      </c>
      <c r="G3" s="148" t="n">
        <f aca="false">IF(F3="", "", F3*D3)</f>
        <v>27952</v>
      </c>
      <c r="H3" s="149" t="b">
        <f aca="false">TRUE()</f>
        <v>1</v>
      </c>
      <c r="I3" s="149" t="b">
        <f aca="false">TRUE()</f>
        <v>1</v>
      </c>
      <c r="J3" s="150" t="n">
        <v>46153</v>
      </c>
      <c r="K3" s="145" t="s">
        <v>461</v>
      </c>
      <c r="L3" s="83"/>
      <c r="N3" s="103"/>
      <c r="O3" s="103"/>
      <c r="P3" s="103"/>
      <c r="Q3" s="103"/>
      <c r="R3" s="104" t="s">
        <v>462</v>
      </c>
      <c r="S3" s="105" t="n">
        <f aca="false">S2-M2</f>
        <v>2004199</v>
      </c>
      <c r="T3" s="106" t="s">
        <v>462</v>
      </c>
      <c r="U3" s="105" t="str">
        <f aca="false">IF((U2-M2)&gt;=0,U2-M2,"")</f>
        <v/>
      </c>
    </row>
    <row r="4" customFormat="false" ht="22.5" hidden="false" customHeight="true" outlineLevel="0" collapsed="false">
      <c r="A4" s="151" t="n">
        <v>1</v>
      </c>
      <c r="B4" s="152" t="n">
        <v>46146</v>
      </c>
      <c r="C4" s="107"/>
      <c r="D4" s="109"/>
      <c r="E4" s="110"/>
      <c r="F4" s="111" t="str">
        <f aca="false">IF(E4="CONTADO", 4%, IF(E4="TARJETA / CHEQUE", 3%, IF(OR(E4="FINANCIADO", E4="MCP"), 2.5%, "")))</f>
        <v/>
      </c>
      <c r="G4" s="109" t="str">
        <f aca="false">IF(F4="", "", F4*D4)</f>
        <v/>
      </c>
      <c r="H4" s="112" t="b">
        <f aca="false">FALSE()</f>
        <v>0</v>
      </c>
      <c r="I4" s="112" t="b">
        <f aca="false">FALSE()</f>
        <v>0</v>
      </c>
      <c r="J4" s="113"/>
      <c r="K4" s="107"/>
      <c r="L4" s="83"/>
      <c r="N4" s="103"/>
      <c r="O4" s="103"/>
      <c r="P4" s="103"/>
      <c r="Q4" s="103"/>
    </row>
    <row r="5" customFormat="false" ht="22.5" hidden="false" customHeight="true" outlineLevel="0" collapsed="false">
      <c r="A5" s="153" t="n">
        <v>2</v>
      </c>
      <c r="B5" s="154" t="n">
        <v>46147</v>
      </c>
      <c r="C5" s="96"/>
      <c r="D5" s="98"/>
      <c r="E5" s="99"/>
      <c r="F5" s="100" t="str">
        <f aca="false">IF(E5="CONTADO", 4%, IF(E5="TARJETA / CHEQUE", 3%, IF(OR(E5="FINANCIADO", E5="MCP"), 2.5%, "")))</f>
        <v/>
      </c>
      <c r="G5" s="98" t="str">
        <f aca="false">IF(F5="", "", F5*D5)</f>
        <v/>
      </c>
      <c r="H5" s="101" t="b">
        <f aca="false">FALSE()</f>
        <v>0</v>
      </c>
      <c r="I5" s="101" t="b">
        <f aca="false">FALSE()</f>
        <v>0</v>
      </c>
      <c r="J5" s="102"/>
      <c r="K5" s="96"/>
      <c r="L5" s="83"/>
    </row>
    <row r="6" customFormat="false" ht="22.5" hidden="false" customHeight="true" outlineLevel="0" collapsed="false">
      <c r="A6" s="151" t="n">
        <v>3</v>
      </c>
      <c r="B6" s="152" t="n">
        <v>46148</v>
      </c>
      <c r="C6" s="107"/>
      <c r="D6" s="109"/>
      <c r="E6" s="110"/>
      <c r="F6" s="111" t="str">
        <f aca="false">IF(E6="CONTADO", 4%, IF(E6="TARJETA / CHEQUE", 3%, IF(OR(E6="FINANCIADO", E6="MCP"), 2.5%, "")))</f>
        <v/>
      </c>
      <c r="G6" s="109" t="str">
        <f aca="false">IF(F6="", "", F6*D6)</f>
        <v/>
      </c>
      <c r="H6" s="112" t="b">
        <f aca="false">FALSE()</f>
        <v>0</v>
      </c>
      <c r="I6" s="112" t="b">
        <f aca="false">FALSE()</f>
        <v>0</v>
      </c>
      <c r="J6" s="113"/>
      <c r="K6" s="107"/>
      <c r="L6" s="83"/>
      <c r="M6" s="114" t="s">
        <v>5</v>
      </c>
      <c r="N6" s="115"/>
      <c r="O6" s="115"/>
      <c r="P6" s="115"/>
      <c r="Q6" s="115"/>
      <c r="R6" s="116" t="s">
        <v>466</v>
      </c>
      <c r="S6" s="116"/>
      <c r="T6" s="117" t="s">
        <v>467</v>
      </c>
      <c r="U6" s="117"/>
    </row>
    <row r="7" customFormat="false" ht="22.5" hidden="false" customHeight="true" outlineLevel="0" collapsed="false">
      <c r="A7" s="153" t="n">
        <v>4</v>
      </c>
      <c r="B7" s="154" t="n">
        <v>46149</v>
      </c>
      <c r="C7" s="96" t="s">
        <v>514</v>
      </c>
      <c r="D7" s="98" t="n">
        <v>517492</v>
      </c>
      <c r="E7" s="99" t="s">
        <v>433</v>
      </c>
      <c r="F7" s="100" t="n">
        <f aca="false">IF(E7="CONTADO", 4%, IF(E7="TARJETA / CHEQUE", 3%, IF(OR(E7="FINANCIADO", E7="MCP"), 2.5%, "")))</f>
        <v>0.025</v>
      </c>
      <c r="G7" s="148" t="n">
        <f aca="false">IF(F7="", "", F7*D7)</f>
        <v>12937.3</v>
      </c>
      <c r="H7" s="101" t="b">
        <f aca="false">TRUE()</f>
        <v>1</v>
      </c>
      <c r="I7" s="101" t="b">
        <f aca="false">TRUE()</f>
        <v>1</v>
      </c>
      <c r="J7" s="102" t="n">
        <v>46160</v>
      </c>
      <c r="K7" s="96" t="s">
        <v>465</v>
      </c>
      <c r="L7" s="83"/>
      <c r="M7" s="118" t="s">
        <v>292</v>
      </c>
      <c r="N7" s="119"/>
      <c r="O7" s="119"/>
      <c r="P7" s="119"/>
      <c r="Q7" s="119"/>
      <c r="R7" s="120" t="str">
        <f aca="false">IFERROR(VLOOKUP(M7,BD!H:J,2,FALSE()),"")</f>
        <v>Hernán González - ZONA 2</v>
      </c>
      <c r="S7" s="120"/>
      <c r="T7" s="120" t="str">
        <f aca="false">IFERROR(VLOOKUP(M7,BD!H:J,3,FALSE()),"")</f>
        <v>1ER CUOTA</v>
      </c>
      <c r="U7" s="120"/>
    </row>
    <row r="8" customFormat="false" ht="22.5" hidden="false" customHeight="true" outlineLevel="0" collapsed="false">
      <c r="A8" s="151"/>
      <c r="B8" s="152" t="n">
        <v>46149</v>
      </c>
      <c r="C8" s="107" t="s">
        <v>514</v>
      </c>
      <c r="D8" s="109" t="n">
        <v>430792</v>
      </c>
      <c r="E8" s="110" t="s">
        <v>433</v>
      </c>
      <c r="F8" s="111" t="n">
        <f aca="false">IF(E8="CONTADO", 4%, IF(E8="TARJETA / CHEQUE", 3%, IF(OR(E8="FINANCIADO", E8="MCP"), 2.5%, "")))</f>
        <v>0.025</v>
      </c>
      <c r="G8" s="155" t="n">
        <f aca="false">IF(F8="", "", F8*D8)</f>
        <v>10769.8</v>
      </c>
      <c r="H8" s="112" t="b">
        <f aca="false">TRUE()</f>
        <v>1</v>
      </c>
      <c r="I8" s="112" t="b">
        <f aca="false">TRUE()</f>
        <v>1</v>
      </c>
      <c r="J8" s="113" t="n">
        <v>46160</v>
      </c>
      <c r="K8" s="107" t="s">
        <v>465</v>
      </c>
      <c r="L8" s="83"/>
      <c r="M8" s="103"/>
      <c r="N8" s="103"/>
      <c r="O8" s="103"/>
      <c r="P8" s="103"/>
      <c r="Q8" s="103"/>
      <c r="R8" s="83"/>
      <c r="S8" s="103"/>
      <c r="T8" s="103"/>
      <c r="U8" s="103"/>
    </row>
    <row r="9" customFormat="false" ht="22.5" hidden="false" customHeight="true" outlineLevel="0" collapsed="false">
      <c r="A9" s="153" t="n">
        <v>5</v>
      </c>
      <c r="B9" s="154" t="n">
        <v>46150</v>
      </c>
      <c r="C9" s="96"/>
      <c r="D9" s="98"/>
      <c r="E9" s="99"/>
      <c r="F9" s="100" t="str">
        <f aca="false">IF(E9="CONTADO", 4%, IF(E9="TARJETA / CHEQUE", 3%, IF(OR(E9="FINANCIADO", E9="MCP"), 2.5%, "")))</f>
        <v/>
      </c>
      <c r="G9" s="98" t="str">
        <f aca="false">IF(F9="", "", F9*D9)</f>
        <v/>
      </c>
      <c r="H9" s="101" t="b">
        <f aca="false">FALSE()</f>
        <v>0</v>
      </c>
      <c r="I9" s="101" t="b">
        <f aca="false">FALSE()</f>
        <v>0</v>
      </c>
      <c r="J9" s="102"/>
      <c r="K9" s="96"/>
      <c r="L9" s="83"/>
      <c r="M9" s="103"/>
      <c r="N9" s="103"/>
      <c r="O9" s="103"/>
      <c r="P9" s="103"/>
      <c r="Q9" s="103"/>
      <c r="R9" s="83"/>
      <c r="S9" s="103"/>
      <c r="T9" s="103"/>
      <c r="U9" s="103"/>
    </row>
    <row r="10" customFormat="false" ht="22.5" hidden="false" customHeight="true" outlineLevel="0" collapsed="false">
      <c r="A10" s="151" t="s">
        <v>515</v>
      </c>
      <c r="B10" s="152" t="n">
        <v>46151</v>
      </c>
      <c r="C10" s="107"/>
      <c r="D10" s="109"/>
      <c r="E10" s="110"/>
      <c r="F10" s="111" t="str">
        <f aca="false">IF(E10="CONTADO", 4%, IF(E10="TARJETA / CHEQUE", 3%, IF(OR(E10="FINANCIADO", E10="MCP"), 2.5%, "")))</f>
        <v/>
      </c>
      <c r="G10" s="109" t="str">
        <f aca="false">IF(F10="", "", F10*D10)</f>
        <v/>
      </c>
      <c r="H10" s="112" t="b">
        <f aca="false">FALSE()</f>
        <v>0</v>
      </c>
      <c r="I10" s="112" t="b">
        <f aca="false">FALSE()</f>
        <v>0</v>
      </c>
      <c r="J10" s="113"/>
      <c r="K10" s="107"/>
      <c r="L10" s="83"/>
      <c r="M10" s="103"/>
      <c r="N10" s="103"/>
      <c r="O10" s="103"/>
      <c r="P10" s="103"/>
      <c r="Q10" s="103"/>
      <c r="R10" s="83"/>
      <c r="S10" s="103"/>
      <c r="T10" s="103"/>
      <c r="U10" s="103"/>
    </row>
    <row r="11" customFormat="false" ht="22.5" hidden="false" customHeight="true" outlineLevel="0" collapsed="false">
      <c r="A11" s="153" t="n">
        <v>6</v>
      </c>
      <c r="B11" s="154" t="n">
        <v>46153</v>
      </c>
      <c r="C11" s="96"/>
      <c r="D11" s="98"/>
      <c r="E11" s="99"/>
      <c r="F11" s="100" t="str">
        <f aca="false">IF(E11="CONTADO", 4%, IF(E11="TARJETA / CHEQUE", 3%, IF(OR(E11="FINANCIADO", E11="MCP"), 2.5%, "")))</f>
        <v/>
      </c>
      <c r="G11" s="98" t="str">
        <f aca="false">IF(F11="", "", F11*D11)</f>
        <v/>
      </c>
      <c r="H11" s="101" t="b">
        <f aca="false">FALSE()</f>
        <v>0</v>
      </c>
      <c r="I11" s="101" t="b">
        <f aca="false">FALSE()</f>
        <v>0</v>
      </c>
      <c r="J11" s="102"/>
      <c r="K11" s="96"/>
      <c r="L11" s="83"/>
      <c r="M11" s="103"/>
      <c r="N11" s="103"/>
      <c r="O11" s="103"/>
      <c r="P11" s="103"/>
      <c r="Q11" s="103"/>
      <c r="R11" s="83"/>
      <c r="S11" s="103"/>
      <c r="T11" s="103"/>
      <c r="U11" s="103"/>
    </row>
    <row r="12" customFormat="false" ht="22.5" hidden="false" customHeight="true" outlineLevel="0" collapsed="false">
      <c r="A12" s="151" t="n">
        <v>7</v>
      </c>
      <c r="B12" s="152" t="n">
        <v>46154</v>
      </c>
      <c r="C12" s="110" t="s">
        <v>516</v>
      </c>
      <c r="D12" s="122" t="n">
        <v>663481</v>
      </c>
      <c r="E12" s="110" t="s">
        <v>431</v>
      </c>
      <c r="F12" s="111" t="n">
        <f aca="false">IF(E12="CONTADO", 4%, IF(E12="TARJETA / CHEQUE", 3%, IF(OR(E12="FINANCIADO", E12="MCP"), 2.5%, "")))</f>
        <v>0.04</v>
      </c>
      <c r="G12" s="155" t="n">
        <f aca="false">IF(F12="", "", F12*D12)</f>
        <v>26539.24</v>
      </c>
      <c r="H12" s="112" t="b">
        <f aca="false">TRUE()</f>
        <v>1</v>
      </c>
      <c r="I12" s="112" t="b">
        <f aca="false">TRUE()</f>
        <v>1</v>
      </c>
      <c r="J12" s="113" t="n">
        <v>46160</v>
      </c>
      <c r="K12" s="107" t="s">
        <v>461</v>
      </c>
      <c r="L12" s="83"/>
    </row>
    <row r="13" customFormat="false" ht="22.5" hidden="false" customHeight="true" outlineLevel="0" collapsed="false">
      <c r="A13" s="153"/>
      <c r="B13" s="154" t="n">
        <v>46154</v>
      </c>
      <c r="C13" s="99" t="s">
        <v>517</v>
      </c>
      <c r="D13" s="121" t="n">
        <v>847240</v>
      </c>
      <c r="E13" s="99" t="s">
        <v>433</v>
      </c>
      <c r="F13" s="100" t="n">
        <f aca="false">IF(E13="CONTADO", 4%, IF(E13="TARJETA / CHEQUE", 3%, IF(OR(E13="FINANCIADO", E13="MCP"), 2.5%, "")))</f>
        <v>0.025</v>
      </c>
      <c r="G13" s="148" t="n">
        <f aca="false">IF(F13="", "", F13*D13)</f>
        <v>21181</v>
      </c>
      <c r="H13" s="101" t="b">
        <f aca="false">TRUE()</f>
        <v>1</v>
      </c>
      <c r="I13" s="101" t="b">
        <f aca="false">TRUE()</f>
        <v>1</v>
      </c>
      <c r="J13" s="102" t="n">
        <v>46157</v>
      </c>
      <c r="K13" s="96" t="s">
        <v>461</v>
      </c>
      <c r="L13" s="83"/>
    </row>
    <row r="14" customFormat="false" ht="22.5" hidden="false" customHeight="true" outlineLevel="0" collapsed="false">
      <c r="A14" s="151" t="n">
        <v>8</v>
      </c>
      <c r="B14" s="152" t="n">
        <v>46155</v>
      </c>
      <c r="C14" s="110"/>
      <c r="D14" s="122"/>
      <c r="E14" s="110"/>
      <c r="F14" s="111"/>
      <c r="G14" s="109"/>
      <c r="H14" s="112" t="b">
        <f aca="false">FALSE()</f>
        <v>0</v>
      </c>
      <c r="I14" s="112" t="b">
        <f aca="false">FALSE()</f>
        <v>0</v>
      </c>
      <c r="J14" s="113"/>
      <c r="K14" s="107"/>
      <c r="L14" s="83"/>
    </row>
    <row r="15" customFormat="false" ht="22.5" hidden="false" customHeight="true" outlineLevel="0" collapsed="false">
      <c r="A15" s="153" t="n">
        <v>9</v>
      </c>
      <c r="B15" s="154" t="n">
        <v>46156</v>
      </c>
      <c r="C15" s="99"/>
      <c r="D15" s="121"/>
      <c r="E15" s="99"/>
      <c r="F15" s="100" t="str">
        <f aca="false">IF(E15="CONTADO", 4%, IF(E15="TARJETA / CHEQUE", 3%, IF(OR(E15="FINANCIADO", E15="MCP"), 2.5%, "")))</f>
        <v/>
      </c>
      <c r="G15" s="98" t="str">
        <f aca="false">IF(F15="", "", F15*D15)</f>
        <v/>
      </c>
      <c r="H15" s="101" t="b">
        <f aca="false">FALSE()</f>
        <v>0</v>
      </c>
      <c r="I15" s="101" t="b">
        <f aca="false">FALSE()</f>
        <v>0</v>
      </c>
      <c r="J15" s="102"/>
      <c r="K15" s="96"/>
      <c r="L15" s="83"/>
      <c r="M15" s="103"/>
      <c r="N15" s="103"/>
      <c r="O15" s="103"/>
      <c r="P15" s="103"/>
      <c r="Q15" s="103"/>
      <c r="R15" s="83"/>
      <c r="S15" s="103"/>
      <c r="T15" s="103"/>
      <c r="U15" s="103"/>
    </row>
    <row r="16" customFormat="false" ht="22.5" hidden="false" customHeight="true" outlineLevel="0" collapsed="false">
      <c r="A16" s="151" t="n">
        <v>10</v>
      </c>
      <c r="B16" s="152" t="n">
        <v>46157</v>
      </c>
      <c r="C16" s="110"/>
      <c r="D16" s="122"/>
      <c r="E16" s="110"/>
      <c r="F16" s="111" t="str">
        <f aca="false">IF(E16="CONTADO", 4%, IF(E16="TARJETA / CHEQUE", 3%, IF(OR(E16="FINANCIADO", E16="MCP"), 2.5%, "")))</f>
        <v/>
      </c>
      <c r="G16" s="109" t="str">
        <f aca="false">IF(F16="", "", F16*D16)</f>
        <v/>
      </c>
      <c r="H16" s="112" t="b">
        <f aca="false">FALSE()</f>
        <v>0</v>
      </c>
      <c r="I16" s="112" t="b">
        <f aca="false">FALSE()</f>
        <v>0</v>
      </c>
      <c r="J16" s="113"/>
      <c r="K16" s="107"/>
      <c r="L16" s="83"/>
      <c r="M16" s="103"/>
      <c r="N16" s="103"/>
      <c r="O16" s="103"/>
      <c r="P16" s="103"/>
      <c r="Q16" s="103"/>
      <c r="R16" s="83"/>
      <c r="S16" s="103"/>
      <c r="T16" s="103"/>
      <c r="U16" s="103"/>
    </row>
    <row r="17" customFormat="false" ht="22.5" hidden="false" customHeight="true" outlineLevel="0" collapsed="false">
      <c r="A17" s="153" t="s">
        <v>512</v>
      </c>
      <c r="B17" s="154" t="n">
        <v>46158</v>
      </c>
      <c r="C17" s="99"/>
      <c r="D17" s="121"/>
      <c r="E17" s="99"/>
      <c r="F17" s="100" t="str">
        <f aca="false">IF(E17="CONTADO", 4%, IF(E17="TARJETA / CHEQUE", 3%, IF(OR(E17="FINANCIADO", E17="MCP"), 2.5%, "")))</f>
        <v/>
      </c>
      <c r="G17" s="98" t="str">
        <f aca="false">IF(F17="", "", F17*D17)</f>
        <v/>
      </c>
      <c r="H17" s="156" t="b">
        <f aca="false">FALSE()</f>
        <v>0</v>
      </c>
      <c r="I17" s="156" t="b">
        <f aca="false">FALSE()</f>
        <v>0</v>
      </c>
      <c r="J17" s="102"/>
      <c r="K17" s="96"/>
      <c r="L17" s="83"/>
      <c r="M17" s="103"/>
      <c r="N17" s="103"/>
      <c r="O17" s="103"/>
      <c r="P17" s="103"/>
      <c r="Q17" s="103"/>
      <c r="R17" s="83"/>
      <c r="S17" s="103"/>
      <c r="T17" s="103"/>
      <c r="U17" s="103"/>
    </row>
    <row r="18" customFormat="false" ht="22.5" hidden="false" customHeight="true" outlineLevel="0" collapsed="false">
      <c r="A18" s="151" t="n">
        <v>11</v>
      </c>
      <c r="B18" s="152" t="n">
        <v>46160</v>
      </c>
      <c r="C18" s="110" t="s">
        <v>518</v>
      </c>
      <c r="D18" s="122" t="n">
        <v>1935532.13</v>
      </c>
      <c r="E18" s="110" t="s">
        <v>447</v>
      </c>
      <c r="F18" s="111" t="n">
        <f aca="false">IF(E18="CONTADO", 4%, IF(E18="TARJETA / CHEQUE", 3%, IF(OR(E18="FINANCIADO", E18="MCP"), 2.5%, "")))</f>
        <v>0.03</v>
      </c>
      <c r="G18" s="109" t="n">
        <f aca="false">IF(F18="", "", F18*D18)</f>
        <v>58065.9639</v>
      </c>
      <c r="H18" s="157" t="b">
        <f aca="false">FALSE()</f>
        <v>0</v>
      </c>
      <c r="I18" s="157" t="b">
        <f aca="false">TRUE()</f>
        <v>1</v>
      </c>
      <c r="J18" s="113" t="n">
        <v>46170</v>
      </c>
      <c r="K18" s="107"/>
      <c r="L18" s="83"/>
      <c r="M18" s="103"/>
      <c r="N18" s="103"/>
      <c r="O18" s="103"/>
      <c r="P18" s="103"/>
      <c r="Q18" s="103"/>
      <c r="R18" s="83"/>
      <c r="S18" s="103"/>
      <c r="T18" s="103"/>
      <c r="U18" s="103"/>
    </row>
    <row r="19" customFormat="false" ht="22.5" hidden="false" customHeight="true" outlineLevel="0" collapsed="false">
      <c r="A19" s="153"/>
      <c r="B19" s="154" t="n">
        <v>46160</v>
      </c>
      <c r="C19" s="99" t="s">
        <v>519</v>
      </c>
      <c r="D19" s="121" t="n">
        <v>22080</v>
      </c>
      <c r="E19" s="99" t="s">
        <v>431</v>
      </c>
      <c r="F19" s="100" t="n">
        <f aca="false">IF(E19="CONTADO", 4%, IF(E19="TARJETA / CHEQUE", 3%, IF(OR(E19="FINANCIADO", E19="MCP"), 2.5%, "")))</f>
        <v>0.04</v>
      </c>
      <c r="G19" s="148" t="n">
        <f aca="false">IF(F19="", "", F19*D19)</f>
        <v>883.2</v>
      </c>
      <c r="H19" s="156" t="b">
        <f aca="false">TRUE()</f>
        <v>1</v>
      </c>
      <c r="I19" s="156" t="b">
        <f aca="false">TRUE()</f>
        <v>1</v>
      </c>
      <c r="J19" s="102" t="n">
        <v>46160</v>
      </c>
      <c r="K19" s="96"/>
      <c r="L19" s="83"/>
      <c r="M19" s="103"/>
      <c r="N19" s="103"/>
      <c r="O19" s="103"/>
      <c r="P19" s="103"/>
      <c r="Q19" s="103"/>
      <c r="R19" s="83"/>
      <c r="S19" s="103"/>
      <c r="T19" s="103"/>
      <c r="U19" s="103"/>
    </row>
    <row r="20" customFormat="false" ht="22.5" hidden="false" customHeight="true" outlineLevel="0" collapsed="false">
      <c r="A20" s="151"/>
      <c r="B20" s="152" t="n">
        <v>46160</v>
      </c>
      <c r="C20" s="110" t="s">
        <v>520</v>
      </c>
      <c r="D20" s="122" t="n">
        <v>657470</v>
      </c>
      <c r="E20" s="110" t="s">
        <v>433</v>
      </c>
      <c r="F20" s="111" t="n">
        <f aca="false">IF(E20="CONTADO", 4%, IF(E20="TARJETA / CHEQUE", 3%, IF(OR(E20="FINANCIADO", E20="MCP"), 2.5%, "")))</f>
        <v>0.025</v>
      </c>
      <c r="G20" s="155" t="n">
        <f aca="false">IF(F20="", "", F20*D20)</f>
        <v>16436.75</v>
      </c>
      <c r="H20" s="157" t="b">
        <f aca="false">TRUE()</f>
        <v>1</v>
      </c>
      <c r="I20" s="157" t="b">
        <f aca="false">TRUE()</f>
        <v>1</v>
      </c>
      <c r="J20" s="113" t="n">
        <v>46164</v>
      </c>
      <c r="K20" s="107"/>
      <c r="L20" s="83"/>
      <c r="M20" s="103"/>
      <c r="N20" s="103"/>
      <c r="O20" s="103"/>
      <c r="P20" s="103"/>
      <c r="Q20" s="103"/>
      <c r="R20" s="83"/>
      <c r="S20" s="103"/>
      <c r="T20" s="103"/>
      <c r="U20" s="103"/>
    </row>
    <row r="21" customFormat="false" ht="22.5" hidden="false" customHeight="true" outlineLevel="0" collapsed="false">
      <c r="A21" s="153" t="n">
        <v>12</v>
      </c>
      <c r="B21" s="154" t="n">
        <v>46161</v>
      </c>
      <c r="C21" s="99" t="s">
        <v>521</v>
      </c>
      <c r="D21" s="121" t="n">
        <v>763134.87</v>
      </c>
      <c r="E21" s="99" t="s">
        <v>447</v>
      </c>
      <c r="F21" s="100" t="n">
        <f aca="false">IF(E21="CONTADO", 4%, IF(E21="TARJETA / CHEQUE", 3%, IF(OR(E21="FINANCIADO", E21="MCP"), 2.5%, "")))</f>
        <v>0.03</v>
      </c>
      <c r="G21" s="148" t="n">
        <f aca="false">IF(F21="", "", F21*D21)</f>
        <v>22894.0461</v>
      </c>
      <c r="H21" s="156" t="b">
        <f aca="false">TRUE()</f>
        <v>1</v>
      </c>
      <c r="I21" s="156" t="b">
        <f aca="false">TRUE()</f>
        <v>1</v>
      </c>
      <c r="J21" s="102" t="n">
        <v>46161</v>
      </c>
      <c r="K21" s="96"/>
      <c r="L21" s="83"/>
      <c r="M21" s="103"/>
      <c r="N21" s="103"/>
      <c r="O21" s="103"/>
      <c r="P21" s="103"/>
      <c r="Q21" s="103"/>
      <c r="R21" s="83"/>
      <c r="S21" s="103"/>
      <c r="T21" s="103"/>
      <c r="U21" s="103"/>
    </row>
    <row r="22" customFormat="false" ht="22.5" hidden="false" customHeight="true" outlineLevel="0" collapsed="false">
      <c r="A22" s="151"/>
      <c r="B22" s="152" t="n">
        <v>46161</v>
      </c>
      <c r="C22" s="110" t="s">
        <v>522</v>
      </c>
      <c r="D22" s="122" t="n">
        <v>27050</v>
      </c>
      <c r="E22" s="110" t="s">
        <v>431</v>
      </c>
      <c r="F22" s="111" t="n">
        <f aca="false">IF(E22="CONTADO", 4%, IF(E22="TARJETA / CHEQUE", 3%, IF(OR(E22="FINANCIADO", E22="MCP"), 2.5%, "")))</f>
        <v>0.04</v>
      </c>
      <c r="G22" s="155" t="n">
        <f aca="false">IF(F22="", "", F22*D22)</f>
        <v>1082</v>
      </c>
      <c r="H22" s="157" t="b">
        <f aca="false">TRUE()</f>
        <v>1</v>
      </c>
      <c r="I22" s="157" t="b">
        <f aca="false">TRUE()</f>
        <v>1</v>
      </c>
      <c r="J22" s="113" t="n">
        <v>46162</v>
      </c>
      <c r="K22" s="107"/>
      <c r="L22" s="83"/>
      <c r="M22" s="103"/>
      <c r="N22" s="103"/>
      <c r="O22" s="103"/>
      <c r="P22" s="103"/>
      <c r="Q22" s="103"/>
      <c r="R22" s="83"/>
      <c r="S22" s="103"/>
      <c r="T22" s="103"/>
      <c r="U22" s="103"/>
    </row>
    <row r="23" customFormat="false" ht="22.5" hidden="false" customHeight="true" outlineLevel="0" collapsed="false">
      <c r="A23" s="153"/>
      <c r="B23" s="154" t="n">
        <v>46161</v>
      </c>
      <c r="C23" s="99" t="s">
        <v>523</v>
      </c>
      <c r="D23" s="121" t="n">
        <v>554000</v>
      </c>
      <c r="E23" s="99" t="s">
        <v>431</v>
      </c>
      <c r="F23" s="100" t="n">
        <f aca="false">IF(E23="CONTADO", 4%, IF(E23="TARJETA / CHEQUE", 3%, IF(OR(E23="FINANCIADO", E23="MCP"), 2.5%, "")))</f>
        <v>0.04</v>
      </c>
      <c r="G23" s="148" t="n">
        <f aca="false">IF(F23="", "", F23*D23)</f>
        <v>22160</v>
      </c>
      <c r="H23" s="156" t="b">
        <f aca="false">TRUE()</f>
        <v>1</v>
      </c>
      <c r="I23" s="156" t="b">
        <f aca="false">TRUE()</f>
        <v>1</v>
      </c>
      <c r="J23" s="102" t="n">
        <v>46162</v>
      </c>
      <c r="K23" s="96"/>
      <c r="L23" s="83"/>
      <c r="M23" s="103"/>
      <c r="N23" s="103"/>
      <c r="O23" s="103"/>
      <c r="P23" s="103"/>
      <c r="Q23" s="103"/>
      <c r="R23" s="83"/>
      <c r="S23" s="103"/>
      <c r="T23" s="103"/>
      <c r="U23" s="103"/>
    </row>
    <row r="24" customFormat="false" ht="22.5" hidden="false" customHeight="true" outlineLevel="0" collapsed="false">
      <c r="A24" s="151" t="n">
        <v>13</v>
      </c>
      <c r="B24" s="152" t="n">
        <v>46162</v>
      </c>
      <c r="C24" s="110" t="s">
        <v>524</v>
      </c>
      <c r="D24" s="122" t="n">
        <v>194400</v>
      </c>
      <c r="E24" s="110" t="s">
        <v>431</v>
      </c>
      <c r="F24" s="111" t="n">
        <f aca="false">IF(E24="CONTADO", 4%, IF(E24="TARJETA / CHEQUE", 3%, IF(OR(E24="FINANCIADO", E24="MCP"), 2.5%, "")))</f>
        <v>0.04</v>
      </c>
      <c r="G24" s="155" t="n">
        <f aca="false">IF(F24="", "", F24*D24)</f>
        <v>7776</v>
      </c>
      <c r="H24" s="157" t="b">
        <f aca="false">TRUE()</f>
        <v>1</v>
      </c>
      <c r="I24" s="157" t="b">
        <f aca="false">TRUE()</f>
        <v>1</v>
      </c>
      <c r="J24" s="113" t="n">
        <v>46162</v>
      </c>
      <c r="K24" s="107"/>
      <c r="L24" s="83"/>
      <c r="M24" s="103"/>
      <c r="N24" s="103"/>
      <c r="O24" s="103"/>
      <c r="P24" s="103"/>
      <c r="Q24" s="103"/>
      <c r="R24" s="83"/>
      <c r="S24" s="103"/>
      <c r="T24" s="103"/>
      <c r="U24" s="103"/>
    </row>
    <row r="25" customFormat="false" ht="22.5" hidden="false" customHeight="true" outlineLevel="0" collapsed="false">
      <c r="A25" s="153" t="n">
        <v>14</v>
      </c>
      <c r="B25" s="154" t="n">
        <v>46163</v>
      </c>
      <c r="C25" s="99" t="s">
        <v>525</v>
      </c>
      <c r="D25" s="121" t="n">
        <v>494098.43</v>
      </c>
      <c r="E25" s="99" t="s">
        <v>447</v>
      </c>
      <c r="F25" s="100" t="n">
        <f aca="false">IF(E25="CONTADO", 4%, IF(E25="TARJETA / CHEQUE", 3%, IF(OR(E25="FINANCIADO", E25="MCP"), 2.5%, "")))</f>
        <v>0.03</v>
      </c>
      <c r="G25" s="148" t="n">
        <f aca="false">IF(F25="", "", F25*D25)</f>
        <v>14822.9529</v>
      </c>
      <c r="H25" s="156" t="b">
        <f aca="false">TRUE()</f>
        <v>1</v>
      </c>
      <c r="I25" s="156" t="b">
        <f aca="false">TRUE()</f>
        <v>1</v>
      </c>
      <c r="J25" s="102" t="n">
        <v>46163</v>
      </c>
      <c r="K25" s="96"/>
      <c r="L25" s="83"/>
      <c r="M25" s="103"/>
      <c r="N25" s="103"/>
      <c r="O25" s="103"/>
      <c r="P25" s="103"/>
      <c r="Q25" s="103"/>
      <c r="R25" s="83"/>
      <c r="S25" s="103"/>
      <c r="T25" s="103"/>
      <c r="U25" s="103"/>
    </row>
    <row r="26" customFormat="false" ht="22.5" hidden="false" customHeight="true" outlineLevel="0" collapsed="false">
      <c r="A26" s="151"/>
      <c r="B26" s="152" t="n">
        <v>46163</v>
      </c>
      <c r="C26" s="110" t="s">
        <v>526</v>
      </c>
      <c r="D26" s="122" t="n">
        <v>1848580</v>
      </c>
      <c r="E26" s="110" t="s">
        <v>433</v>
      </c>
      <c r="F26" s="111" t="n">
        <f aca="false">IF(E26="CONTADO", 4%, IF(E26="TARJETA / CHEQUE", 3%, IF(OR(E26="FINANCIADO", E26="MCP"), 2.5%, "")))</f>
        <v>0.025</v>
      </c>
      <c r="G26" s="109" t="n">
        <f aca="false">IF(F26="", "", F26*D26)</f>
        <v>46214.5</v>
      </c>
      <c r="H26" s="157" t="b">
        <f aca="false">TRUE()</f>
        <v>1</v>
      </c>
      <c r="I26" s="157" t="b">
        <f aca="false">TRUE()</f>
        <v>1</v>
      </c>
      <c r="J26" s="113" t="n">
        <v>46170</v>
      </c>
      <c r="K26" s="107"/>
      <c r="L26" s="83"/>
      <c r="M26" s="103"/>
      <c r="N26" s="103"/>
      <c r="O26" s="103"/>
      <c r="P26" s="103"/>
      <c r="Q26" s="103"/>
      <c r="R26" s="83"/>
      <c r="S26" s="103"/>
      <c r="T26" s="103"/>
      <c r="U26" s="103"/>
    </row>
    <row r="27" customFormat="false" ht="22.5" hidden="false" customHeight="true" outlineLevel="0" collapsed="false">
      <c r="A27" s="153"/>
      <c r="B27" s="154" t="n">
        <v>46163</v>
      </c>
      <c r="C27" s="99" t="s">
        <v>527</v>
      </c>
      <c r="D27" s="121" t="n">
        <v>368360</v>
      </c>
      <c r="E27" s="99" t="s">
        <v>433</v>
      </c>
      <c r="F27" s="100" t="n">
        <f aca="false">IF(E27="CONTADO", 4%, IF(E27="TARJETA / CHEQUE", 3%, IF(OR(E27="FINANCIADO", E27="MCP"), 2.5%, "")))</f>
        <v>0.025</v>
      </c>
      <c r="G27" s="98" t="n">
        <f aca="false">IF(F27="", "", F27*D27)</f>
        <v>9209</v>
      </c>
      <c r="H27" s="156" t="b">
        <f aca="false">TRUE()</f>
        <v>1</v>
      </c>
      <c r="I27" s="156" t="b">
        <f aca="false">TRUE()</f>
        <v>1</v>
      </c>
      <c r="J27" s="102" t="n">
        <v>46170</v>
      </c>
      <c r="K27" s="96"/>
      <c r="L27" s="83"/>
      <c r="M27" s="103"/>
      <c r="N27" s="103"/>
      <c r="O27" s="103"/>
      <c r="P27" s="103"/>
      <c r="Q27" s="103"/>
      <c r="R27" s="83"/>
      <c r="S27" s="103"/>
      <c r="T27" s="103"/>
      <c r="U27" s="103"/>
    </row>
    <row r="28" customFormat="false" ht="22.5" hidden="false" customHeight="true" outlineLevel="0" collapsed="false">
      <c r="A28" s="151" t="n">
        <v>15</v>
      </c>
      <c r="B28" s="152" t="n">
        <v>46164</v>
      </c>
      <c r="C28" s="110" t="s">
        <v>528</v>
      </c>
      <c r="D28" s="122" t="n">
        <v>11372</v>
      </c>
      <c r="E28" s="110" t="s">
        <v>431</v>
      </c>
      <c r="F28" s="111" t="n">
        <f aca="false">IF(E28="CONTADO", 4%, IF(E28="TARJETA / CHEQUE", 3%, IF(OR(E28="FINANCIADO", E28="MCP"), 2.5%, "")))</f>
        <v>0.04</v>
      </c>
      <c r="G28" s="155" t="n">
        <f aca="false">IF(F28="", "", F28*D28)</f>
        <v>454.88</v>
      </c>
      <c r="H28" s="157" t="b">
        <f aca="false">TRUE()</f>
        <v>1</v>
      </c>
      <c r="I28" s="157" t="b">
        <f aca="false">TRUE()</f>
        <v>1</v>
      </c>
      <c r="J28" s="113" t="n">
        <v>46164</v>
      </c>
      <c r="K28" s="107"/>
      <c r="L28" s="83"/>
      <c r="M28" s="103"/>
      <c r="N28" s="103"/>
      <c r="O28" s="103"/>
      <c r="P28" s="103"/>
      <c r="Q28" s="103"/>
      <c r="R28" s="83"/>
      <c r="S28" s="103"/>
      <c r="T28" s="103"/>
      <c r="U28" s="103"/>
    </row>
    <row r="29" customFormat="false" ht="22.5" hidden="false" customHeight="true" outlineLevel="0" collapsed="false">
      <c r="A29" s="153"/>
      <c r="B29" s="154" t="n">
        <v>46164</v>
      </c>
      <c r="C29" s="99" t="s">
        <v>529</v>
      </c>
      <c r="D29" s="121" t="n">
        <v>368790</v>
      </c>
      <c r="E29" s="99" t="s">
        <v>431</v>
      </c>
      <c r="F29" s="100" t="n">
        <f aca="false">IF(E29="CONTADO", 4%, IF(E29="TARJETA / CHEQUE", 3%, IF(OR(E29="FINANCIADO", E29="MCP"), 2.5%, "")))</f>
        <v>0.04</v>
      </c>
      <c r="G29" s="98" t="n">
        <f aca="false">IF(F29="", "", F29*D29)</f>
        <v>14751.6</v>
      </c>
      <c r="H29" s="156" t="b">
        <f aca="false">TRUE()</f>
        <v>1</v>
      </c>
      <c r="I29" s="156" t="b">
        <f aca="false">TRUE()</f>
        <v>1</v>
      </c>
      <c r="J29" s="102" t="n">
        <v>46170</v>
      </c>
      <c r="K29" s="96"/>
      <c r="L29" s="83"/>
      <c r="M29" s="103"/>
      <c r="N29" s="103"/>
      <c r="O29" s="103"/>
      <c r="P29" s="103"/>
      <c r="Q29" s="103"/>
      <c r="R29" s="83"/>
      <c r="S29" s="103"/>
      <c r="T29" s="103"/>
      <c r="U29" s="103"/>
    </row>
    <row r="30" customFormat="false" ht="22.5" hidden="false" customHeight="true" outlineLevel="0" collapsed="false">
      <c r="A30" s="151" t="s">
        <v>512</v>
      </c>
      <c r="B30" s="152" t="n">
        <v>46165</v>
      </c>
      <c r="C30" s="110"/>
      <c r="D30" s="122"/>
      <c r="E30" s="110"/>
      <c r="F30" s="111" t="str">
        <f aca="false">IF(E30="CONTADO", 4%, IF(E30="TARJETA / CHEQUE", 3%, IF(OR(E30="FINANCIADO", E30="MCP"), 2.5%, "")))</f>
        <v/>
      </c>
      <c r="G30" s="109" t="str">
        <f aca="false">IF(F30="", "", F30*D30)</f>
        <v/>
      </c>
      <c r="H30" s="157" t="b">
        <f aca="false">FALSE()</f>
        <v>0</v>
      </c>
      <c r="I30" s="157" t="b">
        <f aca="false">FALSE()</f>
        <v>0</v>
      </c>
      <c r="J30" s="113"/>
      <c r="K30" s="107"/>
      <c r="L30" s="83"/>
      <c r="M30" s="103"/>
      <c r="N30" s="103"/>
      <c r="O30" s="103"/>
      <c r="P30" s="103"/>
      <c r="Q30" s="103"/>
      <c r="R30" s="83"/>
      <c r="S30" s="103"/>
      <c r="T30" s="103"/>
      <c r="U30" s="103"/>
    </row>
    <row r="31" customFormat="false" ht="22.5" hidden="false" customHeight="true" outlineLevel="0" collapsed="false">
      <c r="A31" s="153" t="s">
        <v>530</v>
      </c>
      <c r="B31" s="154" t="n">
        <v>46167</v>
      </c>
      <c r="C31" s="99"/>
      <c r="D31" s="121"/>
      <c r="E31" s="99"/>
      <c r="F31" s="100" t="str">
        <f aca="false">IF(E31="CONTADO", 4%, IF(E31="TARJETA / CHEQUE", 3%, IF(OR(E31="FINANCIADO", E31="MCP"), 2.5%, "")))</f>
        <v/>
      </c>
      <c r="G31" s="98" t="str">
        <f aca="false">IF(F31="", "", F31*D31)</f>
        <v/>
      </c>
      <c r="H31" s="156" t="b">
        <f aca="false">FALSE()</f>
        <v>0</v>
      </c>
      <c r="I31" s="156" t="b">
        <f aca="false">FALSE()</f>
        <v>0</v>
      </c>
      <c r="J31" s="102"/>
      <c r="K31" s="96"/>
      <c r="L31" s="83"/>
      <c r="M31" s="103"/>
      <c r="N31" s="103"/>
      <c r="O31" s="103"/>
      <c r="P31" s="103"/>
      <c r="Q31" s="103"/>
      <c r="R31" s="83"/>
      <c r="S31" s="103"/>
      <c r="T31" s="103"/>
      <c r="U31" s="103"/>
    </row>
    <row r="32" customFormat="false" ht="22.5" hidden="false" customHeight="true" outlineLevel="0" collapsed="false">
      <c r="A32" s="151" t="n">
        <v>16</v>
      </c>
      <c r="B32" s="152" t="n">
        <v>46168</v>
      </c>
      <c r="C32" s="110" t="s">
        <v>531</v>
      </c>
      <c r="D32" s="122" t="n">
        <v>47450</v>
      </c>
      <c r="E32" s="110" t="s">
        <v>431</v>
      </c>
      <c r="F32" s="111" t="n">
        <f aca="false">IF(E32="CONTADO", 4%, IF(E32="TARJETA / CHEQUE", 3%, IF(OR(E32="FINANCIADO", E32="MCP"), 2.5%, "")))</f>
        <v>0.04</v>
      </c>
      <c r="G32" s="155" t="n">
        <f aca="false">IF(F32="", "", F32*D32)</f>
        <v>1898</v>
      </c>
      <c r="H32" s="157" t="b">
        <f aca="false">TRUE()</f>
        <v>1</v>
      </c>
      <c r="I32" s="157" t="b">
        <f aca="false">TRUE()</f>
        <v>1</v>
      </c>
      <c r="J32" s="113" t="n">
        <v>46169</v>
      </c>
      <c r="K32" s="107"/>
      <c r="L32" s="83"/>
      <c r="M32" s="103"/>
      <c r="N32" s="103"/>
      <c r="O32" s="103"/>
      <c r="P32" s="103"/>
      <c r="Q32" s="103"/>
      <c r="R32" s="83"/>
      <c r="S32" s="103"/>
      <c r="T32" s="103"/>
      <c r="U32" s="103"/>
    </row>
    <row r="33" customFormat="false" ht="22.5" hidden="false" customHeight="true" outlineLevel="0" collapsed="false">
      <c r="A33" s="153"/>
      <c r="B33" s="154" t="n">
        <v>46168</v>
      </c>
      <c r="C33" s="99" t="s">
        <v>532</v>
      </c>
      <c r="D33" s="121" t="n">
        <v>407787.44</v>
      </c>
      <c r="E33" s="99" t="s">
        <v>447</v>
      </c>
      <c r="F33" s="100" t="n">
        <f aca="false">IF(E33="CONTADO", 4%, IF(E33="TARJETA / CHEQUE", 3%, IF(OR(E33="FINANCIADO", E33="MCP"), 2.5%, "")))</f>
        <v>0.03</v>
      </c>
      <c r="G33" s="98" t="n">
        <f aca="false">IF(F33="", "", F33*D33)</f>
        <v>12233.6232</v>
      </c>
      <c r="H33" s="156" t="b">
        <f aca="false">TRUE()</f>
        <v>1</v>
      </c>
      <c r="I33" s="156" t="b">
        <f aca="false">TRUE()</f>
        <v>1</v>
      </c>
      <c r="J33" s="102" t="n">
        <v>46170</v>
      </c>
      <c r="K33" s="96"/>
      <c r="L33" s="83"/>
      <c r="M33" s="103"/>
      <c r="N33" s="103"/>
      <c r="O33" s="103"/>
      <c r="P33" s="103"/>
      <c r="Q33" s="103"/>
      <c r="R33" s="83"/>
      <c r="S33" s="103"/>
      <c r="T33" s="103"/>
      <c r="U33" s="103"/>
    </row>
    <row r="34" customFormat="false" ht="22.5" hidden="false" customHeight="true" outlineLevel="0" collapsed="false">
      <c r="A34" s="151"/>
      <c r="B34" s="152" t="n">
        <v>46168</v>
      </c>
      <c r="C34" s="110" t="s">
        <v>533</v>
      </c>
      <c r="D34" s="122" t="n">
        <v>2803603.13</v>
      </c>
      <c r="E34" s="110" t="s">
        <v>447</v>
      </c>
      <c r="F34" s="111" t="n">
        <f aca="false">IF(E34="CONTADO", 4%, IF(E34="TARJETA / CHEQUE", 3%, IF(OR(E34="FINANCIADO", E34="MCP"), 2.5%, "")))</f>
        <v>0.03</v>
      </c>
      <c r="G34" s="155" t="n">
        <f aca="false">IF(F34="", "", F34*D34)</f>
        <v>84108.0939</v>
      </c>
      <c r="H34" s="157" t="b">
        <f aca="false">TRUE()</f>
        <v>1</v>
      </c>
      <c r="I34" s="157" t="b">
        <f aca="false">TRUE()</f>
        <v>1</v>
      </c>
      <c r="J34" s="113" t="n">
        <v>46168</v>
      </c>
      <c r="K34" s="107"/>
      <c r="L34" s="83"/>
      <c r="M34" s="103"/>
      <c r="N34" s="103"/>
      <c r="O34" s="103"/>
      <c r="P34" s="103"/>
      <c r="Q34" s="103"/>
      <c r="R34" s="83"/>
      <c r="S34" s="103"/>
      <c r="T34" s="103"/>
      <c r="U34" s="103"/>
    </row>
    <row r="35" customFormat="false" ht="22.5" hidden="false" customHeight="true" outlineLevel="0" collapsed="false">
      <c r="A35" s="153" t="n">
        <v>17</v>
      </c>
      <c r="B35" s="154" t="n">
        <v>46169</v>
      </c>
      <c r="C35" s="99"/>
      <c r="D35" s="121"/>
      <c r="E35" s="99"/>
      <c r="F35" s="100" t="str">
        <f aca="false">IF(E35="CONTADO", 4%, IF(E35="TARJETA / CHEQUE", 3%, IF(OR(E35="FINANCIADO", E35="MCP"), 2.5%, "")))</f>
        <v/>
      </c>
      <c r="G35" s="98" t="str">
        <f aca="false">IF(F35="", "", F35*D35)</f>
        <v/>
      </c>
      <c r="H35" s="156" t="b">
        <f aca="false">FALSE()</f>
        <v>0</v>
      </c>
      <c r="I35" s="156" t="b">
        <f aca="false">FALSE()</f>
        <v>0</v>
      </c>
      <c r="J35" s="102"/>
      <c r="K35" s="96"/>
      <c r="L35" s="83"/>
      <c r="M35" s="103"/>
      <c r="N35" s="103"/>
      <c r="O35" s="103"/>
      <c r="P35" s="103"/>
      <c r="Q35" s="103"/>
      <c r="R35" s="83"/>
      <c r="S35" s="103"/>
      <c r="T35" s="103"/>
      <c r="U35" s="103"/>
    </row>
    <row r="36" customFormat="false" ht="22.5" hidden="false" customHeight="true" outlineLevel="0" collapsed="false">
      <c r="A36" s="151" t="n">
        <v>18</v>
      </c>
      <c r="B36" s="152" t="n">
        <v>46170</v>
      </c>
      <c r="C36" s="110" t="s">
        <v>534</v>
      </c>
      <c r="D36" s="122" t="n">
        <v>553888</v>
      </c>
      <c r="E36" s="110" t="s">
        <v>431</v>
      </c>
      <c r="F36" s="111" t="n">
        <f aca="false">IF(E36="CONTADO", 4%, IF(E36="TARJETA / CHEQUE", 3%, IF(OR(E36="FINANCIADO", E36="MCP"), 2.5%, "")))</f>
        <v>0.04</v>
      </c>
      <c r="G36" s="109" t="n">
        <f aca="false">IF(F36="", "", F36*D36)</f>
        <v>22155.52</v>
      </c>
      <c r="H36" s="157" t="b">
        <f aca="false">FALSE()</f>
        <v>0</v>
      </c>
      <c r="I36" s="157" t="b">
        <f aca="false">TRUE()</f>
        <v>1</v>
      </c>
      <c r="J36" s="113" t="n">
        <v>46170</v>
      </c>
      <c r="K36" s="107"/>
      <c r="L36" s="83"/>
      <c r="M36" s="103"/>
      <c r="N36" s="103"/>
      <c r="O36" s="103"/>
      <c r="P36" s="103"/>
      <c r="Q36" s="103"/>
      <c r="R36" s="83"/>
      <c r="S36" s="103"/>
      <c r="T36" s="103"/>
      <c r="U36" s="103"/>
    </row>
    <row r="37" customFormat="false" ht="22.5" hidden="false" customHeight="true" outlineLevel="0" collapsed="false">
      <c r="A37" s="153"/>
      <c r="B37" s="154" t="n">
        <v>46170</v>
      </c>
      <c r="C37" s="99" t="s">
        <v>535</v>
      </c>
      <c r="D37" s="121" t="n">
        <v>1380000</v>
      </c>
      <c r="E37" s="99" t="s">
        <v>431</v>
      </c>
      <c r="F37" s="100" t="n">
        <f aca="false">IF(E37="CONTADO", 4%, IF(E37="TARJETA / CHEQUE", 3%, IF(OR(E37="FINANCIADO", E37="MCP"), 2.5%, "")))</f>
        <v>0.04</v>
      </c>
      <c r="G37" s="98" t="n">
        <f aca="false">IF(F37="", "", F37*D37)</f>
        <v>55200</v>
      </c>
      <c r="H37" s="156" t="b">
        <f aca="false">TRUE()</f>
        <v>1</v>
      </c>
      <c r="I37" s="156" t="b">
        <f aca="false">TRUE()</f>
        <v>1</v>
      </c>
      <c r="J37" s="102" t="n">
        <v>46170</v>
      </c>
      <c r="K37" s="96"/>
      <c r="L37" s="83"/>
      <c r="M37" s="103"/>
      <c r="N37" s="103"/>
      <c r="O37" s="103"/>
      <c r="P37" s="103"/>
      <c r="Q37" s="103"/>
      <c r="R37" s="83"/>
      <c r="S37" s="103"/>
      <c r="T37" s="103"/>
      <c r="U37" s="103"/>
    </row>
    <row r="38" customFormat="false" ht="22.5" hidden="false" customHeight="true" outlineLevel="0" collapsed="false">
      <c r="A38" s="151"/>
      <c r="B38" s="152" t="n">
        <v>46170</v>
      </c>
      <c r="C38" s="110" t="s">
        <v>536</v>
      </c>
      <c r="D38" s="122" t="n">
        <v>1188300</v>
      </c>
      <c r="E38" s="110" t="s">
        <v>433</v>
      </c>
      <c r="F38" s="111" t="n">
        <f aca="false">IF(E38="CONTADO", 4%, IF(E38="TARJETA / CHEQUE", 3%, IF(OR(E38="FINANCIADO", E38="MCP"), 2.5%, "")))</f>
        <v>0.025</v>
      </c>
      <c r="G38" s="109" t="n">
        <f aca="false">IF(F38="", "", F38*D38)</f>
        <v>29707.5</v>
      </c>
      <c r="H38" s="157" t="b">
        <f aca="false">TRUE()</f>
        <v>1</v>
      </c>
      <c r="I38" s="157" t="b">
        <f aca="false">TRUE()</f>
        <v>1</v>
      </c>
      <c r="J38" s="113" t="n">
        <v>46170</v>
      </c>
      <c r="K38" s="107"/>
      <c r="L38" s="83"/>
      <c r="M38" s="103"/>
      <c r="N38" s="103"/>
      <c r="O38" s="103"/>
      <c r="P38" s="103"/>
      <c r="Q38" s="103"/>
      <c r="R38" s="83"/>
      <c r="S38" s="103"/>
      <c r="T38" s="103"/>
      <c r="U38" s="103"/>
    </row>
    <row r="39" customFormat="false" ht="22.5" hidden="false" customHeight="true" outlineLevel="0" collapsed="false">
      <c r="A39" s="153"/>
      <c r="B39" s="154" t="n">
        <v>46170</v>
      </c>
      <c r="C39" s="99" t="s">
        <v>537</v>
      </c>
      <c r="D39" s="121" t="n">
        <v>115020</v>
      </c>
      <c r="E39" s="99" t="s">
        <v>431</v>
      </c>
      <c r="F39" s="100" t="n">
        <f aca="false">IF(E39="CONTADO", 4%, IF(E39="TARJETA / CHEQUE", 3%, IF(OR(E39="FINANCIADO", E39="MCP"), 2.5%, "")))</f>
        <v>0.04</v>
      </c>
      <c r="G39" s="98" t="n">
        <f aca="false">IF(F39="", "", F39*D39)</f>
        <v>4600.8</v>
      </c>
      <c r="H39" s="156" t="b">
        <f aca="false">TRUE()</f>
        <v>1</v>
      </c>
      <c r="I39" s="156" t="b">
        <f aca="false">TRUE()</f>
        <v>1</v>
      </c>
      <c r="J39" s="102" t="n">
        <v>46170</v>
      </c>
      <c r="K39" s="96"/>
      <c r="L39" s="83"/>
      <c r="M39" s="103"/>
      <c r="N39" s="103"/>
      <c r="O39" s="103"/>
      <c r="P39" s="103"/>
      <c r="Q39" s="103"/>
      <c r="R39" s="83"/>
      <c r="S39" s="103"/>
      <c r="T39" s="103"/>
      <c r="U39" s="103"/>
    </row>
    <row r="40" customFormat="false" ht="22.5" hidden="false" customHeight="true" outlineLevel="0" collapsed="false">
      <c r="A40" s="151"/>
      <c r="B40" s="152" t="n">
        <v>46170</v>
      </c>
      <c r="C40" s="110" t="s">
        <v>538</v>
      </c>
      <c r="D40" s="122" t="n">
        <v>900000</v>
      </c>
      <c r="E40" s="110" t="s">
        <v>433</v>
      </c>
      <c r="F40" s="111" t="n">
        <f aca="false">IF(E40="CONTADO", 4%, IF(E40="TARJETA / CHEQUE", 3%, IF(OR(E40="FINANCIADO", E40="MCP"), 2.5%, "")))</f>
        <v>0.025</v>
      </c>
      <c r="G40" s="109" t="n">
        <f aca="false">IF(F40="", "", F40*D40)</f>
        <v>22500</v>
      </c>
      <c r="H40" s="157" t="b">
        <f aca="false">TRUE()</f>
        <v>1</v>
      </c>
      <c r="I40" s="157" t="b">
        <f aca="false">TRUE()</f>
        <v>1</v>
      </c>
      <c r="J40" s="113" t="n">
        <v>46170</v>
      </c>
      <c r="K40" s="107"/>
      <c r="L40" s="83"/>
      <c r="M40" s="103"/>
      <c r="N40" s="103"/>
      <c r="O40" s="103"/>
      <c r="P40" s="103"/>
      <c r="Q40" s="103"/>
      <c r="R40" s="83"/>
      <c r="S40" s="103"/>
      <c r="T40" s="103"/>
      <c r="U40" s="103"/>
    </row>
    <row r="41" customFormat="false" ht="22.5" hidden="false" customHeight="true" outlineLevel="0" collapsed="false">
      <c r="A41" s="134"/>
      <c r="B41" s="135"/>
      <c r="C41" s="99"/>
      <c r="D41" s="121"/>
      <c r="E41" s="99"/>
      <c r="F41" s="100" t="str">
        <f aca="false">IF(E41="CONTADO", 4%, IF(E41="TARJETA / CHEQUE", 3%, IF(OR(E41="FINANCIADO", E41="MCP"), 2.5%, "")))</f>
        <v/>
      </c>
      <c r="G41" s="98" t="str">
        <f aca="false">IF(F41="", "", F41*D41)</f>
        <v/>
      </c>
      <c r="H41" s="156" t="b">
        <f aca="false">FALSE()</f>
        <v>0</v>
      </c>
      <c r="I41" s="156" t="b">
        <f aca="false">FALSE()</f>
        <v>0</v>
      </c>
      <c r="J41" s="102"/>
      <c r="K41" s="96"/>
      <c r="L41" s="83"/>
      <c r="M41" s="103"/>
      <c r="N41" s="103"/>
      <c r="O41" s="103"/>
      <c r="P41" s="103"/>
      <c r="Q41" s="103"/>
      <c r="R41" s="83"/>
      <c r="S41" s="103"/>
      <c r="T41" s="103"/>
      <c r="U41" s="103"/>
    </row>
    <row r="42" customFormat="false" ht="22.5" hidden="false" customHeight="true" outlineLevel="0" collapsed="false">
      <c r="A42" s="136"/>
      <c r="B42" s="137"/>
      <c r="C42" s="110"/>
      <c r="D42" s="122"/>
      <c r="E42" s="110"/>
      <c r="F42" s="111" t="str">
        <f aca="false">IF(E42="CONTADO", 4%, IF(E42="TARJETA / CHEQUE", 3%, IF(OR(E42="FINANCIADO", E42="MCP"), 2.5%, "")))</f>
        <v/>
      </c>
      <c r="G42" s="109" t="str">
        <f aca="false">IF(F42="", "", F42*D42)</f>
        <v/>
      </c>
      <c r="H42" s="157" t="b">
        <f aca="false">FALSE()</f>
        <v>0</v>
      </c>
      <c r="I42" s="157" t="b">
        <f aca="false">FALSE()</f>
        <v>0</v>
      </c>
      <c r="J42" s="113"/>
      <c r="K42" s="107"/>
      <c r="L42" s="83"/>
      <c r="M42" s="103"/>
      <c r="N42" s="103"/>
      <c r="O42" s="103"/>
      <c r="P42" s="103"/>
      <c r="Q42" s="103"/>
      <c r="R42" s="83"/>
      <c r="S42" s="103"/>
      <c r="T42" s="103"/>
      <c r="U42" s="103"/>
    </row>
    <row r="43" customFormat="false" ht="22.5" hidden="false" customHeight="true" outlineLevel="0" collapsed="false">
      <c r="A43" s="134"/>
      <c r="B43" s="135"/>
      <c r="C43" s="99"/>
      <c r="D43" s="121"/>
      <c r="E43" s="99"/>
      <c r="F43" s="100" t="str">
        <f aca="false">IF(E43="CONTADO", 4%, IF(E43="TARJETA / CHEQUE", 3%, IF(OR(E43="FINANCIADO", E43="MCP"), 2.5%, "")))</f>
        <v/>
      </c>
      <c r="G43" s="98" t="str">
        <f aca="false">IF(F43="", "", F43*D43)</f>
        <v/>
      </c>
      <c r="H43" s="156" t="b">
        <f aca="false">FALSE()</f>
        <v>0</v>
      </c>
      <c r="I43" s="156" t="b">
        <f aca="false">FALSE()</f>
        <v>0</v>
      </c>
      <c r="J43" s="102"/>
      <c r="K43" s="96"/>
      <c r="L43" s="83"/>
      <c r="M43" s="103"/>
      <c r="N43" s="103"/>
      <c r="O43" s="103"/>
      <c r="P43" s="103"/>
      <c r="Q43" s="103"/>
      <c r="R43" s="83"/>
      <c r="S43" s="103"/>
      <c r="T43" s="103"/>
      <c r="U43" s="103"/>
    </row>
    <row r="44" customFormat="false" ht="22.5" hidden="false" customHeight="true" outlineLevel="0" collapsed="false">
      <c r="A44" s="136"/>
      <c r="B44" s="137"/>
      <c r="C44" s="110"/>
      <c r="D44" s="122"/>
      <c r="E44" s="110"/>
      <c r="F44" s="111" t="str">
        <f aca="false">IF(E44="CONTADO", 4%, IF(E44="TARJETA / CHEQUE", 3%, IF(OR(E44="FINANCIADO", E44="MCP"), 2.5%, "")))</f>
        <v/>
      </c>
      <c r="G44" s="109" t="str">
        <f aca="false">IF(F44="", "", F44*D44)</f>
        <v/>
      </c>
      <c r="H44" s="157" t="b">
        <f aca="false">FALSE()</f>
        <v>0</v>
      </c>
      <c r="I44" s="157" t="b">
        <f aca="false">FALSE()</f>
        <v>0</v>
      </c>
      <c r="J44" s="113"/>
      <c r="K44" s="107"/>
      <c r="L44" s="83"/>
      <c r="M44" s="103"/>
      <c r="N44" s="103"/>
      <c r="O44" s="103"/>
      <c r="P44" s="103"/>
      <c r="Q44" s="103"/>
      <c r="R44" s="83"/>
      <c r="S44" s="103"/>
      <c r="T44" s="103"/>
      <c r="U44" s="103"/>
    </row>
    <row r="45" customFormat="false" ht="22.5" hidden="false" customHeight="true" outlineLevel="0" collapsed="false">
      <c r="A45" s="134"/>
      <c r="B45" s="135"/>
      <c r="C45" s="99"/>
      <c r="D45" s="121"/>
      <c r="E45" s="99"/>
      <c r="F45" s="100" t="str">
        <f aca="false">IF(E45="CONTADO", 4%, IF(E45="TARJETA / CHEQUE", 3%, IF(OR(E45="FINANCIADO", E45="MCP"), 2.5%, "")))</f>
        <v/>
      </c>
      <c r="G45" s="98" t="str">
        <f aca="false">IF(F45="", "", F45*D45)</f>
        <v/>
      </c>
      <c r="H45" s="156" t="b">
        <f aca="false">FALSE()</f>
        <v>0</v>
      </c>
      <c r="I45" s="156" t="b">
        <f aca="false">FALSE()</f>
        <v>0</v>
      </c>
      <c r="J45" s="102"/>
      <c r="K45" s="96"/>
      <c r="L45" s="83"/>
      <c r="M45" s="103"/>
      <c r="N45" s="103"/>
      <c r="O45" s="103"/>
      <c r="P45" s="103"/>
      <c r="Q45" s="103"/>
      <c r="R45" s="83"/>
      <c r="S45" s="103"/>
      <c r="T45" s="103"/>
      <c r="U45" s="103"/>
    </row>
    <row r="46" customFormat="false" ht="22.5" hidden="false" customHeight="true" outlineLevel="0" collapsed="false">
      <c r="A46" s="136"/>
      <c r="B46" s="137"/>
      <c r="C46" s="110"/>
      <c r="D46" s="122"/>
      <c r="E46" s="110"/>
      <c r="F46" s="111" t="str">
        <f aca="false">IF(E46="CONTADO", 4%, IF(E46="TARJETA / CHEQUE", 3%, IF(OR(E46="FINANCIADO", E46="MCP"), 2.5%, "")))</f>
        <v/>
      </c>
      <c r="G46" s="109" t="str">
        <f aca="false">IF(F46="", "", F46*D46)</f>
        <v/>
      </c>
      <c r="H46" s="157" t="b">
        <f aca="false">FALSE()</f>
        <v>0</v>
      </c>
      <c r="I46" s="157" t="b">
        <f aca="false">FALSE()</f>
        <v>0</v>
      </c>
      <c r="J46" s="113"/>
      <c r="K46" s="107"/>
      <c r="L46" s="83"/>
      <c r="M46" s="103"/>
      <c r="N46" s="103"/>
      <c r="O46" s="103"/>
      <c r="P46" s="103"/>
      <c r="Q46" s="103"/>
      <c r="R46" s="83"/>
      <c r="S46" s="103"/>
      <c r="T46" s="103"/>
      <c r="U46" s="103"/>
    </row>
    <row r="47" customFormat="false" ht="22.5" hidden="false" customHeight="true" outlineLevel="0" collapsed="false">
      <c r="A47" s="134"/>
      <c r="B47" s="135"/>
      <c r="C47" s="99"/>
      <c r="D47" s="121"/>
      <c r="E47" s="99"/>
      <c r="F47" s="100" t="str">
        <f aca="false">IF(E47="CONTADO", 4%, IF(E47="TARJETA / CHEQUE", 3%, IF(OR(E47="FINANCIADO", E47="MCP"), 2.5%, "")))</f>
        <v/>
      </c>
      <c r="G47" s="98" t="str">
        <f aca="false">IF(F47="", "", F47*D47)</f>
        <v/>
      </c>
      <c r="H47" s="156" t="b">
        <f aca="false">FALSE()</f>
        <v>0</v>
      </c>
      <c r="I47" s="156" t="b">
        <f aca="false">FALSE()</f>
        <v>0</v>
      </c>
      <c r="J47" s="102"/>
      <c r="K47" s="96"/>
      <c r="L47" s="83"/>
      <c r="M47" s="103"/>
      <c r="N47" s="103"/>
      <c r="O47" s="103"/>
      <c r="P47" s="103"/>
      <c r="Q47" s="103"/>
      <c r="R47" s="83"/>
      <c r="S47" s="103"/>
      <c r="T47" s="103"/>
      <c r="U47" s="103"/>
    </row>
    <row r="48" customFormat="false" ht="22.5" hidden="false" customHeight="true" outlineLevel="0" collapsed="false">
      <c r="A48" s="136"/>
      <c r="B48" s="137"/>
      <c r="C48" s="110"/>
      <c r="D48" s="122"/>
      <c r="E48" s="110"/>
      <c r="F48" s="111" t="str">
        <f aca="false">IF(E48="CONTADO", 4%, IF(E48="TARJETA / CHEQUE", 3%, IF(OR(E48="FINANCIADO", E48="MCP"), 2.5%, "")))</f>
        <v/>
      </c>
      <c r="G48" s="109" t="str">
        <f aca="false">IF(F48="", "", F48*D48)</f>
        <v/>
      </c>
      <c r="H48" s="157" t="b">
        <f aca="false">FALSE()</f>
        <v>0</v>
      </c>
      <c r="I48" s="157" t="b">
        <f aca="false">FALSE()</f>
        <v>0</v>
      </c>
      <c r="J48" s="113"/>
      <c r="K48" s="107"/>
      <c r="L48" s="83"/>
      <c r="M48" s="103"/>
      <c r="N48" s="103"/>
      <c r="O48" s="103"/>
      <c r="P48" s="103"/>
      <c r="Q48" s="103"/>
      <c r="R48" s="83"/>
      <c r="S48" s="103"/>
      <c r="T48" s="103"/>
      <c r="U48" s="103"/>
    </row>
    <row r="49" customFormat="false" ht="22.5" hidden="false" customHeight="true" outlineLevel="0" collapsed="false">
      <c r="A49" s="134"/>
      <c r="B49" s="135"/>
      <c r="C49" s="99"/>
      <c r="D49" s="121"/>
      <c r="E49" s="99"/>
      <c r="F49" s="100" t="str">
        <f aca="false">IF(E49="CONTADO", 4%, IF(E49="TARJETA / CHEQUE", 3%, IF(OR(E49="FINANCIADO", E49="MCP"), 2.5%, "")))</f>
        <v/>
      </c>
      <c r="G49" s="98" t="str">
        <f aca="false">IF(F49="", "", F49*D49)</f>
        <v/>
      </c>
      <c r="H49" s="156" t="b">
        <f aca="false">FALSE()</f>
        <v>0</v>
      </c>
      <c r="I49" s="156" t="b">
        <f aca="false">FALSE()</f>
        <v>0</v>
      </c>
      <c r="J49" s="102"/>
      <c r="K49" s="96"/>
      <c r="L49" s="83"/>
      <c r="M49" s="103"/>
      <c r="N49" s="103"/>
      <c r="O49" s="103"/>
      <c r="P49" s="103"/>
      <c r="Q49" s="103"/>
      <c r="R49" s="83"/>
      <c r="S49" s="103"/>
      <c r="T49" s="103"/>
      <c r="U49" s="103"/>
    </row>
    <row r="50" customFormat="false" ht="22.5" hidden="false" customHeight="true" outlineLevel="0" collapsed="false">
      <c r="A50" s="136"/>
      <c r="B50" s="137"/>
      <c r="C50" s="110"/>
      <c r="D50" s="122"/>
      <c r="E50" s="110"/>
      <c r="F50" s="111" t="str">
        <f aca="false">IF(E50="CONTADO", 4%, IF(E50="TARJETA / CHEQUE", 3%, IF(OR(E50="FINANCIADO", E50="MCP"), 2.5%, "")))</f>
        <v/>
      </c>
      <c r="G50" s="109" t="str">
        <f aca="false">IF(F50="", "", F50*D50)</f>
        <v/>
      </c>
      <c r="H50" s="157" t="b">
        <f aca="false">FALSE()</f>
        <v>0</v>
      </c>
      <c r="I50" s="157" t="b">
        <f aca="false">FALSE()</f>
        <v>0</v>
      </c>
      <c r="J50" s="113"/>
      <c r="K50" s="107"/>
      <c r="L50" s="83"/>
      <c r="M50" s="103"/>
      <c r="N50" s="103"/>
      <c r="O50" s="103"/>
      <c r="P50" s="103"/>
      <c r="Q50" s="103"/>
      <c r="R50" s="83"/>
      <c r="S50" s="103"/>
      <c r="T50" s="103"/>
      <c r="U50" s="103"/>
    </row>
    <row r="51" customFormat="false" ht="22.5" hidden="false" customHeight="true" outlineLevel="0" collapsed="false">
      <c r="A51" s="134"/>
      <c r="B51" s="135"/>
      <c r="C51" s="99"/>
      <c r="D51" s="121"/>
      <c r="E51" s="99"/>
      <c r="F51" s="100" t="str">
        <f aca="false">IF(E51="CONTADO", 4%, IF(E51="TARJETA / CHEQUE", 3%, IF(OR(E51="FINANCIADO", E51="MCP"), 2.5%, "")))</f>
        <v/>
      </c>
      <c r="G51" s="98" t="str">
        <f aca="false">IF(F51="", "", F51*D51)</f>
        <v/>
      </c>
      <c r="H51" s="156" t="b">
        <f aca="false">FALSE()</f>
        <v>0</v>
      </c>
      <c r="I51" s="156" t="b">
        <f aca="false">FALSE()</f>
        <v>0</v>
      </c>
      <c r="J51" s="102"/>
      <c r="K51" s="96"/>
      <c r="L51" s="83"/>
      <c r="M51" s="103"/>
      <c r="N51" s="103"/>
      <c r="O51" s="103"/>
      <c r="P51" s="103"/>
      <c r="Q51" s="103"/>
      <c r="R51" s="83"/>
      <c r="S51" s="103"/>
      <c r="T51" s="103"/>
      <c r="U51" s="103"/>
    </row>
    <row r="52" customFormat="false" ht="22.5" hidden="false" customHeight="true" outlineLevel="0" collapsed="false">
      <c r="A52" s="136"/>
      <c r="B52" s="137"/>
      <c r="C52" s="110"/>
      <c r="D52" s="122"/>
      <c r="E52" s="110"/>
      <c r="F52" s="111" t="str">
        <f aca="false">IF(E52="CONTADO", 4%, IF(E52="TARJETA / CHEQUE", 3%, IF(OR(E52="FINANCIADO", E52="MCP"), 2.5%, "")))</f>
        <v/>
      </c>
      <c r="G52" s="109" t="str">
        <f aca="false">IF(F52="", "", F52*D52)</f>
        <v/>
      </c>
      <c r="H52" s="157" t="b">
        <f aca="false">FALSE()</f>
        <v>0</v>
      </c>
      <c r="I52" s="157" t="b">
        <f aca="false">FALSE()</f>
        <v>0</v>
      </c>
      <c r="J52" s="113"/>
      <c r="K52" s="107"/>
      <c r="L52" s="83"/>
      <c r="M52" s="103"/>
      <c r="N52" s="103"/>
      <c r="O52" s="103"/>
      <c r="P52" s="103"/>
      <c r="Q52" s="103"/>
      <c r="R52" s="83"/>
      <c r="S52" s="103"/>
      <c r="T52" s="103"/>
      <c r="U52" s="103"/>
    </row>
    <row r="53" customFormat="false" ht="22.5" hidden="false" customHeight="true" outlineLevel="0" collapsed="false">
      <c r="A53" s="134"/>
      <c r="B53" s="135"/>
      <c r="C53" s="99"/>
      <c r="D53" s="121"/>
      <c r="E53" s="99"/>
      <c r="F53" s="100" t="str">
        <f aca="false">IF(E53="CONTADO", 4%, IF(E53="TARJETA / CHEQUE", 3%, IF(OR(E53="FINANCIADO", E53="MCP"), 2.5%, "")))</f>
        <v/>
      </c>
      <c r="G53" s="98" t="str">
        <f aca="false">IF(F53="", "", F53*D53)</f>
        <v/>
      </c>
      <c r="H53" s="156" t="b">
        <f aca="false">FALSE()</f>
        <v>0</v>
      </c>
      <c r="I53" s="156" t="b">
        <f aca="false">FALSE()</f>
        <v>0</v>
      </c>
      <c r="J53" s="102"/>
      <c r="K53" s="96"/>
      <c r="L53" s="83"/>
      <c r="M53" s="103"/>
      <c r="N53" s="103"/>
      <c r="O53" s="103"/>
      <c r="P53" s="103"/>
      <c r="Q53" s="103"/>
      <c r="R53" s="83"/>
      <c r="S53" s="103"/>
      <c r="T53" s="103"/>
      <c r="U53" s="103"/>
    </row>
    <row r="54" customFormat="false" ht="22.5" hidden="false" customHeight="true" outlineLevel="0" collapsed="false">
      <c r="A54" s="136"/>
      <c r="B54" s="137"/>
      <c r="C54" s="110"/>
      <c r="D54" s="122"/>
      <c r="E54" s="110"/>
      <c r="F54" s="111" t="str">
        <f aca="false">IF(E54="CONTADO", 4%, IF(E54="TARJETA / CHEQUE", 3%, IF(OR(E54="FINANCIADO", E54="MCP"), 2.5%, "")))</f>
        <v/>
      </c>
      <c r="G54" s="109" t="str">
        <f aca="false">IF(F54="", "", F54*D54)</f>
        <v/>
      </c>
      <c r="H54" s="157" t="b">
        <f aca="false">FALSE()</f>
        <v>0</v>
      </c>
      <c r="I54" s="157" t="b">
        <f aca="false">FALSE()</f>
        <v>0</v>
      </c>
      <c r="J54" s="113"/>
      <c r="K54" s="107"/>
      <c r="L54" s="83"/>
      <c r="M54" s="103"/>
      <c r="N54" s="103"/>
      <c r="O54" s="103"/>
      <c r="P54" s="103"/>
      <c r="Q54" s="103"/>
      <c r="R54" s="83"/>
      <c r="S54" s="103"/>
      <c r="T54" s="103"/>
      <c r="U54" s="103"/>
    </row>
    <row r="55" customFormat="false" ht="22.5" hidden="false" customHeight="true" outlineLevel="0" collapsed="false">
      <c r="A55" s="134"/>
      <c r="B55" s="135"/>
      <c r="C55" s="99"/>
      <c r="D55" s="121"/>
      <c r="E55" s="99"/>
      <c r="F55" s="100" t="str">
        <f aca="false">IF(E55="CONTADO", 4%, IF(E55="TARJETA / CHEQUE", 3%, IF(OR(E55="FINANCIADO", E55="MCP"), 2.5%, "")))</f>
        <v/>
      </c>
      <c r="G55" s="98" t="str">
        <f aca="false">IF(F55="", "", F55*D55)</f>
        <v/>
      </c>
      <c r="H55" s="156" t="b">
        <f aca="false">FALSE()</f>
        <v>0</v>
      </c>
      <c r="I55" s="156" t="b">
        <f aca="false">FALSE()</f>
        <v>0</v>
      </c>
      <c r="J55" s="102"/>
      <c r="K55" s="96"/>
      <c r="L55" s="83"/>
      <c r="M55" s="103"/>
      <c r="N55" s="103"/>
      <c r="O55" s="103"/>
      <c r="P55" s="103"/>
      <c r="Q55" s="103"/>
      <c r="R55" s="83"/>
      <c r="S55" s="103"/>
      <c r="T55" s="103"/>
      <c r="U55" s="103"/>
    </row>
    <row r="56" customFormat="false" ht="22.5" hidden="false" customHeight="true" outlineLevel="0" collapsed="false">
      <c r="A56" s="136"/>
      <c r="B56" s="137"/>
      <c r="C56" s="110"/>
      <c r="D56" s="122"/>
      <c r="E56" s="110"/>
      <c r="F56" s="111" t="str">
        <f aca="false">IF(E56="CONTADO", 4%, IF(E56="TARJETA / CHEQUE", 3%, IF(OR(E56="FINANCIADO", E56="MCP"), 2.5%, "")))</f>
        <v/>
      </c>
      <c r="G56" s="109" t="str">
        <f aca="false">IF(F56="", "", F56*D56)</f>
        <v/>
      </c>
      <c r="H56" s="157" t="b">
        <f aca="false">FALSE()</f>
        <v>0</v>
      </c>
      <c r="I56" s="157" t="b">
        <f aca="false">FALSE()</f>
        <v>0</v>
      </c>
      <c r="J56" s="113"/>
      <c r="K56" s="107"/>
      <c r="L56" s="83"/>
      <c r="M56" s="103"/>
      <c r="N56" s="103"/>
      <c r="O56" s="103"/>
      <c r="P56" s="103"/>
      <c r="Q56" s="103"/>
      <c r="R56" s="83"/>
      <c r="S56" s="103"/>
      <c r="T56" s="103"/>
      <c r="U56" s="103"/>
    </row>
    <row r="57" customFormat="false" ht="22.5" hidden="false" customHeight="true" outlineLevel="0" collapsed="false">
      <c r="A57" s="134"/>
      <c r="B57" s="135"/>
      <c r="C57" s="99"/>
      <c r="D57" s="121"/>
      <c r="E57" s="99"/>
      <c r="F57" s="100" t="str">
        <f aca="false">IF(E57="CONTADO", 4%, IF(E57="TARJETA / CHEQUE", 3%, IF(OR(E57="FINANCIADO", E57="MCP"), 2.5%, "")))</f>
        <v/>
      </c>
      <c r="G57" s="98" t="str">
        <f aca="false">IF(F57="", "", F57*D57)</f>
        <v/>
      </c>
      <c r="H57" s="156" t="b">
        <f aca="false">FALSE()</f>
        <v>0</v>
      </c>
      <c r="I57" s="156" t="b">
        <f aca="false">FALSE()</f>
        <v>0</v>
      </c>
      <c r="J57" s="102"/>
      <c r="K57" s="96"/>
      <c r="L57" s="83"/>
      <c r="M57" s="103"/>
      <c r="N57" s="103"/>
      <c r="O57" s="103"/>
      <c r="P57" s="103"/>
      <c r="Q57" s="103"/>
      <c r="R57" s="83"/>
      <c r="S57" s="103"/>
      <c r="T57" s="103"/>
      <c r="U57" s="103"/>
    </row>
    <row r="58" customFormat="false" ht="22.5" hidden="false" customHeight="true" outlineLevel="0" collapsed="false">
      <c r="A58" s="136"/>
      <c r="B58" s="137"/>
      <c r="C58" s="110"/>
      <c r="D58" s="122"/>
      <c r="E58" s="110"/>
      <c r="F58" s="111" t="str">
        <f aca="false">IF(E58="CONTADO", 4%, IF(E58="TARJETA / CHEQUE", 3%, IF(OR(E58="FINANCIADO", E58="MCP"), 2.5%, "")))</f>
        <v/>
      </c>
      <c r="G58" s="109" t="str">
        <f aca="false">IF(F58="", "", F58*D58)</f>
        <v/>
      </c>
      <c r="H58" s="157" t="b">
        <f aca="false">FALSE()</f>
        <v>0</v>
      </c>
      <c r="I58" s="157" t="b">
        <f aca="false">FALSE()</f>
        <v>0</v>
      </c>
      <c r="J58" s="113"/>
      <c r="K58" s="107"/>
      <c r="L58" s="83"/>
      <c r="M58" s="103"/>
      <c r="N58" s="103"/>
      <c r="O58" s="103"/>
      <c r="P58" s="103"/>
      <c r="Q58" s="103"/>
      <c r="R58" s="83"/>
      <c r="S58" s="103"/>
      <c r="T58" s="103"/>
      <c r="U58" s="103"/>
    </row>
    <row r="59" customFormat="false" ht="22.5" hidden="false" customHeight="true" outlineLevel="0" collapsed="false">
      <c r="A59" s="134"/>
      <c r="B59" s="135"/>
      <c r="C59" s="99"/>
      <c r="D59" s="121"/>
      <c r="E59" s="99"/>
      <c r="F59" s="100" t="str">
        <f aca="false">IF(E59="CONTADO", 4%, IF(E59="TARJETA / CHEQUE", 3%, IF(OR(E59="FINANCIADO", E59="MCP"), 2.5%, "")))</f>
        <v/>
      </c>
      <c r="G59" s="98" t="str">
        <f aca="false">IF(F59="", "", F59*D59)</f>
        <v/>
      </c>
      <c r="H59" s="156" t="b">
        <f aca="false">FALSE()</f>
        <v>0</v>
      </c>
      <c r="I59" s="156" t="b">
        <f aca="false">FALSE()</f>
        <v>0</v>
      </c>
      <c r="J59" s="102"/>
      <c r="K59" s="96"/>
      <c r="L59" s="83"/>
      <c r="M59" s="103"/>
      <c r="N59" s="103"/>
      <c r="O59" s="103"/>
      <c r="P59" s="103"/>
      <c r="Q59" s="103"/>
      <c r="R59" s="83"/>
      <c r="S59" s="103"/>
      <c r="T59" s="103"/>
      <c r="U59" s="103"/>
    </row>
    <row r="60" customFormat="false" ht="22.5" hidden="false" customHeight="true" outlineLevel="0" collapsed="false">
      <c r="A60" s="136"/>
      <c r="B60" s="137"/>
      <c r="C60" s="110"/>
      <c r="D60" s="122"/>
      <c r="E60" s="110"/>
      <c r="F60" s="111" t="str">
        <f aca="false">IF(E60="CONTADO", 4%, IF(E60="TARJETA / CHEQUE", 3%, IF(OR(E60="FINANCIADO", E60="MCP"), 2.5%, "")))</f>
        <v/>
      </c>
      <c r="G60" s="109" t="str">
        <f aca="false">IF(F60="", "", F60*D60)</f>
        <v/>
      </c>
      <c r="H60" s="157" t="b">
        <f aca="false">FALSE()</f>
        <v>0</v>
      </c>
      <c r="I60" s="157" t="b">
        <f aca="false">FALSE()</f>
        <v>0</v>
      </c>
      <c r="J60" s="113"/>
      <c r="K60" s="107"/>
      <c r="L60" s="83"/>
      <c r="M60" s="103"/>
      <c r="N60" s="103"/>
      <c r="O60" s="103"/>
      <c r="P60" s="103"/>
      <c r="Q60" s="103"/>
      <c r="R60" s="83"/>
      <c r="S60" s="103"/>
      <c r="T60" s="103"/>
      <c r="U60" s="103"/>
    </row>
    <row r="61" customFormat="false" ht="22.5" hidden="false" customHeight="true" outlineLevel="0" collapsed="false">
      <c r="A61" s="134"/>
      <c r="B61" s="135"/>
      <c r="C61" s="99"/>
      <c r="D61" s="121"/>
      <c r="E61" s="99"/>
      <c r="F61" s="100" t="str">
        <f aca="false">IF(E61="CONTADO", 4%, IF(E61="TARJETA / CHEQUE", 3%, IF(OR(E61="FINANCIADO", E61="MCP"), 2.5%, "")))</f>
        <v/>
      </c>
      <c r="G61" s="98" t="str">
        <f aca="false">IF(F61="", "", F61*D61)</f>
        <v/>
      </c>
      <c r="H61" s="156" t="b">
        <f aca="false">FALSE()</f>
        <v>0</v>
      </c>
      <c r="I61" s="156" t="b">
        <f aca="false">FALSE()</f>
        <v>0</v>
      </c>
      <c r="J61" s="102"/>
      <c r="K61" s="96"/>
      <c r="L61" s="83"/>
      <c r="M61" s="103"/>
      <c r="N61" s="103"/>
      <c r="O61" s="103"/>
      <c r="P61" s="103"/>
      <c r="Q61" s="103"/>
      <c r="R61" s="83"/>
      <c r="S61" s="103"/>
      <c r="T61" s="103"/>
      <c r="U61" s="103"/>
    </row>
    <row r="62" customFormat="false" ht="22.5" hidden="false" customHeight="true" outlineLevel="0" collapsed="false">
      <c r="A62" s="110"/>
      <c r="B62" s="110"/>
      <c r="C62" s="110"/>
      <c r="D62" s="122"/>
      <c r="E62" s="110"/>
      <c r="F62" s="111" t="str">
        <f aca="false">IF(E62="CONTADO", 4%, IF(E62="TARJETA / CHEQUE", 3%, IF(OR(E62="FINANCIADO", E62="MCP"), 2.5%, "")))</f>
        <v/>
      </c>
      <c r="G62" s="109" t="str">
        <f aca="false">IF(F62="", "", F62*D62)</f>
        <v/>
      </c>
      <c r="H62" s="157" t="b">
        <f aca="false">FALSE()</f>
        <v>0</v>
      </c>
      <c r="I62" s="157" t="b">
        <f aca="false">FALSE()</f>
        <v>0</v>
      </c>
      <c r="J62" s="113"/>
      <c r="K62" s="107"/>
      <c r="L62" s="83"/>
      <c r="M62" s="103"/>
      <c r="N62" s="103"/>
      <c r="O62" s="103"/>
      <c r="P62" s="103"/>
      <c r="Q62" s="103"/>
      <c r="R62" s="83"/>
      <c r="S62" s="103"/>
      <c r="T62" s="103"/>
      <c r="U62" s="103"/>
    </row>
    <row r="63" customFormat="false" ht="22.5" hidden="false" customHeight="true" outlineLevel="0" collapsed="false">
      <c r="A63" s="99"/>
      <c r="B63" s="99"/>
      <c r="C63" s="99"/>
      <c r="D63" s="121"/>
      <c r="E63" s="99"/>
      <c r="F63" s="100" t="str">
        <f aca="false">IF(E63="CONTADO", 4%, IF(E63="TARJETA / CHEQUE", 3%, IF(OR(E63="FINANCIADO", E63="MCP"), 2.5%, "")))</f>
        <v/>
      </c>
      <c r="G63" s="98" t="str">
        <f aca="false">IF(F63="", "", F63*D63)</f>
        <v/>
      </c>
      <c r="H63" s="156" t="b">
        <f aca="false">FALSE()</f>
        <v>0</v>
      </c>
      <c r="I63" s="156" t="b">
        <f aca="false">FALSE()</f>
        <v>0</v>
      </c>
      <c r="J63" s="102"/>
      <c r="K63" s="96"/>
      <c r="L63" s="83"/>
      <c r="M63" s="103"/>
      <c r="N63" s="103"/>
      <c r="O63" s="103"/>
      <c r="P63" s="103"/>
      <c r="Q63" s="103"/>
      <c r="R63" s="83"/>
      <c r="S63" s="103"/>
      <c r="T63" s="103"/>
      <c r="U63" s="103"/>
    </row>
    <row r="64" customFormat="false" ht="22.5" hidden="false" customHeight="true" outlineLevel="0" collapsed="false">
      <c r="A64" s="110"/>
      <c r="B64" s="110"/>
      <c r="C64" s="110"/>
      <c r="D64" s="122"/>
      <c r="E64" s="110"/>
      <c r="F64" s="111" t="str">
        <f aca="false">IF(E64="CONTADO", 4%, IF(E64="TARJETA / CHEQUE", 3%, IF(OR(E64="FINANCIADO", E64="MCP"), 2.5%, "")))</f>
        <v/>
      </c>
      <c r="G64" s="109" t="str">
        <f aca="false">IF(F64="", "", F64*D64)</f>
        <v/>
      </c>
      <c r="H64" s="157" t="b">
        <f aca="false">FALSE()</f>
        <v>0</v>
      </c>
      <c r="I64" s="157" t="b">
        <f aca="false">FALSE()</f>
        <v>0</v>
      </c>
      <c r="J64" s="113"/>
      <c r="K64" s="107"/>
      <c r="L64" s="83"/>
      <c r="M64" s="103"/>
      <c r="N64" s="103"/>
      <c r="O64" s="103"/>
      <c r="P64" s="103"/>
      <c r="Q64" s="103"/>
      <c r="R64" s="83"/>
      <c r="S64" s="103"/>
      <c r="T64" s="103"/>
      <c r="U64" s="103"/>
    </row>
    <row r="65" customFormat="false" ht="22.5" hidden="false" customHeight="true" outlineLevel="0" collapsed="false">
      <c r="A65" s="99"/>
      <c r="B65" s="99"/>
      <c r="C65" s="99"/>
      <c r="D65" s="121"/>
      <c r="E65" s="99"/>
      <c r="F65" s="100" t="str">
        <f aca="false">IF(E65="CONTADO", 4%, IF(E65="TARJETA / CHEQUE", 3%, IF(OR(E65="FINANCIADO", E65="MCP"), 2.5%, "")))</f>
        <v/>
      </c>
      <c r="G65" s="98" t="str">
        <f aca="false">IF(F65="", "", F65*D65)</f>
        <v/>
      </c>
      <c r="H65" s="156" t="b">
        <f aca="false">FALSE()</f>
        <v>0</v>
      </c>
      <c r="I65" s="156" t="b">
        <f aca="false">FALSE()</f>
        <v>0</v>
      </c>
      <c r="J65" s="102"/>
      <c r="K65" s="96"/>
      <c r="L65" s="83"/>
      <c r="M65" s="103"/>
      <c r="N65" s="103"/>
      <c r="O65" s="103"/>
      <c r="P65" s="103"/>
      <c r="Q65" s="103"/>
      <c r="R65" s="83"/>
      <c r="S65" s="103"/>
      <c r="T65" s="103"/>
      <c r="U65" s="103"/>
    </row>
    <row r="66" customFormat="false" ht="22.5" hidden="false" customHeight="true" outlineLevel="0" collapsed="false">
      <c r="A66" s="110"/>
      <c r="B66" s="110"/>
      <c r="C66" s="110"/>
      <c r="D66" s="122"/>
      <c r="E66" s="110"/>
      <c r="F66" s="111" t="str">
        <f aca="false">IF(E66="CONTADO", 4%, IF(E66="TARJETA / CHEQUE", 3%, IF(OR(E66="FINANCIADO", E66="MCP"), 2.5%, "")))</f>
        <v/>
      </c>
      <c r="G66" s="109" t="str">
        <f aca="false">IF(F66="", "", F66*D66)</f>
        <v/>
      </c>
      <c r="H66" s="157" t="b">
        <f aca="false">FALSE()</f>
        <v>0</v>
      </c>
      <c r="I66" s="157" t="b">
        <f aca="false">FALSE()</f>
        <v>0</v>
      </c>
      <c r="J66" s="113"/>
      <c r="K66" s="107"/>
      <c r="L66" s="83"/>
      <c r="M66" s="103"/>
      <c r="N66" s="103"/>
      <c r="O66" s="103"/>
      <c r="P66" s="103"/>
      <c r="Q66" s="103"/>
      <c r="R66" s="83"/>
      <c r="S66" s="103"/>
      <c r="T66" s="103"/>
      <c r="U66" s="103"/>
    </row>
    <row r="67" customFormat="false" ht="22.5" hidden="false" customHeight="true" outlineLevel="0" collapsed="false">
      <c r="A67" s="99"/>
      <c r="B67" s="99"/>
      <c r="C67" s="99"/>
      <c r="D67" s="121"/>
      <c r="E67" s="99"/>
      <c r="F67" s="100" t="str">
        <f aca="false">IF(E67="CONTADO", 4%, IF(E67="TARJETA / CHEQUE", 3%, IF(OR(E67="FINANCIADO", E67="MCP"), 2.5%, "")))</f>
        <v/>
      </c>
      <c r="G67" s="98" t="str">
        <f aca="false">IF(F67="", "", F67*D67)</f>
        <v/>
      </c>
      <c r="H67" s="156" t="b">
        <f aca="false">FALSE()</f>
        <v>0</v>
      </c>
      <c r="I67" s="156" t="b">
        <f aca="false">FALSE()</f>
        <v>0</v>
      </c>
      <c r="J67" s="102"/>
      <c r="K67" s="96"/>
      <c r="L67" s="83"/>
      <c r="M67" s="103"/>
      <c r="N67" s="103"/>
      <c r="O67" s="103"/>
      <c r="P67" s="103"/>
      <c r="Q67" s="103"/>
      <c r="R67" s="83"/>
      <c r="S67" s="103"/>
      <c r="T67" s="103"/>
      <c r="U67" s="103"/>
    </row>
    <row r="68" customFormat="false" ht="22.5" hidden="false" customHeight="true" outlineLevel="0" collapsed="false">
      <c r="A68" s="110"/>
      <c r="B68" s="110"/>
      <c r="C68" s="110"/>
      <c r="D68" s="122"/>
      <c r="E68" s="110"/>
      <c r="F68" s="111" t="str">
        <f aca="false">IF(E68="CONTADO", 4%, IF(E68="TARJETA / CHEQUE", 3%, IF(OR(E68="FINANCIADO", E68="MCP"), 2.5%, "")))</f>
        <v/>
      </c>
      <c r="G68" s="109" t="str">
        <f aca="false">IF(F68="", "", F68*D68)</f>
        <v/>
      </c>
      <c r="H68" s="157" t="b">
        <f aca="false">FALSE()</f>
        <v>0</v>
      </c>
      <c r="I68" s="157" t="b">
        <f aca="false">FALSE()</f>
        <v>0</v>
      </c>
      <c r="J68" s="113"/>
      <c r="K68" s="107"/>
      <c r="L68" s="83"/>
      <c r="M68" s="103"/>
      <c r="N68" s="103"/>
      <c r="O68" s="103"/>
      <c r="P68" s="103"/>
      <c r="Q68" s="103"/>
      <c r="R68" s="83"/>
      <c r="S68" s="103"/>
      <c r="T68" s="103"/>
      <c r="U68" s="103"/>
    </row>
    <row r="69" customFormat="false" ht="22.5" hidden="false" customHeight="true" outlineLevel="0" collapsed="false">
      <c r="A69" s="99"/>
      <c r="B69" s="99"/>
      <c r="C69" s="99"/>
      <c r="D69" s="121"/>
      <c r="E69" s="99"/>
      <c r="F69" s="100" t="str">
        <f aca="false">IF(E69="CONTADO", 4%, IF(E69="TARJETA / CHEQUE", 3%, IF(OR(E69="FINANCIADO", E69="MCP"), 2.5%, "")))</f>
        <v/>
      </c>
      <c r="G69" s="98" t="str">
        <f aca="false">IF(F69="", "", F69*D69)</f>
        <v/>
      </c>
      <c r="H69" s="156" t="b">
        <f aca="false">FALSE()</f>
        <v>0</v>
      </c>
      <c r="I69" s="156" t="b">
        <f aca="false">FALSE()</f>
        <v>0</v>
      </c>
      <c r="J69" s="102"/>
      <c r="K69" s="96"/>
      <c r="L69" s="83"/>
      <c r="M69" s="103"/>
      <c r="N69" s="103"/>
      <c r="O69" s="103"/>
      <c r="P69" s="103"/>
      <c r="Q69" s="103"/>
      <c r="R69" s="83"/>
      <c r="S69" s="103"/>
      <c r="T69" s="103"/>
      <c r="U69" s="103"/>
    </row>
    <row r="70" customFormat="false" ht="22.5" hidden="false" customHeight="true" outlineLevel="0" collapsed="false">
      <c r="A70" s="110"/>
      <c r="B70" s="110"/>
      <c r="C70" s="110"/>
      <c r="D70" s="122"/>
      <c r="E70" s="110"/>
      <c r="F70" s="111" t="str">
        <f aca="false">IF(E70="CONTADO", 4%, IF(E70="TARJETA / CHEQUE", 3%, IF(OR(E70="FINANCIADO", E70="MCP"), 2.5%, "")))</f>
        <v/>
      </c>
      <c r="G70" s="109" t="str">
        <f aca="false">IF(F70="", "", F70*D70)</f>
        <v/>
      </c>
      <c r="H70" s="157" t="b">
        <f aca="false">FALSE()</f>
        <v>0</v>
      </c>
      <c r="I70" s="157" t="b">
        <f aca="false">FALSE()</f>
        <v>0</v>
      </c>
      <c r="J70" s="113"/>
      <c r="K70" s="107"/>
      <c r="L70" s="83"/>
      <c r="M70" s="103"/>
      <c r="N70" s="103"/>
      <c r="O70" s="103"/>
      <c r="P70" s="103"/>
      <c r="Q70" s="103"/>
      <c r="R70" s="83"/>
      <c r="S70" s="103"/>
      <c r="T70" s="103"/>
      <c r="U70" s="103"/>
    </row>
    <row r="71" customFormat="false" ht="22.5" hidden="false" customHeight="true" outlineLevel="0" collapsed="false">
      <c r="A71" s="99"/>
      <c r="B71" s="99"/>
      <c r="C71" s="99"/>
      <c r="D71" s="121"/>
      <c r="E71" s="99"/>
      <c r="F71" s="100" t="str">
        <f aca="false">IF(E71="CONTADO", 4%, IF(E71="TARJETA / CHEQUE", 3%, IF(OR(E71="FINANCIADO", E71="MCP"), 2.5%, "")))</f>
        <v/>
      </c>
      <c r="G71" s="98" t="str">
        <f aca="false">IF(F71="", "", F71*D71)</f>
        <v/>
      </c>
      <c r="H71" s="156" t="b">
        <f aca="false">FALSE()</f>
        <v>0</v>
      </c>
      <c r="I71" s="156" t="b">
        <f aca="false">FALSE()</f>
        <v>0</v>
      </c>
      <c r="J71" s="102"/>
      <c r="K71" s="96"/>
      <c r="L71" s="83"/>
      <c r="M71" s="103"/>
      <c r="N71" s="103"/>
      <c r="O71" s="103"/>
      <c r="P71" s="103"/>
      <c r="Q71" s="103"/>
      <c r="R71" s="83"/>
      <c r="S71" s="103"/>
      <c r="T71" s="103"/>
      <c r="U71" s="103"/>
    </row>
    <row r="72" customFormat="false" ht="22.5" hidden="false" customHeight="true" outlineLevel="0" collapsed="false">
      <c r="A72" s="110"/>
      <c r="B72" s="110"/>
      <c r="C72" s="110"/>
      <c r="D72" s="122"/>
      <c r="E72" s="110"/>
      <c r="F72" s="111" t="str">
        <f aca="false">IF(E72="CONTADO", 4%, IF(E72="TARJETA / CHEQUE", 3%, IF(OR(E72="FINANCIADO", E72="MCP"), 2.5%, "")))</f>
        <v/>
      </c>
      <c r="G72" s="109" t="str">
        <f aca="false">IF(F72="", "", F72*D72)</f>
        <v/>
      </c>
      <c r="H72" s="157" t="b">
        <f aca="false">FALSE()</f>
        <v>0</v>
      </c>
      <c r="I72" s="157" t="b">
        <f aca="false">FALSE()</f>
        <v>0</v>
      </c>
      <c r="J72" s="113"/>
      <c r="K72" s="107"/>
      <c r="L72" s="83"/>
      <c r="M72" s="103"/>
      <c r="N72" s="103"/>
      <c r="O72" s="103"/>
      <c r="P72" s="103"/>
      <c r="Q72" s="103"/>
      <c r="R72" s="83"/>
      <c r="S72" s="103"/>
      <c r="T72" s="103"/>
      <c r="U72" s="103"/>
    </row>
    <row r="73" customFormat="false" ht="22.5" hidden="false" customHeight="true" outlineLevel="0" collapsed="false">
      <c r="A73" s="99"/>
      <c r="B73" s="99"/>
      <c r="C73" s="99"/>
      <c r="D73" s="121"/>
      <c r="E73" s="99"/>
      <c r="F73" s="100" t="str">
        <f aca="false">IF(E73="CONTADO", 4%, IF(E73="TARJETA / CHEQUE", 3%, IF(OR(E73="FINANCIADO", E73="MCP"), 2.5%, "")))</f>
        <v/>
      </c>
      <c r="G73" s="98" t="str">
        <f aca="false">IF(F73="", "", F73*D73)</f>
        <v/>
      </c>
      <c r="H73" s="156" t="b">
        <f aca="false">FALSE()</f>
        <v>0</v>
      </c>
      <c r="I73" s="156" t="b">
        <f aca="false">FALSE()</f>
        <v>0</v>
      </c>
      <c r="J73" s="102"/>
      <c r="K73" s="96"/>
      <c r="L73" s="83"/>
      <c r="M73" s="103"/>
      <c r="N73" s="103"/>
      <c r="O73" s="103"/>
      <c r="P73" s="103"/>
      <c r="Q73" s="103"/>
      <c r="R73" s="83"/>
      <c r="S73" s="103"/>
      <c r="T73" s="103"/>
      <c r="U73" s="103"/>
    </row>
    <row r="74" customFormat="false" ht="22.5" hidden="false" customHeight="true" outlineLevel="0" collapsed="false">
      <c r="A74" s="110"/>
      <c r="B74" s="110"/>
      <c r="C74" s="110"/>
      <c r="D74" s="122"/>
      <c r="E74" s="110"/>
      <c r="F74" s="111" t="str">
        <f aca="false">IF(E74="CONTADO", 4%, IF(E74="TARJETA / CHEQUE", 3%, IF(OR(E74="FINANCIADO", E74="MCP"), 2.5%, "")))</f>
        <v/>
      </c>
      <c r="G74" s="109" t="str">
        <f aca="false">IF(F74="", "", F74*D74)</f>
        <v/>
      </c>
      <c r="H74" s="157" t="b">
        <f aca="false">FALSE()</f>
        <v>0</v>
      </c>
      <c r="I74" s="157" t="b">
        <f aca="false">FALSE()</f>
        <v>0</v>
      </c>
      <c r="J74" s="113"/>
      <c r="K74" s="107"/>
      <c r="L74" s="83"/>
      <c r="M74" s="103"/>
      <c r="N74" s="103"/>
      <c r="O74" s="103"/>
      <c r="P74" s="103"/>
      <c r="Q74" s="103"/>
      <c r="R74" s="83"/>
      <c r="S74" s="103"/>
      <c r="T74" s="103"/>
      <c r="U74" s="103"/>
    </row>
    <row r="75" customFormat="false" ht="22.5" hidden="false" customHeight="true" outlineLevel="0" collapsed="false">
      <c r="A75" s="99"/>
      <c r="B75" s="99"/>
      <c r="C75" s="99"/>
      <c r="D75" s="121"/>
      <c r="E75" s="99"/>
      <c r="F75" s="100" t="str">
        <f aca="false">IF(E75="CONTADO", 4%, IF(E75="TARJETA / CHEQUE", 3%, IF(OR(E75="FINANCIADO", E75="MCP"), 2.5%, "")))</f>
        <v/>
      </c>
      <c r="G75" s="98" t="str">
        <f aca="false">IF(F75="", "", F75*D75)</f>
        <v/>
      </c>
      <c r="H75" s="156" t="b">
        <f aca="false">FALSE()</f>
        <v>0</v>
      </c>
      <c r="I75" s="156" t="b">
        <f aca="false">FALSE()</f>
        <v>0</v>
      </c>
      <c r="J75" s="102"/>
      <c r="K75" s="96"/>
      <c r="L75" s="83"/>
      <c r="M75" s="103"/>
      <c r="N75" s="103"/>
      <c r="O75" s="103"/>
      <c r="P75" s="103"/>
      <c r="Q75" s="103"/>
      <c r="R75" s="83"/>
      <c r="S75" s="103"/>
      <c r="T75" s="103"/>
      <c r="U75" s="103"/>
    </row>
    <row r="76" customFormat="false" ht="22.5" hidden="false" customHeight="true" outlineLevel="0" collapsed="false">
      <c r="A76" s="110"/>
      <c r="B76" s="110"/>
      <c r="C76" s="110"/>
      <c r="D76" s="122"/>
      <c r="E76" s="110"/>
      <c r="F76" s="111" t="str">
        <f aca="false">IF(E76="CONTADO", 4%, IF(E76="TARJETA / CHEQUE", 3%, IF(OR(E76="FINANCIADO", E76="MCP"), 2.5%, "")))</f>
        <v/>
      </c>
      <c r="G76" s="109" t="str">
        <f aca="false">IF(F76="", "", F76*D76)</f>
        <v/>
      </c>
      <c r="H76" s="157" t="b">
        <f aca="false">FALSE()</f>
        <v>0</v>
      </c>
      <c r="I76" s="157" t="b">
        <f aca="false">FALSE()</f>
        <v>0</v>
      </c>
      <c r="J76" s="113"/>
      <c r="K76" s="107"/>
      <c r="L76" s="83"/>
      <c r="M76" s="103"/>
      <c r="N76" s="103"/>
      <c r="O76" s="103"/>
      <c r="P76" s="103"/>
      <c r="Q76" s="103"/>
      <c r="R76" s="83"/>
      <c r="S76" s="103"/>
      <c r="T76" s="103"/>
      <c r="U76" s="103"/>
    </row>
    <row r="77" customFormat="false" ht="22.5" hidden="false" customHeight="true" outlineLevel="0" collapsed="false">
      <c r="A77" s="99"/>
      <c r="B77" s="99"/>
      <c r="C77" s="99"/>
      <c r="D77" s="121"/>
      <c r="E77" s="99"/>
      <c r="F77" s="100" t="str">
        <f aca="false">IF(E77="CONTADO", 4%, IF(E77="TARJETA / CHEQUE", 3%, IF(OR(E77="FINANCIADO", E77="MCP"), 2.5%, "")))</f>
        <v/>
      </c>
      <c r="G77" s="98" t="str">
        <f aca="false">IF(F77="", "", F77*D77)</f>
        <v/>
      </c>
      <c r="H77" s="156" t="b">
        <f aca="false">FALSE()</f>
        <v>0</v>
      </c>
      <c r="I77" s="156" t="b">
        <f aca="false">FALSE()</f>
        <v>0</v>
      </c>
      <c r="J77" s="102"/>
      <c r="K77" s="96"/>
      <c r="L77" s="83"/>
      <c r="M77" s="103"/>
      <c r="N77" s="103"/>
      <c r="O77" s="103"/>
      <c r="P77" s="103"/>
      <c r="Q77" s="103"/>
      <c r="R77" s="83"/>
      <c r="S77" s="103"/>
      <c r="T77" s="103"/>
      <c r="U77" s="103"/>
    </row>
    <row r="78" customFormat="false" ht="22.5" hidden="false" customHeight="true" outlineLevel="0" collapsed="false">
      <c r="A78" s="110"/>
      <c r="B78" s="110"/>
      <c r="C78" s="110"/>
      <c r="D78" s="122"/>
      <c r="E78" s="110"/>
      <c r="F78" s="111" t="str">
        <f aca="false">IF(E78="CONTADO", 4%, IF(E78="TARJETA / CHEQUE", 3%, IF(OR(E78="FINANCIADO", E78="MCP"), 2.5%, "")))</f>
        <v/>
      </c>
      <c r="G78" s="109" t="str">
        <f aca="false">IF(F78="", "", F78*D78)</f>
        <v/>
      </c>
      <c r="H78" s="157" t="b">
        <f aca="false">FALSE()</f>
        <v>0</v>
      </c>
      <c r="I78" s="157" t="b">
        <f aca="false">FALSE()</f>
        <v>0</v>
      </c>
      <c r="J78" s="113"/>
      <c r="K78" s="107"/>
      <c r="L78" s="83"/>
      <c r="M78" s="103"/>
      <c r="N78" s="103"/>
      <c r="O78" s="103"/>
      <c r="P78" s="103"/>
      <c r="Q78" s="103"/>
      <c r="R78" s="83"/>
      <c r="S78" s="103"/>
      <c r="T78" s="103"/>
      <c r="U78" s="103"/>
    </row>
    <row r="79" customFormat="false" ht="22.5" hidden="false" customHeight="true" outlineLevel="0" collapsed="false">
      <c r="A79" s="99"/>
      <c r="B79" s="99"/>
      <c r="C79" s="99"/>
      <c r="D79" s="121"/>
      <c r="E79" s="99"/>
      <c r="F79" s="100" t="str">
        <f aca="false">IF(E79="CONTADO", 4%, IF(E79="TARJETA / CHEQUE", 3%, IF(OR(E79="FINANCIADO", E79="MCP"), 2.5%, "")))</f>
        <v/>
      </c>
      <c r="G79" s="98" t="str">
        <f aca="false">IF(F79="", "", F79*D79)</f>
        <v/>
      </c>
      <c r="H79" s="156" t="b">
        <f aca="false">FALSE()</f>
        <v>0</v>
      </c>
      <c r="I79" s="156" t="b">
        <f aca="false">FALSE()</f>
        <v>0</v>
      </c>
      <c r="J79" s="102"/>
      <c r="K79" s="96"/>
      <c r="L79" s="83"/>
      <c r="M79" s="103"/>
      <c r="N79" s="103"/>
      <c r="O79" s="103"/>
      <c r="P79" s="103"/>
      <c r="Q79" s="103"/>
      <c r="R79" s="83"/>
      <c r="S79" s="103"/>
      <c r="T79" s="103"/>
      <c r="U79" s="103"/>
    </row>
    <row r="80" customFormat="false" ht="22.5" hidden="false" customHeight="true" outlineLevel="0" collapsed="false">
      <c r="A80" s="110"/>
      <c r="B80" s="110"/>
      <c r="C80" s="110"/>
      <c r="D80" s="122"/>
      <c r="E80" s="110"/>
      <c r="F80" s="111" t="str">
        <f aca="false">IF(E80="CONTADO", 4%, IF(E80="TARJETA / CHEQUE", 3%, IF(OR(E80="FINANCIADO", E80="MCP"), 2.5%, "")))</f>
        <v/>
      </c>
      <c r="G80" s="109" t="str">
        <f aca="false">IF(F80="", "", F80*D80)</f>
        <v/>
      </c>
      <c r="H80" s="157" t="b">
        <f aca="false">FALSE()</f>
        <v>0</v>
      </c>
      <c r="I80" s="157" t="b">
        <f aca="false">FALSE()</f>
        <v>0</v>
      </c>
      <c r="J80" s="113"/>
      <c r="K80" s="107"/>
      <c r="L80" s="83"/>
      <c r="M80" s="103"/>
      <c r="N80" s="103"/>
      <c r="O80" s="103"/>
      <c r="P80" s="103"/>
      <c r="Q80" s="103"/>
      <c r="R80" s="83"/>
      <c r="S80" s="103"/>
      <c r="T80" s="103"/>
      <c r="U80" s="103"/>
    </row>
    <row r="81" customFormat="false" ht="22.5" hidden="false" customHeight="true" outlineLevel="0" collapsed="false">
      <c r="A81" s="99"/>
      <c r="B81" s="99"/>
      <c r="C81" s="99"/>
      <c r="D81" s="121"/>
      <c r="E81" s="99"/>
      <c r="F81" s="100" t="str">
        <f aca="false">IF(E81="CONTADO", 4%, IF(E81="TARJETA / CHEQUE", 3%, IF(OR(E81="FINANCIADO", E81="MCP"), 2.5%, "")))</f>
        <v/>
      </c>
      <c r="G81" s="98" t="str">
        <f aca="false">IF(F81="", "", F81*D81)</f>
        <v/>
      </c>
      <c r="H81" s="156" t="b">
        <f aca="false">FALSE()</f>
        <v>0</v>
      </c>
      <c r="I81" s="156" t="b">
        <f aca="false">FALSE()</f>
        <v>0</v>
      </c>
      <c r="J81" s="102"/>
      <c r="K81" s="96"/>
      <c r="L81" s="83"/>
      <c r="M81" s="103"/>
      <c r="N81" s="103"/>
      <c r="O81" s="103"/>
      <c r="P81" s="103"/>
      <c r="Q81" s="103"/>
      <c r="R81" s="83"/>
      <c r="S81" s="103"/>
      <c r="T81" s="103"/>
      <c r="U81" s="103"/>
    </row>
    <row r="82" customFormat="false" ht="22.5" hidden="false" customHeight="true" outlineLevel="0" collapsed="false">
      <c r="A82" s="110"/>
      <c r="B82" s="110"/>
      <c r="C82" s="110"/>
      <c r="D82" s="122"/>
      <c r="E82" s="110"/>
      <c r="F82" s="111" t="str">
        <f aca="false">IF(E82="CONTADO", 4%, IF(E82="TARJETA / CHEQUE", 3%, IF(OR(E82="FINANCIADO", E82="MCP"), 2.5%, "")))</f>
        <v/>
      </c>
      <c r="G82" s="109" t="str">
        <f aca="false">IF(F82="", "", F82*D82)</f>
        <v/>
      </c>
      <c r="H82" s="157" t="b">
        <f aca="false">FALSE()</f>
        <v>0</v>
      </c>
      <c r="I82" s="157" t="b">
        <f aca="false">FALSE()</f>
        <v>0</v>
      </c>
      <c r="J82" s="113"/>
      <c r="K82" s="107"/>
      <c r="L82" s="83"/>
      <c r="M82" s="103"/>
      <c r="N82" s="103"/>
      <c r="O82" s="103"/>
      <c r="P82" s="103"/>
      <c r="Q82" s="103"/>
      <c r="R82" s="83"/>
      <c r="S82" s="103"/>
      <c r="T82" s="103"/>
      <c r="U82" s="103"/>
    </row>
    <row r="83" customFormat="false" ht="22.5" hidden="false" customHeight="true" outlineLevel="0" collapsed="false">
      <c r="A83" s="99"/>
      <c r="B83" s="99"/>
      <c r="C83" s="99"/>
      <c r="D83" s="121"/>
      <c r="E83" s="99"/>
      <c r="F83" s="100" t="str">
        <f aca="false">IF(E83="CONTADO", 4%, IF(E83="TARJETA / CHEQUE", 3%, IF(OR(E83="FINANCIADO", E83="MCP"), 2.5%, "")))</f>
        <v/>
      </c>
      <c r="G83" s="98" t="str">
        <f aca="false">IF(F83="", "", F83*D83)</f>
        <v/>
      </c>
      <c r="H83" s="156" t="b">
        <f aca="false">FALSE()</f>
        <v>0</v>
      </c>
      <c r="I83" s="156" t="b">
        <f aca="false">FALSE()</f>
        <v>0</v>
      </c>
      <c r="J83" s="102"/>
      <c r="K83" s="96"/>
      <c r="L83" s="83"/>
      <c r="M83" s="103"/>
      <c r="N83" s="103"/>
      <c r="O83" s="103"/>
      <c r="P83" s="103"/>
      <c r="Q83" s="103"/>
      <c r="R83" s="83"/>
      <c r="S83" s="103"/>
      <c r="T83" s="103"/>
      <c r="U83" s="103"/>
    </row>
    <row r="84" customFormat="false" ht="22.5" hidden="false" customHeight="true" outlineLevel="0" collapsed="false">
      <c r="A84" s="110"/>
      <c r="B84" s="110"/>
      <c r="C84" s="110"/>
      <c r="D84" s="122"/>
      <c r="E84" s="110"/>
      <c r="F84" s="111" t="str">
        <f aca="false">IF(E84="CONTADO", 4%, IF(E84="TARJETA / CHEQUE", 3%, IF(OR(E84="FINANCIADO", E84="MCP"), 2.5%, "")))</f>
        <v/>
      </c>
      <c r="G84" s="109" t="str">
        <f aca="false">IF(F84="", "", F84*D84)</f>
        <v/>
      </c>
      <c r="H84" s="157" t="b">
        <f aca="false">FALSE()</f>
        <v>0</v>
      </c>
      <c r="I84" s="157" t="b">
        <f aca="false">FALSE()</f>
        <v>0</v>
      </c>
      <c r="J84" s="113"/>
      <c r="K84" s="107"/>
      <c r="L84" s="83"/>
      <c r="M84" s="103"/>
      <c r="N84" s="103"/>
      <c r="O84" s="103"/>
      <c r="P84" s="103"/>
      <c r="Q84" s="103"/>
      <c r="R84" s="83"/>
      <c r="S84" s="103"/>
      <c r="T84" s="103"/>
      <c r="U84" s="103"/>
    </row>
    <row r="85" customFormat="false" ht="22.5" hidden="false" customHeight="true" outlineLevel="0" collapsed="false">
      <c r="A85" s="99"/>
      <c r="B85" s="99"/>
      <c r="C85" s="99"/>
      <c r="D85" s="121"/>
      <c r="E85" s="99"/>
      <c r="F85" s="100" t="str">
        <f aca="false">IF(E85="CONTADO", 4%, IF(E85="TARJETA / CHEQUE", 3%, IF(OR(E85="FINANCIADO", E85="MCP"), 2.5%, "")))</f>
        <v/>
      </c>
      <c r="G85" s="98" t="str">
        <f aca="false">IF(F85="", "", F85*D85)</f>
        <v/>
      </c>
      <c r="H85" s="156" t="b">
        <f aca="false">FALSE()</f>
        <v>0</v>
      </c>
      <c r="I85" s="156" t="b">
        <f aca="false">FALSE()</f>
        <v>0</v>
      </c>
      <c r="J85" s="102"/>
      <c r="K85" s="96"/>
      <c r="L85" s="83"/>
      <c r="M85" s="103"/>
      <c r="N85" s="103"/>
      <c r="O85" s="103"/>
      <c r="P85" s="103"/>
      <c r="Q85" s="103"/>
      <c r="R85" s="83"/>
      <c r="S85" s="103"/>
      <c r="T85" s="103"/>
      <c r="U85" s="103"/>
    </row>
    <row r="86" customFormat="false" ht="22.5" hidden="false" customHeight="true" outlineLevel="0" collapsed="false">
      <c r="A86" s="110"/>
      <c r="B86" s="110"/>
      <c r="C86" s="110"/>
      <c r="D86" s="122"/>
      <c r="E86" s="110"/>
      <c r="F86" s="111" t="str">
        <f aca="false">IF(E86="CONTADO", 4%, IF(E86="TARJETA / CHEQUE", 3%, IF(OR(E86="FINANCIADO", E86="MCP"), 2.5%, "")))</f>
        <v/>
      </c>
      <c r="G86" s="109" t="str">
        <f aca="false">IF(F86="", "", F86*D86)</f>
        <v/>
      </c>
      <c r="H86" s="157" t="b">
        <f aca="false">FALSE()</f>
        <v>0</v>
      </c>
      <c r="I86" s="157" t="b">
        <f aca="false">FALSE()</f>
        <v>0</v>
      </c>
      <c r="J86" s="113"/>
      <c r="K86" s="107"/>
      <c r="L86" s="83"/>
      <c r="M86" s="103"/>
      <c r="N86" s="103"/>
      <c r="O86" s="103"/>
      <c r="P86" s="103"/>
      <c r="Q86" s="103"/>
      <c r="R86" s="83"/>
      <c r="S86" s="103"/>
      <c r="T86" s="103"/>
      <c r="U86" s="103"/>
    </row>
    <row r="87" customFormat="false" ht="22.5" hidden="false" customHeight="true" outlineLevel="0" collapsed="false">
      <c r="A87" s="99"/>
      <c r="B87" s="99"/>
      <c r="C87" s="99"/>
      <c r="D87" s="121"/>
      <c r="E87" s="99"/>
      <c r="F87" s="100" t="str">
        <f aca="false">IF(E87="CONTADO", 4%, IF(E87="TARJETA / CHEQUE", 3%, IF(OR(E87="FINANCIADO", E87="MCP"), 2.5%, "")))</f>
        <v/>
      </c>
      <c r="G87" s="98" t="str">
        <f aca="false">IF(F87="", "", F87*D87)</f>
        <v/>
      </c>
      <c r="H87" s="156" t="b">
        <f aca="false">FALSE()</f>
        <v>0</v>
      </c>
      <c r="I87" s="156" t="b">
        <f aca="false">FALSE()</f>
        <v>0</v>
      </c>
      <c r="J87" s="102"/>
      <c r="K87" s="96"/>
      <c r="L87" s="83"/>
      <c r="M87" s="103"/>
      <c r="N87" s="103"/>
      <c r="O87" s="103"/>
      <c r="P87" s="103"/>
      <c r="Q87" s="103"/>
      <c r="R87" s="83"/>
      <c r="S87" s="103"/>
      <c r="T87" s="103"/>
      <c r="U87" s="103"/>
    </row>
    <row r="88" customFormat="false" ht="22.5" hidden="false" customHeight="true" outlineLevel="0" collapsed="false">
      <c r="A88" s="110"/>
      <c r="B88" s="110"/>
      <c r="C88" s="110"/>
      <c r="D88" s="122"/>
      <c r="E88" s="110"/>
      <c r="F88" s="111" t="str">
        <f aca="false">IF(E88="CONTADO", 4%, IF(E88="TARJETA / CHEQUE", 3%, IF(OR(E88="FINANCIADO", E88="MCP"), 2.5%, "")))</f>
        <v/>
      </c>
      <c r="G88" s="109" t="str">
        <f aca="false">IF(F88="", "", F88*D88)</f>
        <v/>
      </c>
      <c r="H88" s="157" t="b">
        <f aca="false">FALSE()</f>
        <v>0</v>
      </c>
      <c r="I88" s="157" t="b">
        <f aca="false">FALSE()</f>
        <v>0</v>
      </c>
      <c r="J88" s="113"/>
      <c r="K88" s="107"/>
      <c r="L88" s="83"/>
      <c r="M88" s="103"/>
      <c r="N88" s="103"/>
      <c r="O88" s="103"/>
      <c r="P88" s="103"/>
      <c r="Q88" s="103"/>
      <c r="R88" s="83"/>
      <c r="S88" s="103"/>
      <c r="T88" s="103"/>
      <c r="U88" s="103"/>
    </row>
    <row r="89" customFormat="false" ht="22.5" hidden="false" customHeight="true" outlineLevel="0" collapsed="false">
      <c r="A89" s="99"/>
      <c r="B89" s="99"/>
      <c r="C89" s="99"/>
      <c r="D89" s="121"/>
      <c r="E89" s="99"/>
      <c r="F89" s="100" t="str">
        <f aca="false">IF(E89="CONTADO", 4%, IF(E89="TARJETA / CHEQUE", 3%, IF(OR(E89="FINANCIADO", E89="MCP"), 2.5%, "")))</f>
        <v/>
      </c>
      <c r="G89" s="98" t="str">
        <f aca="false">IF(F89="", "", F89*D89)</f>
        <v/>
      </c>
      <c r="H89" s="156" t="b">
        <f aca="false">FALSE()</f>
        <v>0</v>
      </c>
      <c r="I89" s="156" t="b">
        <f aca="false">FALSE()</f>
        <v>0</v>
      </c>
      <c r="J89" s="102"/>
      <c r="K89" s="96"/>
      <c r="L89" s="83"/>
      <c r="M89" s="103"/>
      <c r="N89" s="103"/>
      <c r="O89" s="103"/>
      <c r="P89" s="103"/>
      <c r="Q89" s="103"/>
      <c r="R89" s="83"/>
      <c r="S89" s="103"/>
      <c r="T89" s="103"/>
      <c r="U89" s="103"/>
    </row>
    <row r="90" customFormat="false" ht="22.5" hidden="false" customHeight="true" outlineLevel="0" collapsed="false">
      <c r="A90" s="110"/>
      <c r="B90" s="110"/>
      <c r="C90" s="110"/>
      <c r="D90" s="122"/>
      <c r="E90" s="110"/>
      <c r="F90" s="111" t="str">
        <f aca="false">IF(E90="CONTADO", 4%, IF(E90="TARJETA / CHEQUE", 3%, IF(OR(E90="FINANCIADO", E90="MCP"), 2.5%, "")))</f>
        <v/>
      </c>
      <c r="G90" s="109" t="str">
        <f aca="false">IF(F90="", "", F90*D90)</f>
        <v/>
      </c>
      <c r="H90" s="157" t="b">
        <f aca="false">FALSE()</f>
        <v>0</v>
      </c>
      <c r="I90" s="157" t="b">
        <f aca="false">FALSE()</f>
        <v>0</v>
      </c>
      <c r="J90" s="113"/>
      <c r="K90" s="107"/>
      <c r="L90" s="83"/>
      <c r="M90" s="103"/>
      <c r="N90" s="103"/>
      <c r="O90" s="103"/>
      <c r="P90" s="103"/>
      <c r="Q90" s="103"/>
      <c r="R90" s="83"/>
      <c r="S90" s="103"/>
      <c r="T90" s="103"/>
      <c r="U90" s="103"/>
    </row>
    <row r="91" customFormat="false" ht="22.5" hidden="false" customHeight="true" outlineLevel="0" collapsed="false">
      <c r="A91" s="99"/>
      <c r="B91" s="99"/>
      <c r="C91" s="99"/>
      <c r="D91" s="121"/>
      <c r="E91" s="99"/>
      <c r="F91" s="100" t="str">
        <f aca="false">IF(E91="CONTADO", 4%, IF(E91="TARJETA / CHEQUE", 3%, IF(OR(E91="FINANCIADO", E91="MCP"), 2.5%, "")))</f>
        <v/>
      </c>
      <c r="G91" s="98" t="str">
        <f aca="false">IF(F91="", "", F91*D91)</f>
        <v/>
      </c>
      <c r="H91" s="156" t="b">
        <f aca="false">FALSE()</f>
        <v>0</v>
      </c>
      <c r="I91" s="156" t="b">
        <f aca="false">FALSE()</f>
        <v>0</v>
      </c>
      <c r="J91" s="102"/>
      <c r="K91" s="96"/>
      <c r="L91" s="83"/>
      <c r="M91" s="103"/>
      <c r="N91" s="103"/>
      <c r="O91" s="103"/>
      <c r="P91" s="103"/>
      <c r="Q91" s="103"/>
      <c r="R91" s="83"/>
      <c r="S91" s="103"/>
      <c r="T91" s="103"/>
      <c r="U91" s="103"/>
    </row>
    <row r="92" customFormat="false" ht="22.5" hidden="false" customHeight="true" outlineLevel="0" collapsed="false">
      <c r="A92" s="110"/>
      <c r="B92" s="110"/>
      <c r="C92" s="110"/>
      <c r="D92" s="122"/>
      <c r="E92" s="110"/>
      <c r="F92" s="111" t="str">
        <f aca="false">IF(E92="CONTADO", 4%, IF(E92="TARJETA / CHEQUE", 3%, IF(OR(E92="FINANCIADO", E92="MCP"), 2.5%, "")))</f>
        <v/>
      </c>
      <c r="G92" s="109" t="str">
        <f aca="false">IF(F92="", "", F92*D92)</f>
        <v/>
      </c>
      <c r="H92" s="157" t="b">
        <f aca="false">FALSE()</f>
        <v>0</v>
      </c>
      <c r="I92" s="157" t="b">
        <f aca="false">FALSE()</f>
        <v>0</v>
      </c>
      <c r="J92" s="113"/>
      <c r="K92" s="107"/>
      <c r="L92" s="83"/>
      <c r="M92" s="103"/>
      <c r="N92" s="103"/>
      <c r="O92" s="103"/>
      <c r="P92" s="103"/>
      <c r="Q92" s="103"/>
      <c r="R92" s="83"/>
      <c r="S92" s="103"/>
      <c r="T92" s="103"/>
      <c r="U92" s="103"/>
    </row>
    <row r="93" customFormat="false" ht="22.5" hidden="false" customHeight="true" outlineLevel="0" collapsed="false">
      <c r="A93" s="99"/>
      <c r="B93" s="99"/>
      <c r="C93" s="99"/>
      <c r="D93" s="121"/>
      <c r="E93" s="99"/>
      <c r="F93" s="100" t="str">
        <f aca="false">IF(E93="CONTADO", 4%, IF(E93="TARJETA / CHEQUE", 3%, IF(OR(E93="FINANCIADO", E93="MCP"), 2.5%, "")))</f>
        <v/>
      </c>
      <c r="G93" s="98" t="str">
        <f aca="false">IF(F93="", "", F93*D93)</f>
        <v/>
      </c>
      <c r="H93" s="156" t="b">
        <f aca="false">FALSE()</f>
        <v>0</v>
      </c>
      <c r="I93" s="156" t="b">
        <f aca="false">FALSE()</f>
        <v>0</v>
      </c>
      <c r="J93" s="102"/>
      <c r="K93" s="96"/>
      <c r="L93" s="83"/>
      <c r="M93" s="103"/>
      <c r="N93" s="103"/>
      <c r="O93" s="103"/>
      <c r="P93" s="103"/>
      <c r="Q93" s="103"/>
      <c r="R93" s="83"/>
      <c r="S93" s="103"/>
      <c r="T93" s="103"/>
      <c r="U93" s="103"/>
    </row>
    <row r="94" customFormat="false" ht="22.5" hidden="false" customHeight="true" outlineLevel="0" collapsed="false">
      <c r="A94" s="110"/>
      <c r="B94" s="110"/>
      <c r="C94" s="110"/>
      <c r="D94" s="122"/>
      <c r="E94" s="110"/>
      <c r="F94" s="111" t="str">
        <f aca="false">IF(E94="CONTADO", 4%, IF(E94="TARJETA / CHEQUE", 3%, IF(OR(E94="FINANCIADO", E94="MCP"), 2.5%, "")))</f>
        <v/>
      </c>
      <c r="G94" s="109" t="str">
        <f aca="false">IF(F94="", "", F94*D94)</f>
        <v/>
      </c>
      <c r="H94" s="157" t="b">
        <f aca="false">FALSE()</f>
        <v>0</v>
      </c>
      <c r="I94" s="157" t="b">
        <f aca="false">FALSE()</f>
        <v>0</v>
      </c>
      <c r="J94" s="113"/>
      <c r="K94" s="107"/>
      <c r="L94" s="83"/>
      <c r="M94" s="103"/>
      <c r="N94" s="103"/>
      <c r="O94" s="103"/>
      <c r="P94" s="103"/>
      <c r="Q94" s="103"/>
      <c r="R94" s="83"/>
      <c r="S94" s="103"/>
      <c r="T94" s="103"/>
      <c r="U94" s="103"/>
    </row>
    <row r="95" customFormat="false" ht="22.5" hidden="false" customHeight="true" outlineLevel="0" collapsed="false">
      <c r="A95" s="99"/>
      <c r="B95" s="99"/>
      <c r="C95" s="99"/>
      <c r="D95" s="121"/>
      <c r="E95" s="99"/>
      <c r="F95" s="100" t="str">
        <f aca="false">IF(E95="CONTADO", 4%, IF(E95="TARJETA / CHEQUE", 3%, IF(OR(E95="FINANCIADO", E95="MCP"), 2.5%, "")))</f>
        <v/>
      </c>
      <c r="G95" s="98" t="str">
        <f aca="false">IF(F95="", "", F95*D95)</f>
        <v/>
      </c>
      <c r="H95" s="156" t="b">
        <f aca="false">FALSE()</f>
        <v>0</v>
      </c>
      <c r="I95" s="156" t="b">
        <f aca="false">FALSE()</f>
        <v>0</v>
      </c>
      <c r="J95" s="102"/>
      <c r="K95" s="96"/>
      <c r="L95" s="83"/>
      <c r="M95" s="103"/>
      <c r="N95" s="103"/>
      <c r="O95" s="103"/>
      <c r="P95" s="103"/>
      <c r="Q95" s="103"/>
      <c r="R95" s="83"/>
      <c r="S95" s="103"/>
      <c r="T95" s="103"/>
      <c r="U95" s="103"/>
    </row>
    <row r="96" customFormat="false" ht="22.5" hidden="false" customHeight="true" outlineLevel="0" collapsed="false">
      <c r="A96" s="110"/>
      <c r="B96" s="110"/>
      <c r="C96" s="110"/>
      <c r="D96" s="122"/>
      <c r="E96" s="110"/>
      <c r="F96" s="111" t="str">
        <f aca="false">IF(E96="CONTADO", 4%, IF(E96="TARJETA / CHEQUE", 3%, IF(OR(E96="FINANCIADO", E96="MCP"), 2.5%, "")))</f>
        <v/>
      </c>
      <c r="G96" s="109" t="str">
        <f aca="false">IF(F96="", "", F96*D96)</f>
        <v/>
      </c>
      <c r="H96" s="157" t="b">
        <f aca="false">FALSE()</f>
        <v>0</v>
      </c>
      <c r="I96" s="157" t="b">
        <f aca="false">FALSE()</f>
        <v>0</v>
      </c>
      <c r="J96" s="113"/>
      <c r="K96" s="107"/>
      <c r="L96" s="83"/>
      <c r="M96" s="103"/>
      <c r="N96" s="103"/>
      <c r="O96" s="103"/>
      <c r="P96" s="103"/>
      <c r="Q96" s="103"/>
      <c r="R96" s="83"/>
      <c r="S96" s="103"/>
      <c r="T96" s="103"/>
      <c r="U96" s="103"/>
    </row>
    <row r="97" customFormat="false" ht="22.5" hidden="false" customHeight="true" outlineLevel="0" collapsed="false">
      <c r="A97" s="99"/>
      <c r="B97" s="99"/>
      <c r="C97" s="99"/>
      <c r="D97" s="121"/>
      <c r="E97" s="99"/>
      <c r="F97" s="100" t="str">
        <f aca="false">IF(E97="CONTADO", 4%, IF(E97="TARJETA / CHEQUE", 3%, IF(OR(E97="FINANCIADO", E97="MCP"), 2.5%, "")))</f>
        <v/>
      </c>
      <c r="G97" s="98" t="str">
        <f aca="false">IF(F97="", "", F97*D97)</f>
        <v/>
      </c>
      <c r="H97" s="156" t="b">
        <f aca="false">FALSE()</f>
        <v>0</v>
      </c>
      <c r="I97" s="156" t="b">
        <f aca="false">FALSE()</f>
        <v>0</v>
      </c>
      <c r="J97" s="102"/>
      <c r="K97" s="96"/>
      <c r="L97" s="83"/>
      <c r="M97" s="103"/>
      <c r="N97" s="103"/>
      <c r="O97" s="103"/>
      <c r="P97" s="103"/>
      <c r="Q97" s="103"/>
      <c r="R97" s="83"/>
      <c r="S97" s="103"/>
      <c r="T97" s="103"/>
      <c r="U97" s="103"/>
    </row>
    <row r="98" customFormat="false" ht="22.5" hidden="false" customHeight="true" outlineLevel="0" collapsed="false">
      <c r="A98" s="110"/>
      <c r="B98" s="110"/>
      <c r="C98" s="110"/>
      <c r="D98" s="122"/>
      <c r="E98" s="110"/>
      <c r="F98" s="111" t="str">
        <f aca="false">IF(E98="CONTADO", 4%, IF(E98="TARJETA / CHEQUE", 3%, IF(OR(E98="FINANCIADO", E98="MCP"), 2.5%, "")))</f>
        <v/>
      </c>
      <c r="G98" s="109" t="str">
        <f aca="false">IF(F98="", "", F98*D98)</f>
        <v/>
      </c>
      <c r="H98" s="157" t="b">
        <f aca="false">FALSE()</f>
        <v>0</v>
      </c>
      <c r="I98" s="157" t="b">
        <f aca="false">FALSE()</f>
        <v>0</v>
      </c>
      <c r="J98" s="113"/>
      <c r="K98" s="107"/>
      <c r="L98" s="83"/>
      <c r="M98" s="103"/>
      <c r="N98" s="103"/>
      <c r="O98" s="103"/>
      <c r="P98" s="103"/>
      <c r="Q98" s="103"/>
      <c r="R98" s="83"/>
      <c r="S98" s="103"/>
      <c r="T98" s="103"/>
      <c r="U98" s="103"/>
    </row>
    <row r="99" customFormat="false" ht="22.5" hidden="false" customHeight="true" outlineLevel="0" collapsed="false">
      <c r="A99" s="99"/>
      <c r="B99" s="99"/>
      <c r="C99" s="99"/>
      <c r="D99" s="121"/>
      <c r="E99" s="99"/>
      <c r="F99" s="100" t="str">
        <f aca="false">IF(E99="CONTADO", 4%, IF(E99="TARJETA / CHEQUE", 3%, IF(OR(E99="FINANCIADO", E99="MCP"), 2.5%, "")))</f>
        <v/>
      </c>
      <c r="G99" s="98" t="str">
        <f aca="false">IF(F99="", "", F99*D99)</f>
        <v/>
      </c>
      <c r="H99" s="156" t="b">
        <f aca="false">FALSE()</f>
        <v>0</v>
      </c>
      <c r="I99" s="156" t="b">
        <f aca="false">FALSE()</f>
        <v>0</v>
      </c>
      <c r="J99" s="102"/>
      <c r="K99" s="96"/>
      <c r="L99" s="83"/>
      <c r="M99" s="103"/>
      <c r="N99" s="103"/>
      <c r="O99" s="103"/>
      <c r="P99" s="103"/>
      <c r="Q99" s="103"/>
      <c r="R99" s="83"/>
      <c r="S99" s="103"/>
      <c r="T99" s="103"/>
      <c r="U99" s="103"/>
    </row>
    <row r="100" customFormat="false" ht="22.5" hidden="false" customHeight="true" outlineLevel="0" collapsed="false">
      <c r="A100" s="110"/>
      <c r="B100" s="110"/>
      <c r="C100" s="110"/>
      <c r="D100" s="122"/>
      <c r="E100" s="110"/>
      <c r="F100" s="111" t="str">
        <f aca="false">IF(E100="CONTADO", 4%, IF(E100="TARJETA / CHEQUE", 3%, IF(OR(E100="FINANCIADO", E100="MCP"), 2.5%, "")))</f>
        <v/>
      </c>
      <c r="G100" s="109" t="str">
        <f aca="false">IF(F100="", "", F100*D100)</f>
        <v/>
      </c>
      <c r="H100" s="157" t="b">
        <f aca="false">FALSE()</f>
        <v>0</v>
      </c>
      <c r="I100" s="157" t="b">
        <f aca="false">FALSE()</f>
        <v>0</v>
      </c>
      <c r="J100" s="113"/>
      <c r="K100" s="107"/>
      <c r="L100" s="83"/>
      <c r="M100" s="103"/>
      <c r="N100" s="103"/>
      <c r="O100" s="103"/>
      <c r="P100" s="103"/>
      <c r="Q100" s="103"/>
      <c r="R100" s="83"/>
      <c r="S100" s="103"/>
      <c r="T100" s="103"/>
      <c r="U100" s="103"/>
    </row>
    <row r="101" customFormat="false" ht="22.5" hidden="false" customHeight="true" outlineLevel="0" collapsed="false">
      <c r="A101" s="99"/>
      <c r="B101" s="99"/>
      <c r="C101" s="99"/>
      <c r="D101" s="121"/>
      <c r="E101" s="99"/>
      <c r="F101" s="100" t="str">
        <f aca="false">IF(E101="CONTADO", 4%, IF(E101="TARJETA / CHEQUE", 3%, IF(OR(E101="FINANCIADO", E101="MCP"), 2.5%, "")))</f>
        <v/>
      </c>
      <c r="G101" s="98" t="str">
        <f aca="false">IF(F101="", "", F101*D101)</f>
        <v/>
      </c>
      <c r="H101" s="156" t="b">
        <f aca="false">FALSE()</f>
        <v>0</v>
      </c>
      <c r="I101" s="156" t="b">
        <f aca="false">FALSE()</f>
        <v>0</v>
      </c>
      <c r="J101" s="102"/>
      <c r="K101" s="96"/>
      <c r="L101" s="83"/>
      <c r="M101" s="103"/>
      <c r="N101" s="103"/>
      <c r="O101" s="103"/>
      <c r="P101" s="103"/>
      <c r="Q101" s="103"/>
      <c r="R101" s="83"/>
      <c r="S101" s="103"/>
      <c r="T101" s="103"/>
      <c r="U101" s="103"/>
    </row>
    <row r="102" customFormat="false" ht="22.5" hidden="false" customHeight="true" outlineLevel="0" collapsed="false">
      <c r="A102" s="110"/>
      <c r="B102" s="110"/>
      <c r="C102" s="110"/>
      <c r="D102" s="122"/>
      <c r="E102" s="110"/>
      <c r="F102" s="111" t="str">
        <f aca="false">IF(E102="CONTADO", 4%, IF(E102="TARJETA / CHEQUE", 3%, IF(OR(E102="FINANCIADO", E102="MCP"), 2.5%, "")))</f>
        <v/>
      </c>
      <c r="G102" s="109" t="str">
        <f aca="false">IF(F102="", "", F102*D102)</f>
        <v/>
      </c>
      <c r="H102" s="157" t="b">
        <f aca="false">FALSE()</f>
        <v>0</v>
      </c>
      <c r="I102" s="157" t="b">
        <f aca="false">FALSE()</f>
        <v>0</v>
      </c>
      <c r="J102" s="113"/>
      <c r="K102" s="107"/>
      <c r="L102" s="83"/>
      <c r="M102" s="103"/>
      <c r="N102" s="103"/>
      <c r="O102" s="103"/>
      <c r="P102" s="103"/>
      <c r="Q102" s="103"/>
      <c r="R102" s="83"/>
      <c r="S102" s="103"/>
      <c r="T102" s="103"/>
      <c r="U102" s="103"/>
    </row>
    <row r="103" customFormat="false" ht="22.5" hidden="false" customHeight="true" outlineLevel="0" collapsed="false">
      <c r="A103" s="99"/>
      <c r="B103" s="99"/>
      <c r="C103" s="99"/>
      <c r="D103" s="121"/>
      <c r="E103" s="99"/>
      <c r="F103" s="100" t="str">
        <f aca="false">IF(E103="CONTADO", 4%, IF(E103="TARJETA / CHEQUE", 3%, IF(OR(E103="FINANCIADO", E103="MCP"), 2.5%, "")))</f>
        <v/>
      </c>
      <c r="G103" s="98" t="str">
        <f aca="false">IF(F103="", "", F103*D103)</f>
        <v/>
      </c>
      <c r="H103" s="156" t="b">
        <f aca="false">FALSE()</f>
        <v>0</v>
      </c>
      <c r="I103" s="156" t="b">
        <f aca="false">FALSE()</f>
        <v>0</v>
      </c>
      <c r="J103" s="102"/>
      <c r="K103" s="96"/>
      <c r="L103" s="83"/>
      <c r="M103" s="103"/>
      <c r="N103" s="103"/>
      <c r="O103" s="103"/>
      <c r="P103" s="103"/>
      <c r="Q103" s="103"/>
      <c r="R103" s="83"/>
      <c r="S103" s="103"/>
      <c r="T103" s="103"/>
      <c r="U103" s="103"/>
    </row>
    <row r="104" customFormat="false" ht="22.5" hidden="false" customHeight="true" outlineLevel="0" collapsed="false">
      <c r="A104" s="110"/>
      <c r="B104" s="110"/>
      <c r="C104" s="110"/>
      <c r="D104" s="122"/>
      <c r="E104" s="110"/>
      <c r="F104" s="111" t="str">
        <f aca="false">IF(E104="CONTADO", 4%, IF(E104="TARJETA / CHEQUE", 3%, IF(OR(E104="FINANCIADO", E104="MCP"), 2.5%, "")))</f>
        <v/>
      </c>
      <c r="G104" s="109" t="str">
        <f aca="false">IF(F104="", "", F104*D104)</f>
        <v/>
      </c>
      <c r="H104" s="157" t="b">
        <f aca="false">FALSE()</f>
        <v>0</v>
      </c>
      <c r="I104" s="157" t="b">
        <f aca="false">FALSE()</f>
        <v>0</v>
      </c>
      <c r="J104" s="113"/>
      <c r="K104" s="107"/>
      <c r="L104" s="83"/>
      <c r="M104" s="103"/>
      <c r="N104" s="103"/>
      <c r="O104" s="103"/>
      <c r="P104" s="103"/>
      <c r="Q104" s="103"/>
      <c r="R104" s="83"/>
      <c r="S104" s="103"/>
      <c r="T104" s="103"/>
      <c r="U104" s="103"/>
    </row>
    <row r="105" customFormat="false" ht="22.5" hidden="false" customHeight="true" outlineLevel="0" collapsed="false">
      <c r="A105" s="99"/>
      <c r="B105" s="99"/>
      <c r="C105" s="99"/>
      <c r="D105" s="121"/>
      <c r="E105" s="99"/>
      <c r="F105" s="100" t="str">
        <f aca="false">IF(E105="CONTADO", 4%, IF(E105="TARJETA / CHEQUE", 3%, IF(OR(E105="FINANCIADO", E105="MCP"), 2.5%, "")))</f>
        <v/>
      </c>
      <c r="G105" s="98" t="str">
        <f aca="false">IF(F105="", "", F105*D105)</f>
        <v/>
      </c>
      <c r="H105" s="156" t="b">
        <f aca="false">FALSE()</f>
        <v>0</v>
      </c>
      <c r="I105" s="156" t="b">
        <f aca="false">FALSE()</f>
        <v>0</v>
      </c>
      <c r="J105" s="102"/>
      <c r="K105" s="96"/>
      <c r="L105" s="83"/>
      <c r="M105" s="103"/>
      <c r="N105" s="103"/>
      <c r="O105" s="103"/>
      <c r="P105" s="103"/>
      <c r="Q105" s="103"/>
      <c r="R105" s="83"/>
      <c r="S105" s="103"/>
      <c r="T105" s="103"/>
      <c r="U105" s="103"/>
    </row>
    <row r="106" customFormat="false" ht="22.5" hidden="false" customHeight="true" outlineLevel="0" collapsed="false">
      <c r="A106" s="110"/>
      <c r="B106" s="110"/>
      <c r="C106" s="110"/>
      <c r="D106" s="122"/>
      <c r="E106" s="110"/>
      <c r="F106" s="111" t="str">
        <f aca="false">IF(E106="CONTADO", 4%, IF(E106="TARJETA / CHEQUE", 3%, IF(OR(E106="FINANCIADO", E106="MCP"), 2.5%, "")))</f>
        <v/>
      </c>
      <c r="G106" s="109" t="str">
        <f aca="false">IF(F106="", "", F106*D106)</f>
        <v/>
      </c>
      <c r="H106" s="157" t="b">
        <f aca="false">FALSE()</f>
        <v>0</v>
      </c>
      <c r="I106" s="157" t="b">
        <f aca="false">FALSE()</f>
        <v>0</v>
      </c>
      <c r="J106" s="113"/>
      <c r="K106" s="107"/>
      <c r="L106" s="83"/>
      <c r="M106" s="103"/>
      <c r="N106" s="103"/>
      <c r="O106" s="103"/>
      <c r="P106" s="103"/>
      <c r="Q106" s="103"/>
      <c r="R106" s="83"/>
      <c r="S106" s="103"/>
      <c r="T106" s="103"/>
      <c r="U106" s="103"/>
    </row>
    <row r="107" customFormat="false" ht="22.5" hidden="false" customHeight="true" outlineLevel="0" collapsed="false">
      <c r="A107" s="99"/>
      <c r="B107" s="99"/>
      <c r="C107" s="99"/>
      <c r="D107" s="121"/>
      <c r="E107" s="99"/>
      <c r="F107" s="100" t="str">
        <f aca="false">IF(E107="CONTADO", 4%, IF(E107="TARJETA / CHEQUE", 3%, IF(OR(E107="FINANCIADO", E107="MCP"), 2.5%, "")))</f>
        <v/>
      </c>
      <c r="G107" s="98" t="str">
        <f aca="false">IF(F107="", "", F107*D107)</f>
        <v/>
      </c>
      <c r="H107" s="156" t="b">
        <f aca="false">FALSE()</f>
        <v>0</v>
      </c>
      <c r="I107" s="156" t="b">
        <f aca="false">FALSE()</f>
        <v>0</v>
      </c>
      <c r="J107" s="102"/>
      <c r="K107" s="96"/>
      <c r="L107" s="83"/>
      <c r="M107" s="103"/>
      <c r="N107" s="103"/>
      <c r="O107" s="103"/>
      <c r="P107" s="103"/>
      <c r="Q107" s="103"/>
      <c r="R107" s="83"/>
      <c r="S107" s="103"/>
      <c r="T107" s="103"/>
      <c r="U107" s="103"/>
    </row>
    <row r="108" customFormat="false" ht="22.5" hidden="false" customHeight="true" outlineLevel="0" collapsed="false">
      <c r="A108" s="110"/>
      <c r="B108" s="110"/>
      <c r="C108" s="110"/>
      <c r="D108" s="122"/>
      <c r="E108" s="110"/>
      <c r="F108" s="111" t="str">
        <f aca="false">IF(E108="CONTADO", 4%, IF(E108="TARJETA / CHEQUE", 3%, IF(OR(E108="FINANCIADO", E108="MCP"), 2.5%, "")))</f>
        <v/>
      </c>
      <c r="G108" s="109" t="str">
        <f aca="false">IF(F108="", "", F108*D108)</f>
        <v/>
      </c>
      <c r="H108" s="157" t="b">
        <f aca="false">FALSE()</f>
        <v>0</v>
      </c>
      <c r="I108" s="157" t="b">
        <f aca="false">FALSE()</f>
        <v>0</v>
      </c>
      <c r="J108" s="113"/>
      <c r="K108" s="107"/>
      <c r="L108" s="83"/>
      <c r="M108" s="103"/>
      <c r="N108" s="103"/>
      <c r="O108" s="103"/>
      <c r="P108" s="103"/>
      <c r="Q108" s="103"/>
      <c r="R108" s="83"/>
      <c r="S108" s="103"/>
      <c r="T108" s="103"/>
      <c r="U108" s="103"/>
    </row>
    <row r="109" customFormat="false" ht="22.5" hidden="false" customHeight="true" outlineLevel="0" collapsed="false">
      <c r="A109" s="99"/>
      <c r="B109" s="99"/>
      <c r="C109" s="99"/>
      <c r="D109" s="121"/>
      <c r="E109" s="99"/>
      <c r="F109" s="100" t="str">
        <f aca="false">IF(E109="CONTADO", 4%, IF(E109="TARJETA / CHEQUE", 3%, IF(OR(E109="FINANCIADO", E109="MCP"), 2.5%, "")))</f>
        <v/>
      </c>
      <c r="G109" s="98" t="str">
        <f aca="false">IF(F109="", "", F109*D109)</f>
        <v/>
      </c>
      <c r="H109" s="156" t="b">
        <f aca="false">FALSE()</f>
        <v>0</v>
      </c>
      <c r="I109" s="156" t="b">
        <f aca="false">FALSE()</f>
        <v>0</v>
      </c>
      <c r="J109" s="102"/>
      <c r="K109" s="96"/>
      <c r="L109" s="83"/>
      <c r="M109" s="103"/>
      <c r="N109" s="103"/>
      <c r="O109" s="103"/>
      <c r="P109" s="103"/>
      <c r="Q109" s="103"/>
      <c r="R109" s="83"/>
      <c r="S109" s="103"/>
      <c r="T109" s="103"/>
      <c r="U109" s="103"/>
    </row>
    <row r="110" customFormat="false" ht="22.5" hidden="false" customHeight="true" outlineLevel="0" collapsed="false">
      <c r="A110" s="110"/>
      <c r="B110" s="110"/>
      <c r="C110" s="110"/>
      <c r="D110" s="122"/>
      <c r="E110" s="110"/>
      <c r="F110" s="111" t="str">
        <f aca="false">IF(E110="CONTADO", 4%, IF(E110="TARJETA / CHEQUE", 3%, IF(OR(E110="FINANCIADO", E110="MCP"), 2.5%, "")))</f>
        <v/>
      </c>
      <c r="G110" s="109" t="str">
        <f aca="false">IF(F110="", "", F110*D110)</f>
        <v/>
      </c>
      <c r="H110" s="157" t="b">
        <f aca="false">FALSE()</f>
        <v>0</v>
      </c>
      <c r="I110" s="157" t="b">
        <f aca="false">FALSE()</f>
        <v>0</v>
      </c>
      <c r="J110" s="113"/>
      <c r="K110" s="107"/>
      <c r="L110" s="83"/>
      <c r="M110" s="103"/>
      <c r="N110" s="103"/>
      <c r="O110" s="103"/>
      <c r="P110" s="103"/>
      <c r="Q110" s="103"/>
      <c r="R110" s="83"/>
      <c r="S110" s="103"/>
      <c r="T110" s="103"/>
      <c r="U110" s="103"/>
    </row>
    <row r="111" customFormat="false" ht="22.5" hidden="false" customHeight="true" outlineLevel="0" collapsed="false">
      <c r="A111" s="99"/>
      <c r="B111" s="99"/>
      <c r="C111" s="99"/>
      <c r="D111" s="121"/>
      <c r="E111" s="99"/>
      <c r="F111" s="100" t="str">
        <f aca="false">IF(E111="CONTADO", 4%, IF(E111="TARJETA / CHEQUE", 3%, IF(OR(E111="FINANCIADO", E111="MCP"), 2.5%, "")))</f>
        <v/>
      </c>
      <c r="G111" s="98" t="str">
        <f aca="false">IF(F111="", "", F111*D111)</f>
        <v/>
      </c>
      <c r="H111" s="156" t="b">
        <f aca="false">FALSE()</f>
        <v>0</v>
      </c>
      <c r="I111" s="156" t="b">
        <f aca="false">FALSE()</f>
        <v>0</v>
      </c>
      <c r="J111" s="102"/>
      <c r="K111" s="96"/>
      <c r="L111" s="83"/>
      <c r="M111" s="103"/>
      <c r="N111" s="103"/>
      <c r="O111" s="103"/>
      <c r="P111" s="103"/>
      <c r="Q111" s="103"/>
      <c r="R111" s="83"/>
      <c r="S111" s="103"/>
      <c r="T111" s="103"/>
      <c r="U111" s="103"/>
    </row>
    <row r="112" customFormat="false" ht="22.5" hidden="false" customHeight="true" outlineLevel="0" collapsed="false">
      <c r="A112" s="110"/>
      <c r="B112" s="110"/>
      <c r="C112" s="110"/>
      <c r="D112" s="122"/>
      <c r="E112" s="110"/>
      <c r="F112" s="111" t="str">
        <f aca="false">IF(E112="CONTADO", 4%, IF(E112="TARJETA / CHEQUE", 3%, IF(OR(E112="FINANCIADO", E112="MCP"), 2.5%, "")))</f>
        <v/>
      </c>
      <c r="G112" s="109" t="str">
        <f aca="false">IF(F112="", "", F112*D112)</f>
        <v/>
      </c>
      <c r="H112" s="157" t="b">
        <f aca="false">FALSE()</f>
        <v>0</v>
      </c>
      <c r="I112" s="157" t="b">
        <f aca="false">FALSE()</f>
        <v>0</v>
      </c>
      <c r="J112" s="113"/>
      <c r="K112" s="107"/>
      <c r="L112" s="83"/>
      <c r="M112" s="103"/>
      <c r="N112" s="103"/>
      <c r="O112" s="103"/>
      <c r="P112" s="103"/>
      <c r="Q112" s="103"/>
      <c r="R112" s="83"/>
      <c r="S112" s="103"/>
      <c r="T112" s="103"/>
      <c r="U112" s="103"/>
    </row>
    <row r="113" customFormat="false" ht="22.5" hidden="false" customHeight="true" outlineLevel="0" collapsed="false">
      <c r="A113" s="99"/>
      <c r="B113" s="99"/>
      <c r="C113" s="99"/>
      <c r="D113" s="121"/>
      <c r="E113" s="99"/>
      <c r="F113" s="100" t="str">
        <f aca="false">IF(E113="CONTADO", 4%, IF(E113="TARJETA / CHEQUE", 3%, IF(OR(E113="FINANCIADO", E113="MCP"), 2.5%, "")))</f>
        <v/>
      </c>
      <c r="G113" s="98" t="str">
        <f aca="false">IF(F113="", "", F113*D113)</f>
        <v/>
      </c>
      <c r="H113" s="156" t="b">
        <f aca="false">FALSE()</f>
        <v>0</v>
      </c>
      <c r="I113" s="156" t="b">
        <f aca="false">FALSE()</f>
        <v>0</v>
      </c>
      <c r="J113" s="102"/>
      <c r="K113" s="96"/>
      <c r="L113" s="83"/>
      <c r="M113" s="103"/>
      <c r="N113" s="103"/>
      <c r="O113" s="103"/>
      <c r="P113" s="103"/>
      <c r="Q113" s="103"/>
      <c r="R113" s="83"/>
      <c r="S113" s="103"/>
      <c r="T113" s="103"/>
      <c r="U113" s="103"/>
    </row>
    <row r="114" customFormat="false" ht="22.5" hidden="false" customHeight="true" outlineLevel="0" collapsed="false">
      <c r="A114" s="110"/>
      <c r="B114" s="110"/>
      <c r="C114" s="110"/>
      <c r="D114" s="122"/>
      <c r="E114" s="110"/>
      <c r="F114" s="111" t="str">
        <f aca="false">IF(E114="CONTADO", 4%, IF(E114="TARJETA / CHEQUE", 3%, IF(OR(E114="FINANCIADO", E114="MCP"), 2.5%, "")))</f>
        <v/>
      </c>
      <c r="G114" s="109" t="str">
        <f aca="false">IF(F114="", "", F114*D114)</f>
        <v/>
      </c>
      <c r="H114" s="157" t="b">
        <f aca="false">FALSE()</f>
        <v>0</v>
      </c>
      <c r="I114" s="157" t="b">
        <f aca="false">FALSE()</f>
        <v>0</v>
      </c>
      <c r="J114" s="113"/>
      <c r="K114" s="107"/>
      <c r="L114" s="83"/>
      <c r="M114" s="103"/>
      <c r="N114" s="103"/>
      <c r="O114" s="103"/>
      <c r="P114" s="103"/>
      <c r="Q114" s="103"/>
      <c r="R114" s="83"/>
      <c r="S114" s="103"/>
      <c r="T114" s="103"/>
      <c r="U114" s="103"/>
    </row>
    <row r="115" customFormat="false" ht="22.5" hidden="false" customHeight="true" outlineLevel="0" collapsed="false">
      <c r="A115" s="99"/>
      <c r="B115" s="99"/>
      <c r="C115" s="99"/>
      <c r="D115" s="121"/>
      <c r="E115" s="99"/>
      <c r="F115" s="100" t="str">
        <f aca="false">IF(E115="CONTADO", 4%, IF(E115="TARJETA / CHEQUE", 3%, IF(OR(E115="FINANCIADO", E115="MCP"), 2.5%, "")))</f>
        <v/>
      </c>
      <c r="G115" s="98" t="str">
        <f aca="false">IF(F115="", "", F115*D115)</f>
        <v/>
      </c>
      <c r="H115" s="156" t="b">
        <f aca="false">FALSE()</f>
        <v>0</v>
      </c>
      <c r="I115" s="156" t="b">
        <f aca="false">FALSE()</f>
        <v>0</v>
      </c>
      <c r="J115" s="102"/>
      <c r="K115" s="96"/>
      <c r="L115" s="83"/>
      <c r="M115" s="103"/>
      <c r="N115" s="103"/>
      <c r="O115" s="103"/>
      <c r="P115" s="103"/>
      <c r="Q115" s="103"/>
      <c r="R115" s="83"/>
      <c r="S115" s="103"/>
      <c r="T115" s="103"/>
      <c r="U115" s="103"/>
    </row>
    <row r="116" customFormat="false" ht="22.5" hidden="false" customHeight="true" outlineLevel="0" collapsed="false">
      <c r="A116" s="110"/>
      <c r="B116" s="110"/>
      <c r="C116" s="110"/>
      <c r="D116" s="122"/>
      <c r="E116" s="110"/>
      <c r="F116" s="111" t="str">
        <f aca="false">IF(E116="CONTADO", 4%, IF(E116="TARJETA / CHEQUE", 3%, IF(OR(E116="FINANCIADO", E116="MCP"), 2.5%, "")))</f>
        <v/>
      </c>
      <c r="G116" s="109" t="str">
        <f aca="false">IF(F116="", "", F116*D116)</f>
        <v/>
      </c>
      <c r="H116" s="157" t="b">
        <f aca="false">FALSE()</f>
        <v>0</v>
      </c>
      <c r="I116" s="157" t="b">
        <f aca="false">FALSE()</f>
        <v>0</v>
      </c>
      <c r="J116" s="113"/>
      <c r="K116" s="107"/>
      <c r="L116" s="83"/>
      <c r="M116" s="103"/>
      <c r="N116" s="103"/>
      <c r="O116" s="103"/>
      <c r="P116" s="103"/>
      <c r="Q116" s="103"/>
      <c r="R116" s="83"/>
      <c r="S116" s="103"/>
      <c r="T116" s="103"/>
      <c r="U116" s="103"/>
    </row>
    <row r="117" customFormat="false" ht="22.5" hidden="false" customHeight="true" outlineLevel="0" collapsed="false">
      <c r="A117" s="99"/>
      <c r="B117" s="99"/>
      <c r="C117" s="99"/>
      <c r="D117" s="121"/>
      <c r="E117" s="99"/>
      <c r="F117" s="100" t="str">
        <f aca="false">IF(E117="CONTADO", 4%, IF(E117="TARJETA / CHEQUE", 3%, IF(OR(E117="FINANCIADO", E117="MCP"), 2.5%, "")))</f>
        <v/>
      </c>
      <c r="G117" s="98" t="str">
        <f aca="false">IF(F117="", "", F117*D117)</f>
        <v/>
      </c>
      <c r="H117" s="156" t="b">
        <f aca="false">FALSE()</f>
        <v>0</v>
      </c>
      <c r="I117" s="156" t="b">
        <f aca="false">FALSE()</f>
        <v>0</v>
      </c>
      <c r="J117" s="102"/>
      <c r="K117" s="96"/>
      <c r="L117" s="83"/>
      <c r="M117" s="103"/>
      <c r="N117" s="103"/>
      <c r="O117" s="103"/>
      <c r="P117" s="103"/>
      <c r="Q117" s="103"/>
      <c r="R117" s="83"/>
      <c r="S117" s="103"/>
      <c r="T117" s="103"/>
      <c r="U117" s="103"/>
    </row>
    <row r="118" customFormat="false" ht="22.5" hidden="false" customHeight="true" outlineLevel="0" collapsed="false">
      <c r="A118" s="110"/>
      <c r="B118" s="110"/>
      <c r="C118" s="110"/>
      <c r="D118" s="122"/>
      <c r="E118" s="110"/>
      <c r="F118" s="111" t="str">
        <f aca="false">IF(E118="CONTADO", 4%, IF(E118="TARJETA / CHEQUE", 3%, IF(OR(E118="FINANCIADO", E118="MCP"), 2.5%, "")))</f>
        <v/>
      </c>
      <c r="G118" s="109" t="str">
        <f aca="false">IF(F118="", "", F118*D118)</f>
        <v/>
      </c>
      <c r="H118" s="157" t="b">
        <f aca="false">FALSE()</f>
        <v>0</v>
      </c>
      <c r="I118" s="157" t="b">
        <f aca="false">FALSE()</f>
        <v>0</v>
      </c>
      <c r="J118" s="113"/>
      <c r="K118" s="107"/>
      <c r="L118" s="83"/>
      <c r="M118" s="103"/>
      <c r="N118" s="103"/>
      <c r="O118" s="103"/>
      <c r="P118" s="103"/>
      <c r="Q118" s="103"/>
      <c r="R118" s="83"/>
      <c r="S118" s="103"/>
      <c r="T118" s="103"/>
      <c r="U118" s="103"/>
    </row>
    <row r="119" customFormat="false" ht="22.5" hidden="false" customHeight="true" outlineLevel="0" collapsed="false">
      <c r="A119" s="99"/>
      <c r="B119" s="99"/>
      <c r="C119" s="99"/>
      <c r="D119" s="121"/>
      <c r="E119" s="99"/>
      <c r="F119" s="100" t="str">
        <f aca="false">IF(E119="CONTADO", 4%, IF(E119="TARJETA / CHEQUE", 3%, IF(OR(E119="FINANCIADO", E119="MCP"), 2.5%, "")))</f>
        <v/>
      </c>
      <c r="G119" s="98" t="str">
        <f aca="false">IF(F119="", "", F119*D119)</f>
        <v/>
      </c>
      <c r="H119" s="156" t="b">
        <f aca="false">FALSE()</f>
        <v>0</v>
      </c>
      <c r="I119" s="156" t="b">
        <f aca="false">FALSE()</f>
        <v>0</v>
      </c>
      <c r="J119" s="102"/>
      <c r="K119" s="96"/>
      <c r="L119" s="83"/>
      <c r="M119" s="103"/>
      <c r="N119" s="103"/>
      <c r="O119" s="103"/>
      <c r="P119" s="103"/>
      <c r="Q119" s="103"/>
      <c r="R119" s="83"/>
      <c r="S119" s="103"/>
      <c r="T119" s="103"/>
      <c r="U119" s="103"/>
    </row>
    <row r="120" customFormat="false" ht="22.5" hidden="false" customHeight="true" outlineLevel="0" collapsed="false">
      <c r="A120" s="110"/>
      <c r="B120" s="110"/>
      <c r="C120" s="110"/>
      <c r="D120" s="122"/>
      <c r="E120" s="110"/>
      <c r="F120" s="111" t="str">
        <f aca="false">IF(E120="CONTADO", 4%, IF(E120="TARJETA / CHEQUE", 3%, IF(OR(E120="FINANCIADO", E120="MCP"), 2.5%, "")))</f>
        <v/>
      </c>
      <c r="G120" s="109" t="str">
        <f aca="false">IF(F120="", "", F120*D120)</f>
        <v/>
      </c>
      <c r="H120" s="157" t="b">
        <f aca="false">FALSE()</f>
        <v>0</v>
      </c>
      <c r="I120" s="157" t="b">
        <f aca="false">FALSE()</f>
        <v>0</v>
      </c>
      <c r="J120" s="113"/>
      <c r="K120" s="107"/>
      <c r="L120" s="83"/>
      <c r="M120" s="103"/>
      <c r="N120" s="103"/>
      <c r="O120" s="103"/>
      <c r="P120" s="103"/>
      <c r="Q120" s="103"/>
      <c r="R120" s="83"/>
      <c r="S120" s="103"/>
      <c r="T120" s="103"/>
      <c r="U120" s="103"/>
    </row>
    <row r="121" customFormat="false" ht="22.5" hidden="false" customHeight="true" outlineLevel="0" collapsed="false">
      <c r="A121" s="99"/>
      <c r="B121" s="99"/>
      <c r="C121" s="99"/>
      <c r="D121" s="121"/>
      <c r="E121" s="99"/>
      <c r="F121" s="100" t="str">
        <f aca="false">IF(E121="CONTADO", 4%, IF(E121="TARJETA / CHEQUE", 3%, IF(OR(E121="FINANCIADO", E121="MCP"), 2.5%, "")))</f>
        <v/>
      </c>
      <c r="G121" s="98" t="str">
        <f aca="false">IF(F121="", "", F121*D121)</f>
        <v/>
      </c>
      <c r="H121" s="156" t="b">
        <f aca="false">FALSE()</f>
        <v>0</v>
      </c>
      <c r="I121" s="156" t="b">
        <f aca="false">FALSE()</f>
        <v>0</v>
      </c>
      <c r="J121" s="102"/>
      <c r="K121" s="96"/>
      <c r="L121" s="83"/>
      <c r="M121" s="103"/>
      <c r="N121" s="103"/>
      <c r="O121" s="103"/>
      <c r="P121" s="103"/>
      <c r="Q121" s="103"/>
      <c r="R121" s="83"/>
      <c r="S121" s="103"/>
      <c r="T121" s="103"/>
      <c r="U121" s="103"/>
    </row>
    <row r="122" customFormat="false" ht="22.5" hidden="false" customHeight="true" outlineLevel="0" collapsed="false">
      <c r="A122" s="110"/>
      <c r="B122" s="110"/>
      <c r="C122" s="110"/>
      <c r="D122" s="122"/>
      <c r="E122" s="110"/>
      <c r="F122" s="111" t="str">
        <f aca="false">IF(E122="CONTADO", 4%, IF(E122="TARJETA / CHEQUE", 3%, IF(OR(E122="FINANCIADO", E122="MCP"), 2.5%, "")))</f>
        <v/>
      </c>
      <c r="G122" s="109" t="str">
        <f aca="false">IF(F122="", "", F122*D122)</f>
        <v/>
      </c>
      <c r="H122" s="157" t="b">
        <f aca="false">FALSE()</f>
        <v>0</v>
      </c>
      <c r="I122" s="157" t="b">
        <f aca="false">FALSE()</f>
        <v>0</v>
      </c>
      <c r="J122" s="113"/>
      <c r="K122" s="107"/>
      <c r="L122" s="83"/>
      <c r="M122" s="103"/>
      <c r="N122" s="103"/>
      <c r="O122" s="103"/>
      <c r="P122" s="103"/>
      <c r="Q122" s="103"/>
      <c r="R122" s="83"/>
      <c r="S122" s="103"/>
      <c r="T122" s="103"/>
      <c r="U122" s="103"/>
    </row>
    <row r="123" customFormat="false" ht="22.5" hidden="false" customHeight="true" outlineLevel="0" collapsed="false">
      <c r="A123" s="99"/>
      <c r="B123" s="99"/>
      <c r="C123" s="99"/>
      <c r="D123" s="121"/>
      <c r="E123" s="99"/>
      <c r="F123" s="100" t="str">
        <f aca="false">IF(E123="CONTADO", 4%, IF(E123="TARJETA / CHEQUE", 3%, IF(OR(E123="FINANCIADO", E123="MCP"), 2.5%, "")))</f>
        <v/>
      </c>
      <c r="G123" s="98" t="str">
        <f aca="false">IF(F123="", "", F123*D123)</f>
        <v/>
      </c>
      <c r="H123" s="156" t="b">
        <f aca="false">FALSE()</f>
        <v>0</v>
      </c>
      <c r="I123" s="156" t="b">
        <f aca="false">FALSE()</f>
        <v>0</v>
      </c>
      <c r="J123" s="102"/>
      <c r="K123" s="96"/>
      <c r="L123" s="83"/>
      <c r="M123" s="103"/>
      <c r="N123" s="103"/>
      <c r="O123" s="103"/>
      <c r="P123" s="103"/>
      <c r="Q123" s="103"/>
      <c r="R123" s="83"/>
      <c r="S123" s="103"/>
      <c r="T123" s="103"/>
      <c r="U123" s="103"/>
    </row>
    <row r="124" customFormat="false" ht="22.5" hidden="false" customHeight="true" outlineLevel="0" collapsed="false">
      <c r="A124" s="110"/>
      <c r="B124" s="110"/>
      <c r="C124" s="110"/>
      <c r="D124" s="122"/>
      <c r="E124" s="110"/>
      <c r="F124" s="111" t="str">
        <f aca="false">IF(E124="CONTADO", 4%, IF(E124="TARJETA / CHEQUE", 3%, IF(OR(E124="FINANCIADO", E124="MCP"), 2.5%, "")))</f>
        <v/>
      </c>
      <c r="G124" s="109" t="str">
        <f aca="false">IF(F124="", "", F124*D124)</f>
        <v/>
      </c>
      <c r="H124" s="157" t="b">
        <f aca="false">FALSE()</f>
        <v>0</v>
      </c>
      <c r="I124" s="157" t="b">
        <f aca="false">FALSE()</f>
        <v>0</v>
      </c>
      <c r="J124" s="113"/>
      <c r="K124" s="107"/>
      <c r="L124" s="83"/>
      <c r="M124" s="103"/>
      <c r="N124" s="103"/>
      <c r="O124" s="103"/>
      <c r="P124" s="103"/>
      <c r="Q124" s="103"/>
      <c r="R124" s="83"/>
      <c r="S124" s="103"/>
      <c r="T124" s="103"/>
      <c r="U124" s="103"/>
    </row>
    <row r="125" customFormat="false" ht="22.5" hidden="false" customHeight="true" outlineLevel="0" collapsed="false">
      <c r="A125" s="99"/>
      <c r="B125" s="99"/>
      <c r="C125" s="99"/>
      <c r="D125" s="121"/>
      <c r="E125" s="99"/>
      <c r="F125" s="100" t="str">
        <f aca="false">IF(E125="CONTADO", 4%, IF(E125="TARJETA / CHEQUE", 3%, IF(OR(E125="FINANCIADO", E125="MCP"), 2.5%, "")))</f>
        <v/>
      </c>
      <c r="G125" s="98" t="str">
        <f aca="false">IF(F125="", "", F125*D125)</f>
        <v/>
      </c>
      <c r="H125" s="156" t="b">
        <f aca="false">FALSE()</f>
        <v>0</v>
      </c>
      <c r="I125" s="156" t="b">
        <f aca="false">FALSE()</f>
        <v>0</v>
      </c>
      <c r="J125" s="102"/>
      <c r="K125" s="96"/>
      <c r="L125" s="83"/>
      <c r="M125" s="103"/>
      <c r="N125" s="103"/>
      <c r="O125" s="103"/>
      <c r="P125" s="103"/>
      <c r="Q125" s="103"/>
      <c r="R125" s="83"/>
      <c r="S125" s="103"/>
      <c r="T125" s="103"/>
      <c r="U125" s="103"/>
    </row>
    <row r="126" customFormat="false" ht="22.5" hidden="false" customHeight="true" outlineLevel="0" collapsed="false">
      <c r="A126" s="110"/>
      <c r="B126" s="110"/>
      <c r="C126" s="110"/>
      <c r="D126" s="122"/>
      <c r="E126" s="110"/>
      <c r="F126" s="111" t="str">
        <f aca="false">IF(E126="CONTADO", 4%, IF(E126="TARJETA / CHEQUE", 3%, IF(OR(E126="FINANCIADO", E126="MCP"), 2.5%, "")))</f>
        <v/>
      </c>
      <c r="G126" s="109" t="str">
        <f aca="false">IF(F126="", "", F126*D126)</f>
        <v/>
      </c>
      <c r="H126" s="157" t="b">
        <f aca="false">FALSE()</f>
        <v>0</v>
      </c>
      <c r="I126" s="157" t="b">
        <f aca="false">FALSE()</f>
        <v>0</v>
      </c>
      <c r="J126" s="113"/>
      <c r="K126" s="107"/>
      <c r="L126" s="83"/>
      <c r="M126" s="103"/>
      <c r="N126" s="103"/>
      <c r="O126" s="103"/>
      <c r="P126" s="103"/>
      <c r="Q126" s="103"/>
      <c r="R126" s="83"/>
      <c r="S126" s="103"/>
      <c r="T126" s="103"/>
      <c r="U126" s="103"/>
    </row>
    <row r="127" customFormat="false" ht="22.5" hidden="false" customHeight="true" outlineLevel="0" collapsed="false">
      <c r="A127" s="99"/>
      <c r="B127" s="99"/>
      <c r="C127" s="99"/>
      <c r="D127" s="121"/>
      <c r="E127" s="99"/>
      <c r="F127" s="100" t="str">
        <f aca="false">IF(E127="CONTADO", 4%, IF(E127="TARJETA / CHEQUE", 3%, IF(OR(E127="FINANCIADO", E127="MCP"), 2.5%, "")))</f>
        <v/>
      </c>
      <c r="G127" s="98" t="str">
        <f aca="false">IF(F127="", "", F127*D127)</f>
        <v/>
      </c>
      <c r="H127" s="156" t="b">
        <f aca="false">FALSE()</f>
        <v>0</v>
      </c>
      <c r="I127" s="156" t="b">
        <f aca="false">FALSE()</f>
        <v>0</v>
      </c>
      <c r="J127" s="102"/>
      <c r="K127" s="96"/>
      <c r="L127" s="83"/>
      <c r="M127" s="103"/>
      <c r="N127" s="103"/>
      <c r="O127" s="103"/>
      <c r="P127" s="103"/>
      <c r="Q127" s="103"/>
      <c r="R127" s="83"/>
      <c r="S127" s="103"/>
      <c r="T127" s="103"/>
      <c r="U127" s="103"/>
    </row>
    <row r="128" customFormat="false" ht="22.5" hidden="false" customHeight="true" outlineLevel="0" collapsed="false">
      <c r="A128" s="110"/>
      <c r="B128" s="110"/>
      <c r="C128" s="110"/>
      <c r="D128" s="122"/>
      <c r="E128" s="110"/>
      <c r="F128" s="111" t="str">
        <f aca="false">IF(E128="CONTADO", 4%, IF(E128="TARJETA / CHEQUE", 3%, IF(OR(E128="FINANCIADO", E128="MCP"), 2.5%, "")))</f>
        <v/>
      </c>
      <c r="G128" s="109" t="str">
        <f aca="false">IF(F128="", "", F128*D128)</f>
        <v/>
      </c>
      <c r="H128" s="157" t="b">
        <f aca="false">FALSE()</f>
        <v>0</v>
      </c>
      <c r="I128" s="157" t="b">
        <f aca="false">FALSE()</f>
        <v>0</v>
      </c>
      <c r="J128" s="113"/>
      <c r="K128" s="107"/>
      <c r="L128" s="83"/>
      <c r="M128" s="103"/>
      <c r="N128" s="103"/>
      <c r="O128" s="103"/>
      <c r="P128" s="103"/>
      <c r="Q128" s="103"/>
      <c r="R128" s="83"/>
      <c r="S128" s="103"/>
      <c r="T128" s="103"/>
      <c r="U128" s="103"/>
    </row>
    <row r="129" customFormat="false" ht="22.5" hidden="false" customHeight="true" outlineLevel="0" collapsed="false">
      <c r="A129" s="99"/>
      <c r="B129" s="99"/>
      <c r="C129" s="99"/>
      <c r="D129" s="121"/>
      <c r="E129" s="99"/>
      <c r="F129" s="100" t="str">
        <f aca="false">IF(E129="CONTADO", 4%, IF(E129="TARJETA / CHEQUE", 3%, IF(OR(E129="FINANCIADO", E129="MCP"), 2.5%, "")))</f>
        <v/>
      </c>
      <c r="G129" s="98" t="str">
        <f aca="false">IF(F129="", "", F129*D129)</f>
        <v/>
      </c>
      <c r="H129" s="156" t="b">
        <f aca="false">FALSE()</f>
        <v>0</v>
      </c>
      <c r="I129" s="156" t="b">
        <f aca="false">FALSE()</f>
        <v>0</v>
      </c>
      <c r="J129" s="102"/>
      <c r="K129" s="96"/>
      <c r="L129" s="83"/>
      <c r="M129" s="103"/>
      <c r="N129" s="103"/>
      <c r="O129" s="103"/>
      <c r="P129" s="103"/>
      <c r="Q129" s="103"/>
      <c r="R129" s="83"/>
      <c r="S129" s="103"/>
      <c r="T129" s="103"/>
      <c r="U129" s="103"/>
    </row>
    <row r="130" customFormat="false" ht="22.5" hidden="false" customHeight="true" outlineLevel="0" collapsed="false">
      <c r="A130" s="110"/>
      <c r="B130" s="110"/>
      <c r="C130" s="110"/>
      <c r="D130" s="122"/>
      <c r="E130" s="110"/>
      <c r="F130" s="111" t="str">
        <f aca="false">IF(E130="CONTADO", 4%, IF(E130="TARJETA / CHEQUE", 3%, IF(OR(E130="FINANCIADO", E130="MCP"), 2.5%, "")))</f>
        <v/>
      </c>
      <c r="G130" s="109" t="str">
        <f aca="false">IF(F130="", "", F130*D130)</f>
        <v/>
      </c>
      <c r="H130" s="157" t="b">
        <f aca="false">FALSE()</f>
        <v>0</v>
      </c>
      <c r="I130" s="157" t="b">
        <f aca="false">FALSE()</f>
        <v>0</v>
      </c>
      <c r="J130" s="113"/>
      <c r="K130" s="107"/>
      <c r="L130" s="83"/>
      <c r="M130" s="103"/>
      <c r="N130" s="103"/>
      <c r="O130" s="103"/>
      <c r="P130" s="103"/>
      <c r="Q130" s="103"/>
      <c r="R130" s="83"/>
      <c r="S130" s="103"/>
      <c r="T130" s="103"/>
      <c r="U130" s="103"/>
    </row>
    <row r="131" customFormat="false" ht="22.5" hidden="false" customHeight="true" outlineLevel="0" collapsed="false">
      <c r="A131" s="99"/>
      <c r="B131" s="99"/>
      <c r="C131" s="99"/>
      <c r="D131" s="121"/>
      <c r="E131" s="99"/>
      <c r="F131" s="100" t="str">
        <f aca="false">IF(E131="CONTADO", 4%, IF(E131="TARJETA / CHEQUE", 3%, IF(OR(E131="FINANCIADO", E131="MCP"), 2.5%, "")))</f>
        <v/>
      </c>
      <c r="G131" s="98" t="str">
        <f aca="false">IF(F131="", "", F131*D131)</f>
        <v/>
      </c>
      <c r="H131" s="156" t="b">
        <f aca="false">FALSE()</f>
        <v>0</v>
      </c>
      <c r="I131" s="156" t="b">
        <f aca="false">FALSE()</f>
        <v>0</v>
      </c>
      <c r="J131" s="102"/>
      <c r="K131" s="96"/>
      <c r="L131" s="83"/>
      <c r="M131" s="103"/>
      <c r="N131" s="103"/>
      <c r="O131" s="103"/>
      <c r="P131" s="103"/>
      <c r="Q131" s="103"/>
      <c r="R131" s="83"/>
      <c r="S131" s="103"/>
      <c r="T131" s="103"/>
      <c r="U131" s="103"/>
    </row>
    <row r="132" customFormat="false" ht="22.5" hidden="false" customHeight="true" outlineLevel="0" collapsed="false">
      <c r="A132" s="110"/>
      <c r="B132" s="110"/>
      <c r="C132" s="110"/>
      <c r="D132" s="122"/>
      <c r="E132" s="110"/>
      <c r="F132" s="111" t="str">
        <f aca="false">IF(E132="CONTADO", 4%, IF(E132="TARJETA / CHEQUE", 3%, IF(OR(E132="FINANCIADO", E132="MCP"), 2.5%, "")))</f>
        <v/>
      </c>
      <c r="G132" s="109" t="str">
        <f aca="false">IF(F132="", "", F132*D132)</f>
        <v/>
      </c>
      <c r="H132" s="157" t="b">
        <f aca="false">FALSE()</f>
        <v>0</v>
      </c>
      <c r="I132" s="157" t="b">
        <f aca="false">FALSE()</f>
        <v>0</v>
      </c>
      <c r="J132" s="113"/>
      <c r="K132" s="107"/>
      <c r="L132" s="83"/>
      <c r="M132" s="103"/>
      <c r="N132" s="103"/>
      <c r="O132" s="103"/>
      <c r="P132" s="103"/>
      <c r="Q132" s="103"/>
      <c r="R132" s="83"/>
      <c r="S132" s="103"/>
      <c r="T132" s="103"/>
      <c r="U132" s="103"/>
    </row>
    <row r="133" customFormat="false" ht="22.5" hidden="false" customHeight="true" outlineLevel="0" collapsed="false">
      <c r="A133" s="99"/>
      <c r="B133" s="99"/>
      <c r="C133" s="99"/>
      <c r="D133" s="121"/>
      <c r="E133" s="99"/>
      <c r="F133" s="100" t="str">
        <f aca="false">IF(E133="CONTADO", 4%, IF(E133="TARJETA / CHEQUE", 3%, IF(OR(E133="FINANCIADO", E133="MCP"), 2.5%, "")))</f>
        <v/>
      </c>
      <c r="G133" s="98" t="str">
        <f aca="false">IF(F133="", "", F133*D133)</f>
        <v/>
      </c>
      <c r="H133" s="156" t="b">
        <f aca="false">FALSE()</f>
        <v>0</v>
      </c>
      <c r="I133" s="156" t="b">
        <f aca="false">FALSE()</f>
        <v>0</v>
      </c>
      <c r="J133" s="102"/>
      <c r="K133" s="96"/>
      <c r="L133" s="83"/>
      <c r="M133" s="103"/>
      <c r="N133" s="103"/>
      <c r="O133" s="103"/>
      <c r="P133" s="103"/>
      <c r="Q133" s="103"/>
      <c r="R133" s="83"/>
      <c r="S133" s="103"/>
      <c r="T133" s="103"/>
      <c r="U133" s="103"/>
    </row>
    <row r="134" customFormat="false" ht="22.5" hidden="false" customHeight="true" outlineLevel="0" collapsed="false">
      <c r="A134" s="110"/>
      <c r="B134" s="110"/>
      <c r="C134" s="110"/>
      <c r="D134" s="122"/>
      <c r="E134" s="110"/>
      <c r="F134" s="111" t="str">
        <f aca="false">IF(E134="CONTADO", 4%, IF(E134="TARJETA / CHEQUE", 3%, IF(OR(E134="FINANCIADO", E134="MCP"), 2.5%, "")))</f>
        <v/>
      </c>
      <c r="G134" s="109" t="str">
        <f aca="false">IF(F134="", "", F134*D134)</f>
        <v/>
      </c>
      <c r="H134" s="157" t="b">
        <f aca="false">FALSE()</f>
        <v>0</v>
      </c>
      <c r="I134" s="157" t="b">
        <f aca="false">FALSE()</f>
        <v>0</v>
      </c>
      <c r="J134" s="113"/>
      <c r="K134" s="107"/>
      <c r="L134" s="83"/>
      <c r="M134" s="103"/>
      <c r="N134" s="103"/>
      <c r="O134" s="103"/>
      <c r="P134" s="103"/>
      <c r="Q134" s="103"/>
      <c r="R134" s="83"/>
      <c r="S134" s="103"/>
      <c r="T134" s="103"/>
      <c r="U134" s="103"/>
    </row>
    <row r="135" customFormat="false" ht="22.5" hidden="false" customHeight="true" outlineLevel="0" collapsed="false">
      <c r="A135" s="99"/>
      <c r="B135" s="99"/>
      <c r="C135" s="99"/>
      <c r="D135" s="121"/>
      <c r="E135" s="99"/>
      <c r="F135" s="100" t="str">
        <f aca="false">IF(E135="CONTADO", 4%, IF(E135="TARJETA / CHEQUE", 3%, IF(OR(E135="FINANCIADO", E135="MCP"), 2.5%, "")))</f>
        <v/>
      </c>
      <c r="G135" s="98" t="str">
        <f aca="false">IF(F135="", "", F135*D135)</f>
        <v/>
      </c>
      <c r="H135" s="156" t="b">
        <f aca="false">FALSE()</f>
        <v>0</v>
      </c>
      <c r="I135" s="156" t="b">
        <f aca="false">FALSE()</f>
        <v>0</v>
      </c>
      <c r="J135" s="102"/>
      <c r="K135" s="96"/>
      <c r="L135" s="83"/>
      <c r="M135" s="103"/>
      <c r="N135" s="103"/>
      <c r="O135" s="103"/>
      <c r="P135" s="103"/>
      <c r="Q135" s="103"/>
      <c r="R135" s="83"/>
      <c r="S135" s="103"/>
      <c r="T135" s="103"/>
      <c r="U135" s="103"/>
    </row>
    <row r="136" customFormat="false" ht="22.5" hidden="false" customHeight="true" outlineLevel="0" collapsed="false">
      <c r="A136" s="110"/>
      <c r="B136" s="110"/>
      <c r="C136" s="110"/>
      <c r="D136" s="122"/>
      <c r="E136" s="110"/>
      <c r="F136" s="111" t="str">
        <f aca="false">IF(E136="CONTADO", 4%, IF(E136="TARJETA / CHEQUE", 3%, IF(OR(E136="FINANCIADO", E136="MCP"), 2.5%, "")))</f>
        <v/>
      </c>
      <c r="G136" s="109" t="str">
        <f aca="false">IF(F136="", "", F136*D136)</f>
        <v/>
      </c>
      <c r="H136" s="157" t="b">
        <f aca="false">FALSE()</f>
        <v>0</v>
      </c>
      <c r="I136" s="157" t="b">
        <f aca="false">FALSE()</f>
        <v>0</v>
      </c>
      <c r="J136" s="113"/>
      <c r="K136" s="107"/>
      <c r="L136" s="83"/>
      <c r="M136" s="103"/>
      <c r="N136" s="103"/>
      <c r="O136" s="103"/>
      <c r="P136" s="103"/>
      <c r="Q136" s="103"/>
      <c r="R136" s="83"/>
      <c r="S136" s="103"/>
      <c r="T136" s="103"/>
      <c r="U136" s="103"/>
    </row>
    <row r="137" customFormat="false" ht="22.5" hidden="false" customHeight="true" outlineLevel="0" collapsed="false">
      <c r="A137" s="99"/>
      <c r="B137" s="99"/>
      <c r="C137" s="99"/>
      <c r="D137" s="121"/>
      <c r="E137" s="99"/>
      <c r="F137" s="100" t="str">
        <f aca="false">IF(E137="CONTADO", 4%, IF(E137="TARJETA / CHEQUE", 3%, IF(OR(E137="FINANCIADO", E137="MCP"), 2.5%, "")))</f>
        <v/>
      </c>
      <c r="G137" s="98" t="str">
        <f aca="false">IF(F137="", "", F137*D137)</f>
        <v/>
      </c>
      <c r="H137" s="156" t="b">
        <f aca="false">FALSE()</f>
        <v>0</v>
      </c>
      <c r="I137" s="156" t="b">
        <f aca="false">FALSE()</f>
        <v>0</v>
      </c>
      <c r="J137" s="102"/>
      <c r="K137" s="96"/>
      <c r="L137" s="83"/>
      <c r="M137" s="103"/>
      <c r="N137" s="103"/>
      <c r="O137" s="103"/>
      <c r="P137" s="103"/>
      <c r="Q137" s="103"/>
      <c r="R137" s="83"/>
      <c r="S137" s="103"/>
      <c r="T137" s="103"/>
      <c r="U137" s="103"/>
    </row>
    <row r="138" customFormat="false" ht="22.5" hidden="false" customHeight="true" outlineLevel="0" collapsed="false">
      <c r="A138" s="110"/>
      <c r="B138" s="110"/>
      <c r="C138" s="110"/>
      <c r="D138" s="122"/>
      <c r="E138" s="110"/>
      <c r="F138" s="111" t="str">
        <f aca="false">IF(E138="CONTADO", 4%, IF(E138="TARJETA / CHEQUE", 3%, IF(OR(E138="FINANCIADO", E138="MCP"), 2.5%, "")))</f>
        <v/>
      </c>
      <c r="G138" s="109" t="str">
        <f aca="false">IF(F138="", "", F138*D138)</f>
        <v/>
      </c>
      <c r="H138" s="157" t="b">
        <f aca="false">FALSE()</f>
        <v>0</v>
      </c>
      <c r="I138" s="157" t="b">
        <f aca="false">FALSE()</f>
        <v>0</v>
      </c>
      <c r="J138" s="113"/>
      <c r="K138" s="107"/>
      <c r="L138" s="83"/>
      <c r="M138" s="103"/>
      <c r="N138" s="103"/>
      <c r="O138" s="103"/>
      <c r="P138" s="103"/>
      <c r="Q138" s="103"/>
      <c r="R138" s="83"/>
      <c r="S138" s="103"/>
      <c r="T138" s="103"/>
      <c r="U138" s="103"/>
    </row>
    <row r="139" customFormat="false" ht="22.5" hidden="false" customHeight="true" outlineLevel="0" collapsed="false">
      <c r="A139" s="99"/>
      <c r="B139" s="99"/>
      <c r="C139" s="99"/>
      <c r="D139" s="121"/>
      <c r="E139" s="99"/>
      <c r="F139" s="100" t="str">
        <f aca="false">IF(E139="CONTADO", 4%, IF(E139="TARJETA / CHEQUE", 3%, IF(OR(E139="FINANCIADO", E139="MCP"), 2.5%, "")))</f>
        <v/>
      </c>
      <c r="G139" s="98" t="str">
        <f aca="false">IF(F139="", "", F139*D139)</f>
        <v/>
      </c>
      <c r="H139" s="156" t="b">
        <f aca="false">FALSE()</f>
        <v>0</v>
      </c>
      <c r="I139" s="156" t="b">
        <f aca="false">FALSE()</f>
        <v>0</v>
      </c>
      <c r="J139" s="102"/>
      <c r="K139" s="96"/>
      <c r="L139" s="83"/>
      <c r="M139" s="103"/>
      <c r="N139" s="103"/>
      <c r="O139" s="103"/>
      <c r="P139" s="103"/>
      <c r="Q139" s="103"/>
      <c r="R139" s="83"/>
      <c r="S139" s="103"/>
      <c r="T139" s="103"/>
      <c r="U139" s="103"/>
    </row>
    <row r="140" customFormat="false" ht="22.5" hidden="false" customHeight="true" outlineLevel="0" collapsed="false">
      <c r="A140" s="110"/>
      <c r="B140" s="110"/>
      <c r="C140" s="110"/>
      <c r="D140" s="122"/>
      <c r="E140" s="110"/>
      <c r="F140" s="111" t="str">
        <f aca="false">IF(E140="CONTADO", 4%, IF(E140="TARJETA / CHEQUE", 3%, IF(OR(E140="FINANCIADO", E140="MCP"), 2.5%, "")))</f>
        <v/>
      </c>
      <c r="G140" s="109" t="str">
        <f aca="false">IF(F140="", "", F140*D140)</f>
        <v/>
      </c>
      <c r="H140" s="157" t="b">
        <f aca="false">FALSE()</f>
        <v>0</v>
      </c>
      <c r="I140" s="157" t="b">
        <f aca="false">FALSE()</f>
        <v>0</v>
      </c>
      <c r="J140" s="113"/>
      <c r="K140" s="107"/>
      <c r="L140" s="83"/>
      <c r="M140" s="103"/>
      <c r="N140" s="103"/>
      <c r="O140" s="103"/>
      <c r="P140" s="103"/>
      <c r="Q140" s="103"/>
      <c r="R140" s="83"/>
      <c r="S140" s="103"/>
      <c r="T140" s="103"/>
      <c r="U140" s="103"/>
    </row>
    <row r="141" customFormat="false" ht="22.5" hidden="false" customHeight="true" outlineLevel="0" collapsed="false">
      <c r="A141" s="99"/>
      <c r="B141" s="99"/>
      <c r="C141" s="99"/>
      <c r="D141" s="121"/>
      <c r="E141" s="99"/>
      <c r="F141" s="100" t="str">
        <f aca="false">IF(E141="CONTADO", 4%, IF(E141="TARJETA / CHEQUE", 3%, IF(OR(E141="FINANCIADO", E141="MCP"), 2.5%, "")))</f>
        <v/>
      </c>
      <c r="G141" s="98" t="str">
        <f aca="false">IF(F141="", "", F141*D141)</f>
        <v/>
      </c>
      <c r="H141" s="156" t="b">
        <f aca="false">FALSE()</f>
        <v>0</v>
      </c>
      <c r="I141" s="156" t="b">
        <f aca="false">FALSE()</f>
        <v>0</v>
      </c>
      <c r="J141" s="102"/>
      <c r="K141" s="96"/>
      <c r="L141" s="83"/>
      <c r="M141" s="103"/>
      <c r="N141" s="103"/>
      <c r="O141" s="103"/>
      <c r="P141" s="103"/>
      <c r="Q141" s="103"/>
      <c r="R141" s="83"/>
      <c r="S141" s="103"/>
      <c r="T141" s="103"/>
      <c r="U141" s="103"/>
    </row>
    <row r="142" customFormat="false" ht="22.5" hidden="false" customHeight="true" outlineLevel="0" collapsed="false">
      <c r="A142" s="110"/>
      <c r="B142" s="110"/>
      <c r="C142" s="110"/>
      <c r="D142" s="122"/>
      <c r="E142" s="110"/>
      <c r="F142" s="111" t="str">
        <f aca="false">IF(E142="CONTADO", 4%, IF(E142="TARJETA / CHEQUE", 3%, IF(OR(E142="FINANCIADO", E142="MCP"), 2.5%, "")))</f>
        <v/>
      </c>
      <c r="G142" s="109" t="str">
        <f aca="false">IF(F142="", "", F142*D142)</f>
        <v/>
      </c>
      <c r="H142" s="157" t="b">
        <f aca="false">FALSE()</f>
        <v>0</v>
      </c>
      <c r="I142" s="157" t="b">
        <f aca="false">FALSE()</f>
        <v>0</v>
      </c>
      <c r="J142" s="113"/>
      <c r="K142" s="107"/>
      <c r="L142" s="83"/>
      <c r="M142" s="103"/>
      <c r="N142" s="103"/>
      <c r="O142" s="103"/>
      <c r="P142" s="103"/>
      <c r="Q142" s="103"/>
      <c r="R142" s="83"/>
      <c r="S142" s="103"/>
      <c r="T142" s="103"/>
      <c r="U142" s="103"/>
    </row>
    <row r="143" customFormat="false" ht="22.5" hidden="false" customHeight="true" outlineLevel="0" collapsed="false">
      <c r="A143" s="99"/>
      <c r="B143" s="99"/>
      <c r="C143" s="99"/>
      <c r="D143" s="121"/>
      <c r="E143" s="99"/>
      <c r="F143" s="100" t="str">
        <f aca="false">IF(E143="CONTADO", 4%, IF(E143="TARJETA / CHEQUE", 3%, IF(OR(E143="FINANCIADO", E143="MCP"), 2.5%, "")))</f>
        <v/>
      </c>
      <c r="G143" s="98" t="str">
        <f aca="false">IF(F143="", "", F143*D143)</f>
        <v/>
      </c>
      <c r="H143" s="156" t="b">
        <f aca="false">FALSE()</f>
        <v>0</v>
      </c>
      <c r="I143" s="156" t="b">
        <f aca="false">FALSE()</f>
        <v>0</v>
      </c>
      <c r="J143" s="102"/>
      <c r="K143" s="96"/>
      <c r="L143" s="83"/>
      <c r="M143" s="103"/>
      <c r="N143" s="103"/>
      <c r="O143" s="103"/>
      <c r="P143" s="103"/>
      <c r="Q143" s="103"/>
      <c r="R143" s="83"/>
      <c r="S143" s="103"/>
      <c r="T143" s="103"/>
      <c r="U143" s="103"/>
    </row>
    <row r="144" customFormat="false" ht="22.5" hidden="false" customHeight="true" outlineLevel="0" collapsed="false">
      <c r="A144" s="110"/>
      <c r="B144" s="110"/>
      <c r="C144" s="110"/>
      <c r="D144" s="122"/>
      <c r="E144" s="110"/>
      <c r="F144" s="111" t="str">
        <f aca="false">IF(E144="CONTADO", 4%, IF(E144="TARJETA / CHEQUE", 3%, IF(OR(E144="FINANCIADO", E144="MCP"), 2.5%, "")))</f>
        <v/>
      </c>
      <c r="G144" s="109" t="str">
        <f aca="false">IF(F144="", "", F144*D144)</f>
        <v/>
      </c>
      <c r="H144" s="157" t="b">
        <f aca="false">FALSE()</f>
        <v>0</v>
      </c>
      <c r="I144" s="157" t="b">
        <f aca="false">FALSE()</f>
        <v>0</v>
      </c>
      <c r="J144" s="113"/>
      <c r="K144" s="107"/>
      <c r="L144" s="83"/>
      <c r="M144" s="103"/>
      <c r="N144" s="103"/>
      <c r="O144" s="103"/>
      <c r="P144" s="103"/>
      <c r="Q144" s="103"/>
      <c r="R144" s="83"/>
      <c r="S144" s="103"/>
      <c r="T144" s="103"/>
      <c r="U144" s="103"/>
    </row>
    <row r="145" customFormat="false" ht="22.5" hidden="false" customHeight="true" outlineLevel="0" collapsed="false">
      <c r="A145" s="99"/>
      <c r="B145" s="99"/>
      <c r="C145" s="99"/>
      <c r="D145" s="121"/>
      <c r="E145" s="99"/>
      <c r="F145" s="100" t="str">
        <f aca="false">IF(E145="CONTADO", 4%, IF(E145="TARJETA / CHEQUE", 3%, IF(OR(E145="FINANCIADO", E145="MCP"), 2.5%, "")))</f>
        <v/>
      </c>
      <c r="G145" s="98" t="str">
        <f aca="false">IF(F145="", "", F145*D145)</f>
        <v/>
      </c>
      <c r="H145" s="156" t="b">
        <f aca="false">FALSE()</f>
        <v>0</v>
      </c>
      <c r="I145" s="156" t="b">
        <f aca="false">FALSE()</f>
        <v>0</v>
      </c>
      <c r="J145" s="102"/>
      <c r="K145" s="96"/>
      <c r="L145" s="83"/>
      <c r="M145" s="103"/>
      <c r="N145" s="103"/>
      <c r="O145" s="103"/>
      <c r="P145" s="103"/>
      <c r="Q145" s="103"/>
      <c r="R145" s="83"/>
      <c r="S145" s="103"/>
      <c r="T145" s="103"/>
      <c r="U145" s="103"/>
    </row>
    <row r="146" customFormat="false" ht="22.5" hidden="false" customHeight="true" outlineLevel="0" collapsed="false">
      <c r="A146" s="110"/>
      <c r="B146" s="110"/>
      <c r="C146" s="110"/>
      <c r="D146" s="122"/>
      <c r="E146" s="110"/>
      <c r="F146" s="111" t="str">
        <f aca="false">IF(E146="CONTADO", 4%, IF(E146="TARJETA / CHEQUE", 3%, IF(OR(E146="FINANCIADO", E146="MCP"), 2.5%, "")))</f>
        <v/>
      </c>
      <c r="G146" s="109" t="str">
        <f aca="false">IF(F146="", "", F146*D146)</f>
        <v/>
      </c>
      <c r="H146" s="157" t="b">
        <f aca="false">FALSE()</f>
        <v>0</v>
      </c>
      <c r="I146" s="157" t="b">
        <f aca="false">FALSE()</f>
        <v>0</v>
      </c>
      <c r="J146" s="113"/>
      <c r="K146" s="107"/>
      <c r="L146" s="83"/>
      <c r="M146" s="103"/>
      <c r="N146" s="103"/>
      <c r="O146" s="103"/>
      <c r="P146" s="103"/>
      <c r="Q146" s="103"/>
      <c r="R146" s="83"/>
      <c r="S146" s="103"/>
      <c r="T146" s="103"/>
      <c r="U146" s="103"/>
    </row>
    <row r="147" customFormat="false" ht="22.5" hidden="false" customHeight="true" outlineLevel="0" collapsed="false">
      <c r="A147" s="99"/>
      <c r="B147" s="99"/>
      <c r="C147" s="99"/>
      <c r="D147" s="121"/>
      <c r="E147" s="99"/>
      <c r="F147" s="100" t="str">
        <f aca="false">IF(E147="CONTADO", 4%, IF(E147="TARJETA / CHEQUE", 3%, IF(OR(E147="FINANCIADO", E147="MCP"), 2.5%, "")))</f>
        <v/>
      </c>
      <c r="G147" s="98" t="str">
        <f aca="false">IF(F147="", "", F147*D147)</f>
        <v/>
      </c>
      <c r="H147" s="156" t="b">
        <f aca="false">FALSE()</f>
        <v>0</v>
      </c>
      <c r="I147" s="156" t="b">
        <f aca="false">FALSE()</f>
        <v>0</v>
      </c>
      <c r="J147" s="102"/>
      <c r="K147" s="96"/>
      <c r="L147" s="83"/>
      <c r="M147" s="103"/>
      <c r="N147" s="103"/>
      <c r="O147" s="103"/>
      <c r="P147" s="103"/>
      <c r="Q147" s="103"/>
      <c r="R147" s="83"/>
      <c r="S147" s="103"/>
      <c r="T147" s="103"/>
      <c r="U147" s="103"/>
    </row>
    <row r="148" customFormat="false" ht="22.5" hidden="false" customHeight="true" outlineLevel="0" collapsed="false">
      <c r="A148" s="110"/>
      <c r="B148" s="110"/>
      <c r="C148" s="110"/>
      <c r="D148" s="122"/>
      <c r="E148" s="110"/>
      <c r="F148" s="111" t="str">
        <f aca="false">IF(E148="CONTADO", 4%, IF(E148="TARJETA / CHEQUE", 3%, IF(OR(E148="FINANCIADO", E148="MCP"), 2.5%, "")))</f>
        <v/>
      </c>
      <c r="G148" s="109" t="str">
        <f aca="false">IF(F148="", "", F148*D148)</f>
        <v/>
      </c>
      <c r="H148" s="157" t="b">
        <f aca="false">FALSE()</f>
        <v>0</v>
      </c>
      <c r="I148" s="157" t="b">
        <f aca="false">FALSE()</f>
        <v>0</v>
      </c>
      <c r="J148" s="113"/>
      <c r="K148" s="107"/>
      <c r="L148" s="83"/>
      <c r="M148" s="103"/>
      <c r="N148" s="103"/>
      <c r="O148" s="103"/>
      <c r="P148" s="103"/>
      <c r="Q148" s="103"/>
      <c r="R148" s="83"/>
      <c r="S148" s="103"/>
      <c r="T148" s="103"/>
      <c r="U148" s="103"/>
    </row>
    <row r="149" customFormat="false" ht="22.5" hidden="false" customHeight="true" outlineLevel="0" collapsed="false">
      <c r="A149" s="99"/>
      <c r="B149" s="99"/>
      <c r="C149" s="99"/>
      <c r="D149" s="121"/>
      <c r="E149" s="99"/>
      <c r="F149" s="100" t="str">
        <f aca="false">IF(E149="CONTADO", 4%, IF(E149="TARJETA / CHEQUE", 3%, IF(OR(E149="FINANCIADO", E149="MCP"), 2.5%, "")))</f>
        <v/>
      </c>
      <c r="G149" s="98" t="str">
        <f aca="false">IF(F149="", "", F149*D149)</f>
        <v/>
      </c>
      <c r="H149" s="156" t="b">
        <f aca="false">FALSE()</f>
        <v>0</v>
      </c>
      <c r="I149" s="156" t="b">
        <f aca="false">FALSE()</f>
        <v>0</v>
      </c>
      <c r="J149" s="102"/>
      <c r="K149" s="96"/>
      <c r="L149" s="83"/>
      <c r="M149" s="103"/>
      <c r="N149" s="103"/>
      <c r="O149" s="103"/>
      <c r="P149" s="103"/>
      <c r="Q149" s="103"/>
      <c r="R149" s="83"/>
      <c r="S149" s="103"/>
      <c r="T149" s="103"/>
      <c r="U149" s="103"/>
    </row>
    <row r="150" customFormat="false" ht="22.5" hidden="false" customHeight="true" outlineLevel="0" collapsed="false">
      <c r="A150" s="110"/>
      <c r="B150" s="110"/>
      <c r="C150" s="110"/>
      <c r="D150" s="122"/>
      <c r="E150" s="110"/>
      <c r="F150" s="111" t="str">
        <f aca="false">IF(E150="CONTADO", 4%, IF(E150="TARJETA / CHEQUE", 3%, IF(OR(E150="FINANCIADO", E150="MCP"), 2.5%, "")))</f>
        <v/>
      </c>
      <c r="G150" s="109" t="str">
        <f aca="false">IF(F150="", "", F150*D150)</f>
        <v/>
      </c>
      <c r="H150" s="157" t="b">
        <f aca="false">FALSE()</f>
        <v>0</v>
      </c>
      <c r="I150" s="157" t="b">
        <f aca="false">FALSE()</f>
        <v>0</v>
      </c>
      <c r="J150" s="113"/>
      <c r="K150" s="107"/>
      <c r="L150" s="83"/>
      <c r="M150" s="103"/>
      <c r="N150" s="103"/>
      <c r="O150" s="103"/>
      <c r="P150" s="103"/>
      <c r="Q150" s="103"/>
      <c r="R150" s="83"/>
      <c r="S150" s="103"/>
      <c r="T150" s="103"/>
      <c r="U150" s="103"/>
    </row>
    <row r="151" customFormat="false" ht="22.5" hidden="false" customHeight="true" outlineLevel="0" collapsed="false">
      <c r="A151" s="99"/>
      <c r="B151" s="99"/>
      <c r="C151" s="99"/>
      <c r="D151" s="121"/>
      <c r="E151" s="99"/>
      <c r="F151" s="100" t="str">
        <f aca="false">IF(E151="CONTADO", 4%, IF(E151="TARJETA / CHEQUE", 3%, IF(OR(E151="FINANCIADO", E151="MCP"), 2.5%, "")))</f>
        <v/>
      </c>
      <c r="G151" s="98" t="str">
        <f aca="false">IF(F151="", "", F151*D151)</f>
        <v/>
      </c>
      <c r="H151" s="156" t="b">
        <f aca="false">FALSE()</f>
        <v>0</v>
      </c>
      <c r="I151" s="156" t="b">
        <f aca="false">FALSE()</f>
        <v>0</v>
      </c>
      <c r="J151" s="102"/>
      <c r="K151" s="96"/>
      <c r="L151" s="83"/>
      <c r="M151" s="103"/>
      <c r="N151" s="103"/>
      <c r="O151" s="103"/>
      <c r="P151" s="103"/>
      <c r="Q151" s="103"/>
      <c r="R151" s="83"/>
      <c r="S151" s="103"/>
      <c r="T151" s="103"/>
      <c r="U151" s="103"/>
    </row>
    <row r="152" customFormat="false" ht="22.5" hidden="false" customHeight="true" outlineLevel="0" collapsed="false">
      <c r="A152" s="110"/>
      <c r="B152" s="110"/>
      <c r="C152" s="110"/>
      <c r="D152" s="122"/>
      <c r="E152" s="110"/>
      <c r="F152" s="111" t="str">
        <f aca="false">IF(E152="CONTADO", 4%, IF(E152="TARJETA / CHEQUE", 3%, IF(OR(E152="FINANCIADO", E152="MCP"), 2.5%, "")))</f>
        <v/>
      </c>
      <c r="G152" s="109" t="str">
        <f aca="false">IF(F152="", "", F152*D152)</f>
        <v/>
      </c>
      <c r="H152" s="131" t="b">
        <f aca="false">FALSE()</f>
        <v>0</v>
      </c>
      <c r="I152" s="131" t="b">
        <f aca="false">FALSE()</f>
        <v>0</v>
      </c>
      <c r="J152" s="130"/>
      <c r="K152" s="110"/>
      <c r="L152" s="83"/>
      <c r="M152" s="103"/>
      <c r="N152" s="103"/>
      <c r="O152" s="103"/>
      <c r="P152" s="103"/>
      <c r="Q152" s="103"/>
      <c r="R152" s="83"/>
      <c r="S152" s="103"/>
      <c r="T152" s="103"/>
      <c r="U152" s="103"/>
    </row>
    <row r="153" customFormat="false" ht="22.5" hidden="false" customHeight="true" outlineLevel="0" collapsed="false">
      <c r="A153" s="99"/>
      <c r="B153" s="99"/>
      <c r="C153" s="99"/>
      <c r="D153" s="121"/>
      <c r="E153" s="99"/>
      <c r="F153" s="100" t="str">
        <f aca="false">IF(E153="CONTADO", 4%, IF(E153="TARJETA / CHEQUE", 3%, IF(OR(E153="FINANCIADO", E153="MCP"), 2.5%, "")))</f>
        <v/>
      </c>
      <c r="G153" s="98" t="str">
        <f aca="false">IF(F153="", "", F153*D153)</f>
        <v/>
      </c>
      <c r="H153" s="132" t="b">
        <f aca="false">FALSE()</f>
        <v>0</v>
      </c>
      <c r="I153" s="132" t="b">
        <f aca="false">FALSE()</f>
        <v>0</v>
      </c>
      <c r="J153" s="126"/>
      <c r="K153" s="99"/>
      <c r="L153" s="83"/>
      <c r="M153" s="103"/>
      <c r="N153" s="103"/>
      <c r="O153" s="103"/>
      <c r="P153" s="103"/>
      <c r="Q153" s="103"/>
      <c r="R153" s="83"/>
      <c r="S153" s="103"/>
      <c r="T153" s="103"/>
      <c r="U153" s="103"/>
    </row>
    <row r="154" customFormat="false" ht="22.5" hidden="false" customHeight="true" outlineLevel="0" collapsed="false">
      <c r="A154" s="110"/>
      <c r="B154" s="110"/>
      <c r="C154" s="110"/>
      <c r="D154" s="122"/>
      <c r="E154" s="110"/>
      <c r="F154" s="111" t="str">
        <f aca="false">IF(E154="CONTADO", 4%, IF(E154="TARJETA / CHEQUE", 3%, IF(OR(E154="FINANCIADO", E154="MCP"), 2.5%, "")))</f>
        <v/>
      </c>
      <c r="G154" s="109" t="str">
        <f aca="false">IF(F154="", "", F154*D154)</f>
        <v/>
      </c>
      <c r="H154" s="131" t="b">
        <f aca="false">FALSE()</f>
        <v>0</v>
      </c>
      <c r="I154" s="131" t="b">
        <f aca="false">FALSE()</f>
        <v>0</v>
      </c>
      <c r="J154" s="130"/>
      <c r="K154" s="110"/>
      <c r="L154" s="83"/>
      <c r="M154" s="103"/>
      <c r="N154" s="103"/>
      <c r="O154" s="103"/>
      <c r="P154" s="103"/>
      <c r="Q154" s="103"/>
      <c r="R154" s="83"/>
      <c r="S154" s="103"/>
      <c r="T154" s="103"/>
      <c r="U154" s="103"/>
    </row>
    <row r="155" customFormat="false" ht="22.5" hidden="false" customHeight="true" outlineLevel="0" collapsed="false">
      <c r="A155" s="99"/>
      <c r="B155" s="99"/>
      <c r="C155" s="99"/>
      <c r="D155" s="121"/>
      <c r="E155" s="99"/>
      <c r="F155" s="100" t="str">
        <f aca="false">IF(E155="CONTADO", 4%, IF(E155="TARJETA / CHEQUE", 3%, IF(OR(E155="FINANCIADO", E155="MCP"), 2.5%, "")))</f>
        <v/>
      </c>
      <c r="G155" s="98" t="str">
        <f aca="false">IF(F155="", "", F155*D155)</f>
        <v/>
      </c>
      <c r="H155" s="132" t="b">
        <f aca="false">FALSE()</f>
        <v>0</v>
      </c>
      <c r="I155" s="132" t="b">
        <f aca="false">FALSE()</f>
        <v>0</v>
      </c>
      <c r="J155" s="126"/>
      <c r="K155" s="99"/>
      <c r="L155" s="83"/>
      <c r="M155" s="103"/>
      <c r="N155" s="103"/>
      <c r="O155" s="103"/>
      <c r="P155" s="103"/>
      <c r="Q155" s="103"/>
      <c r="R155" s="83"/>
      <c r="S155" s="103"/>
      <c r="T155" s="103"/>
      <c r="U155" s="103"/>
    </row>
    <row r="156" customFormat="false" ht="22.5" hidden="false" customHeight="true" outlineLevel="0" collapsed="false">
      <c r="A156" s="110"/>
      <c r="B156" s="110"/>
      <c r="C156" s="110"/>
      <c r="D156" s="122"/>
      <c r="E156" s="110"/>
      <c r="F156" s="111" t="str">
        <f aca="false">IF(E156="CONTADO", 4%, IF(E156="TARJETA / CHEQUE", 3%, IF(OR(E156="FINANCIADO", E156="MCP"), 2.5%, "")))</f>
        <v/>
      </c>
      <c r="G156" s="109" t="str">
        <f aca="false">IF(F156="", "", F156*D156)</f>
        <v/>
      </c>
      <c r="H156" s="131" t="b">
        <f aca="false">FALSE()</f>
        <v>0</v>
      </c>
      <c r="I156" s="131" t="b">
        <f aca="false">FALSE()</f>
        <v>0</v>
      </c>
      <c r="J156" s="130"/>
      <c r="K156" s="110"/>
      <c r="L156" s="83"/>
      <c r="M156" s="103"/>
      <c r="N156" s="103"/>
      <c r="O156" s="103"/>
      <c r="P156" s="103"/>
      <c r="Q156" s="103"/>
      <c r="R156" s="83"/>
      <c r="S156" s="103"/>
      <c r="T156" s="103"/>
      <c r="U156" s="103"/>
    </row>
    <row r="157" customFormat="false" ht="22.5" hidden="false" customHeight="true" outlineLevel="0" collapsed="false">
      <c r="A157" s="99"/>
      <c r="B157" s="99"/>
      <c r="C157" s="99"/>
      <c r="D157" s="121"/>
      <c r="E157" s="99"/>
      <c r="F157" s="100" t="str">
        <f aca="false">IF(E157="CONTADO", 4%, IF(E157="TARJETA / CHEQUE", 3%, IF(OR(E157="FINANCIADO", E157="MCP"), 2.5%, "")))</f>
        <v/>
      </c>
      <c r="G157" s="98" t="str">
        <f aca="false">IF(F157="", "", F157*D157)</f>
        <v/>
      </c>
      <c r="H157" s="132" t="b">
        <f aca="false">FALSE()</f>
        <v>0</v>
      </c>
      <c r="I157" s="132" t="b">
        <f aca="false">FALSE()</f>
        <v>0</v>
      </c>
      <c r="J157" s="126"/>
      <c r="K157" s="99"/>
      <c r="L157" s="83"/>
      <c r="M157" s="103"/>
      <c r="N157" s="103"/>
      <c r="O157" s="103"/>
      <c r="P157" s="103"/>
      <c r="Q157" s="103"/>
      <c r="R157" s="83"/>
      <c r="S157" s="103"/>
      <c r="T157" s="103"/>
      <c r="U157" s="103"/>
    </row>
    <row r="158" customFormat="false" ht="22.5" hidden="false" customHeight="true" outlineLevel="0" collapsed="false">
      <c r="A158" s="110"/>
      <c r="B158" s="110"/>
      <c r="C158" s="110"/>
      <c r="D158" s="122"/>
      <c r="E158" s="110"/>
      <c r="F158" s="111" t="str">
        <f aca="false">IF(E158="CONTADO", 4%, IF(E158="TARJETA / CHEQUE", 3%, IF(OR(E158="FINANCIADO", E158="MCP"), 2.5%, "")))</f>
        <v/>
      </c>
      <c r="G158" s="109" t="str">
        <f aca="false">IF(F158="", "", F158*D158)</f>
        <v/>
      </c>
      <c r="H158" s="131" t="b">
        <f aca="false">FALSE()</f>
        <v>0</v>
      </c>
      <c r="I158" s="131" t="b">
        <f aca="false">FALSE()</f>
        <v>0</v>
      </c>
      <c r="J158" s="130"/>
      <c r="K158" s="110"/>
      <c r="L158" s="83"/>
      <c r="M158" s="103"/>
      <c r="N158" s="103"/>
      <c r="O158" s="103"/>
      <c r="P158" s="103"/>
      <c r="Q158" s="103"/>
      <c r="R158" s="83"/>
      <c r="S158" s="103"/>
      <c r="T158" s="103"/>
      <c r="U158" s="103"/>
    </row>
    <row r="159" customFormat="false" ht="22.5" hidden="false" customHeight="true" outlineLevel="0" collapsed="false">
      <c r="A159" s="99"/>
      <c r="B159" s="99"/>
      <c r="C159" s="99"/>
      <c r="D159" s="121"/>
      <c r="E159" s="99"/>
      <c r="F159" s="100" t="str">
        <f aca="false">IF(E159="CONTADO", 4%, IF(E159="TARJETA / CHEQUE", 3%, IF(OR(E159="FINANCIADO", E159="MCP"), 2.5%, "")))</f>
        <v/>
      </c>
      <c r="G159" s="98" t="str">
        <f aca="false">IF(F159="", "", F159*D159)</f>
        <v/>
      </c>
      <c r="H159" s="132" t="b">
        <f aca="false">FALSE()</f>
        <v>0</v>
      </c>
      <c r="I159" s="132" t="b">
        <f aca="false">FALSE()</f>
        <v>0</v>
      </c>
      <c r="J159" s="126"/>
      <c r="K159" s="99"/>
      <c r="L159" s="83"/>
      <c r="M159" s="103"/>
      <c r="N159" s="103"/>
      <c r="O159" s="103"/>
      <c r="P159" s="103"/>
      <c r="Q159" s="103"/>
      <c r="R159" s="83"/>
      <c r="S159" s="103"/>
      <c r="T159" s="103"/>
      <c r="U159" s="103"/>
    </row>
    <row r="160" customFormat="false" ht="22.5" hidden="false" customHeight="true" outlineLevel="0" collapsed="false">
      <c r="A160" s="110"/>
      <c r="B160" s="110"/>
      <c r="C160" s="110"/>
      <c r="D160" s="122"/>
      <c r="E160" s="110"/>
      <c r="F160" s="111" t="str">
        <f aca="false">IF(E160="CONTADO", 4%, IF(E160="TARJETA / CHEQUE", 3%, IF(OR(E160="FINANCIADO", E160="MCP"), 2.5%, "")))</f>
        <v/>
      </c>
      <c r="G160" s="109" t="str">
        <f aca="false">IF(F160="", "", F160*D160)</f>
        <v/>
      </c>
      <c r="H160" s="131" t="b">
        <f aca="false">FALSE()</f>
        <v>0</v>
      </c>
      <c r="I160" s="131" t="b">
        <f aca="false">FALSE()</f>
        <v>0</v>
      </c>
      <c r="J160" s="130"/>
      <c r="K160" s="110"/>
      <c r="L160" s="83"/>
      <c r="M160" s="103"/>
      <c r="N160" s="103"/>
      <c r="O160" s="103"/>
      <c r="P160" s="103"/>
      <c r="Q160" s="103"/>
      <c r="R160" s="83"/>
      <c r="S160" s="103"/>
      <c r="T160" s="103"/>
      <c r="U160" s="103"/>
    </row>
    <row r="161" customFormat="false" ht="22.5" hidden="false" customHeight="true" outlineLevel="0" collapsed="false">
      <c r="A161" s="99"/>
      <c r="B161" s="99"/>
      <c r="C161" s="99"/>
      <c r="D161" s="121"/>
      <c r="E161" s="99"/>
      <c r="F161" s="100" t="str">
        <f aca="false">IF(E161="CONTADO", 4%, IF(E161="TARJETA / CHEQUE", 3%, IF(OR(E161="FINANCIADO", E161="MCP"), 2.5%, "")))</f>
        <v/>
      </c>
      <c r="G161" s="98" t="str">
        <f aca="false">IF(F161="", "", F161*D161)</f>
        <v/>
      </c>
      <c r="H161" s="132" t="b">
        <f aca="false">FALSE()</f>
        <v>0</v>
      </c>
      <c r="I161" s="132" t="b">
        <f aca="false">FALSE()</f>
        <v>0</v>
      </c>
      <c r="J161" s="126"/>
      <c r="K161" s="99"/>
      <c r="L161" s="83"/>
      <c r="M161" s="103"/>
      <c r="N161" s="103"/>
      <c r="O161" s="103"/>
      <c r="P161" s="103"/>
      <c r="Q161" s="103"/>
      <c r="R161" s="83"/>
      <c r="S161" s="103"/>
      <c r="T161" s="103"/>
      <c r="U161" s="103"/>
    </row>
    <row r="162" customFormat="false" ht="22.5" hidden="false" customHeight="true" outlineLevel="0" collapsed="false">
      <c r="A162" s="110"/>
      <c r="B162" s="110"/>
      <c r="C162" s="110"/>
      <c r="D162" s="122"/>
      <c r="E162" s="110"/>
      <c r="F162" s="111" t="str">
        <f aca="false">IF(E162="CONTADO", 4%, IF(E162="TARJETA / CHEQUE", 3%, IF(OR(E162="FINANCIADO", E162="MCP"), 2.5%, "")))</f>
        <v/>
      </c>
      <c r="G162" s="109" t="str">
        <f aca="false">IF(F162="", "", F162*D162)</f>
        <v/>
      </c>
      <c r="H162" s="131" t="b">
        <f aca="false">FALSE()</f>
        <v>0</v>
      </c>
      <c r="I162" s="131" t="b">
        <f aca="false">FALSE()</f>
        <v>0</v>
      </c>
      <c r="J162" s="130"/>
      <c r="K162" s="110"/>
      <c r="L162" s="83"/>
      <c r="M162" s="103"/>
      <c r="N162" s="103"/>
      <c r="O162" s="103"/>
      <c r="P162" s="103"/>
      <c r="Q162" s="103"/>
      <c r="R162" s="83"/>
      <c r="S162" s="103"/>
      <c r="T162" s="103"/>
      <c r="U162" s="103"/>
    </row>
    <row r="163" customFormat="false" ht="22.5" hidden="false" customHeight="true" outlineLevel="0" collapsed="false">
      <c r="A163" s="99"/>
      <c r="B163" s="99"/>
      <c r="C163" s="99"/>
      <c r="D163" s="121"/>
      <c r="E163" s="99"/>
      <c r="F163" s="100" t="str">
        <f aca="false">IF(E163="CONTADO", 4%, IF(E163="TARJETA / CHEQUE", 3%, IF(OR(E163="FINANCIADO", E163="MCP"), 2.5%, "")))</f>
        <v/>
      </c>
      <c r="G163" s="98" t="str">
        <f aca="false">IF(F163="", "", F163*D163)</f>
        <v/>
      </c>
      <c r="H163" s="132" t="b">
        <f aca="false">FALSE()</f>
        <v>0</v>
      </c>
      <c r="I163" s="132" t="b">
        <f aca="false">FALSE()</f>
        <v>0</v>
      </c>
      <c r="J163" s="126"/>
      <c r="K163" s="99"/>
      <c r="L163" s="83"/>
      <c r="M163" s="103"/>
      <c r="N163" s="103"/>
      <c r="O163" s="103"/>
      <c r="P163" s="103"/>
      <c r="Q163" s="103"/>
      <c r="R163" s="83"/>
      <c r="S163" s="103"/>
      <c r="T163" s="103"/>
      <c r="U163" s="103"/>
    </row>
    <row r="164" customFormat="false" ht="22.5" hidden="false" customHeight="true" outlineLevel="0" collapsed="false">
      <c r="A164" s="110"/>
      <c r="B164" s="110"/>
      <c r="C164" s="110"/>
      <c r="D164" s="122"/>
      <c r="E164" s="110"/>
      <c r="F164" s="111" t="str">
        <f aca="false">IF(E164="CONTADO", 4%, IF(E164="TARJETA / CHEQUE", 3%, IF(OR(E164="FINANCIADO", E164="MCP"), 2.5%, "")))</f>
        <v/>
      </c>
      <c r="G164" s="109" t="str">
        <f aca="false">IF(F164="", "", F164*D164)</f>
        <v/>
      </c>
      <c r="H164" s="131" t="b">
        <f aca="false">FALSE()</f>
        <v>0</v>
      </c>
      <c r="I164" s="131" t="b">
        <f aca="false">FALSE()</f>
        <v>0</v>
      </c>
      <c r="J164" s="130"/>
      <c r="K164" s="110"/>
      <c r="L164" s="83"/>
      <c r="M164" s="103"/>
      <c r="N164" s="103"/>
      <c r="O164" s="103"/>
      <c r="P164" s="103"/>
      <c r="Q164" s="103"/>
      <c r="R164" s="83"/>
      <c r="S164" s="103"/>
      <c r="T164" s="103"/>
      <c r="U164" s="103"/>
    </row>
    <row r="165" customFormat="false" ht="22.5" hidden="false" customHeight="true" outlineLevel="0" collapsed="false">
      <c r="A165" s="99"/>
      <c r="B165" s="99"/>
      <c r="C165" s="99"/>
      <c r="D165" s="121"/>
      <c r="E165" s="99"/>
      <c r="F165" s="100" t="str">
        <f aca="false">IF(E165="CONTADO", 4%, IF(E165="TARJETA / CHEQUE", 3%, IF(OR(E165="FINANCIADO", E165="MCP"), 2.5%, "")))</f>
        <v/>
      </c>
      <c r="G165" s="98" t="str">
        <f aca="false">IF(F165="", "", F165*D165)</f>
        <v/>
      </c>
      <c r="H165" s="132" t="b">
        <f aca="false">FALSE()</f>
        <v>0</v>
      </c>
      <c r="I165" s="132" t="b">
        <f aca="false">FALSE()</f>
        <v>0</v>
      </c>
      <c r="J165" s="126"/>
      <c r="K165" s="99"/>
      <c r="L165" s="83"/>
      <c r="M165" s="103"/>
      <c r="N165" s="103"/>
      <c r="O165" s="103"/>
      <c r="P165" s="103"/>
      <c r="Q165" s="103"/>
      <c r="R165" s="83"/>
      <c r="S165" s="103"/>
      <c r="T165" s="103"/>
      <c r="U165" s="103"/>
    </row>
    <row r="166" customFormat="false" ht="22.5" hidden="false" customHeight="true" outlineLevel="0" collapsed="false">
      <c r="A166" s="110"/>
      <c r="B166" s="110"/>
      <c r="C166" s="110"/>
      <c r="D166" s="122"/>
      <c r="E166" s="110"/>
      <c r="F166" s="111" t="str">
        <f aca="false">IF(E166="CONTADO", 4%, IF(E166="TARJETA / CHEQUE", 3%, IF(OR(E166="FINANCIADO", E166="MCP"), 2.5%, "")))</f>
        <v/>
      </c>
      <c r="G166" s="109" t="str">
        <f aca="false">IF(F166="", "", F166*D166)</f>
        <v/>
      </c>
      <c r="H166" s="131" t="b">
        <f aca="false">FALSE()</f>
        <v>0</v>
      </c>
      <c r="I166" s="131" t="b">
        <f aca="false">FALSE()</f>
        <v>0</v>
      </c>
      <c r="J166" s="130"/>
      <c r="K166" s="110"/>
      <c r="L166" s="83"/>
      <c r="M166" s="103"/>
      <c r="N166" s="103"/>
      <c r="O166" s="103"/>
      <c r="P166" s="103"/>
      <c r="Q166" s="103"/>
      <c r="R166" s="83"/>
      <c r="S166" s="103"/>
      <c r="T166" s="103"/>
      <c r="U166" s="103"/>
    </row>
    <row r="167" customFormat="false" ht="22.5" hidden="false" customHeight="true" outlineLevel="0" collapsed="false">
      <c r="A167" s="99"/>
      <c r="B167" s="99"/>
      <c r="C167" s="99"/>
      <c r="D167" s="121"/>
      <c r="E167" s="99"/>
      <c r="F167" s="100" t="str">
        <f aca="false">IF(E167="CONTADO", 4%, IF(E167="TARJETA / CHEQUE", 3%, IF(OR(E167="FINANCIADO", E167="MCP"), 2.5%, "")))</f>
        <v/>
      </c>
      <c r="G167" s="98" t="str">
        <f aca="false">IF(F167="", "", F167*D167)</f>
        <v/>
      </c>
      <c r="H167" s="132" t="b">
        <f aca="false">FALSE()</f>
        <v>0</v>
      </c>
      <c r="I167" s="132" t="b">
        <f aca="false">FALSE()</f>
        <v>0</v>
      </c>
      <c r="J167" s="126"/>
      <c r="K167" s="99"/>
      <c r="L167" s="83"/>
      <c r="M167" s="103"/>
      <c r="N167" s="103"/>
      <c r="O167" s="103"/>
      <c r="P167" s="103"/>
      <c r="Q167" s="103"/>
      <c r="R167" s="83"/>
      <c r="S167" s="103"/>
      <c r="T167" s="103"/>
      <c r="U167" s="103"/>
    </row>
    <row r="168" customFormat="false" ht="22.5" hidden="false" customHeight="true" outlineLevel="0" collapsed="false">
      <c r="A168" s="110"/>
      <c r="B168" s="110"/>
      <c r="C168" s="110"/>
      <c r="D168" s="122"/>
      <c r="E168" s="110"/>
      <c r="F168" s="111" t="str">
        <f aca="false">IF(E168="CONTADO", 4%, IF(E168="TARJETA / CHEQUE", 3%, IF(OR(E168="FINANCIADO", E168="MCP"), 2.5%, "")))</f>
        <v/>
      </c>
      <c r="G168" s="109" t="str">
        <f aca="false">IF(F168="", "", F168*D168)</f>
        <v/>
      </c>
      <c r="H168" s="131" t="b">
        <f aca="false">FALSE()</f>
        <v>0</v>
      </c>
      <c r="I168" s="131" t="b">
        <f aca="false">FALSE()</f>
        <v>0</v>
      </c>
      <c r="J168" s="130"/>
      <c r="K168" s="110"/>
      <c r="L168" s="83"/>
      <c r="M168" s="103"/>
      <c r="N168" s="103"/>
      <c r="O168" s="103"/>
      <c r="P168" s="103"/>
      <c r="Q168" s="103"/>
      <c r="R168" s="83"/>
      <c r="S168" s="103"/>
      <c r="T168" s="103"/>
      <c r="U168" s="103"/>
    </row>
    <row r="169" customFormat="false" ht="22.5" hidden="false" customHeight="true" outlineLevel="0" collapsed="false">
      <c r="A169" s="99"/>
      <c r="B169" s="99"/>
      <c r="C169" s="99"/>
      <c r="D169" s="121"/>
      <c r="E169" s="99"/>
      <c r="F169" s="100" t="str">
        <f aca="false">IF(E169="CONTADO", 4%, IF(E169="TARJETA / CHEQUE", 3%, IF(OR(E169="FINANCIADO", E169="MCP"), 2.5%, "")))</f>
        <v/>
      </c>
      <c r="G169" s="98" t="str">
        <f aca="false">IF(F169="", "", F169*D169)</f>
        <v/>
      </c>
      <c r="H169" s="132" t="b">
        <f aca="false">FALSE()</f>
        <v>0</v>
      </c>
      <c r="I169" s="132" t="b">
        <f aca="false">FALSE()</f>
        <v>0</v>
      </c>
      <c r="J169" s="126"/>
      <c r="K169" s="99"/>
      <c r="L169" s="83"/>
      <c r="M169" s="103"/>
      <c r="N169" s="103"/>
      <c r="O169" s="103"/>
      <c r="P169" s="103"/>
      <c r="Q169" s="103"/>
      <c r="R169" s="83"/>
      <c r="S169" s="103"/>
      <c r="T169" s="103"/>
      <c r="U169" s="103"/>
    </row>
    <row r="170" customFormat="false" ht="22.5" hidden="false" customHeight="true" outlineLevel="0" collapsed="false">
      <c r="A170" s="110"/>
      <c r="B170" s="110"/>
      <c r="C170" s="110"/>
      <c r="D170" s="122"/>
      <c r="E170" s="110"/>
      <c r="F170" s="111" t="str">
        <f aca="false">IF(E170="CONTADO", 4%, IF(E170="TARJETA / CHEQUE", 3%, IF(OR(E170="FINANCIADO", E170="MCP"), 2.5%, "")))</f>
        <v/>
      </c>
      <c r="G170" s="109" t="str">
        <f aca="false">IF(F170="", "", F170*D170)</f>
        <v/>
      </c>
      <c r="H170" s="131" t="b">
        <f aca="false">FALSE()</f>
        <v>0</v>
      </c>
      <c r="I170" s="131" t="b">
        <f aca="false">FALSE()</f>
        <v>0</v>
      </c>
      <c r="J170" s="130"/>
      <c r="K170" s="110"/>
      <c r="L170" s="83"/>
      <c r="M170" s="103"/>
      <c r="N170" s="103"/>
      <c r="O170" s="103"/>
      <c r="P170" s="103"/>
      <c r="Q170" s="103"/>
      <c r="R170" s="83"/>
      <c r="S170" s="103"/>
      <c r="T170" s="103"/>
      <c r="U170" s="103"/>
    </row>
    <row r="171" customFormat="false" ht="22.5" hidden="false" customHeight="true" outlineLevel="0" collapsed="false">
      <c r="A171" s="99"/>
      <c r="B171" s="99"/>
      <c r="C171" s="99"/>
      <c r="D171" s="121"/>
      <c r="E171" s="99"/>
      <c r="F171" s="100" t="str">
        <f aca="false">IF(E171="CONTADO", 4%, IF(E171="TARJETA / CHEQUE", 3%, IF(OR(E171="FINANCIADO", E171="MCP"), 2.5%, "")))</f>
        <v/>
      </c>
      <c r="G171" s="98" t="str">
        <f aca="false">IF(F171="", "", F171*D171)</f>
        <v/>
      </c>
      <c r="H171" s="132" t="b">
        <f aca="false">FALSE()</f>
        <v>0</v>
      </c>
      <c r="I171" s="132" t="b">
        <f aca="false">FALSE()</f>
        <v>0</v>
      </c>
      <c r="J171" s="126"/>
      <c r="K171" s="99"/>
      <c r="L171" s="83"/>
      <c r="M171" s="103"/>
      <c r="N171" s="103"/>
      <c r="O171" s="103"/>
      <c r="P171" s="103"/>
      <c r="Q171" s="103"/>
      <c r="R171" s="83"/>
      <c r="S171" s="103"/>
      <c r="T171" s="103"/>
      <c r="U171" s="103"/>
    </row>
    <row r="172" customFormat="false" ht="22.5" hidden="false" customHeight="true" outlineLevel="0" collapsed="false">
      <c r="A172" s="110"/>
      <c r="B172" s="110"/>
      <c r="C172" s="110"/>
      <c r="D172" s="122"/>
      <c r="E172" s="110"/>
      <c r="F172" s="111" t="str">
        <f aca="false">IF(E172="CONTADO", 4%, IF(E172="TARJETA / CHEQUE", 3%, IF(OR(E172="FINANCIADO", E172="MCP"), 2.5%, "")))</f>
        <v/>
      </c>
      <c r="G172" s="109" t="str">
        <f aca="false">IF(F172="", "", F172*D172)</f>
        <v/>
      </c>
      <c r="H172" s="131" t="b">
        <f aca="false">FALSE()</f>
        <v>0</v>
      </c>
      <c r="I172" s="131" t="b">
        <f aca="false">FALSE()</f>
        <v>0</v>
      </c>
      <c r="J172" s="130"/>
      <c r="K172" s="110"/>
      <c r="L172" s="83"/>
      <c r="M172" s="103"/>
      <c r="N172" s="103"/>
      <c r="O172" s="103"/>
      <c r="P172" s="103"/>
      <c r="Q172" s="103"/>
      <c r="R172" s="83"/>
      <c r="S172" s="103"/>
      <c r="T172" s="103"/>
      <c r="U172" s="103"/>
    </row>
    <row r="173" customFormat="false" ht="22.5" hidden="false" customHeight="true" outlineLevel="0" collapsed="false">
      <c r="A173" s="99"/>
      <c r="B173" s="99"/>
      <c r="C173" s="99"/>
      <c r="D173" s="121"/>
      <c r="E173" s="99"/>
      <c r="F173" s="100" t="str">
        <f aca="false">IF(E173="CONTADO", 4%, IF(E173="TARJETA / CHEQUE", 3%, IF(OR(E173="FINANCIADO", E173="MCP"), 2.5%, "")))</f>
        <v/>
      </c>
      <c r="G173" s="98" t="str">
        <f aca="false">IF(F173="", "", F173*D173)</f>
        <v/>
      </c>
      <c r="H173" s="132" t="b">
        <f aca="false">FALSE()</f>
        <v>0</v>
      </c>
      <c r="I173" s="132" t="b">
        <f aca="false">FALSE()</f>
        <v>0</v>
      </c>
      <c r="J173" s="126"/>
      <c r="K173" s="99"/>
      <c r="L173" s="83"/>
      <c r="M173" s="103"/>
      <c r="N173" s="103"/>
      <c r="O173" s="103"/>
      <c r="P173" s="103"/>
      <c r="Q173" s="103"/>
      <c r="R173" s="83"/>
      <c r="S173" s="103"/>
      <c r="T173" s="103"/>
      <c r="U173" s="103"/>
    </row>
    <row r="174" customFormat="false" ht="22.5" hidden="false" customHeight="true" outlineLevel="0" collapsed="false">
      <c r="A174" s="110"/>
      <c r="B174" s="110"/>
      <c r="C174" s="110"/>
      <c r="D174" s="122"/>
      <c r="E174" s="110"/>
      <c r="F174" s="111" t="str">
        <f aca="false">IF(E174="CONTADO", 4%, IF(E174="TARJETA / CHEQUE", 3%, IF(OR(E174="FINANCIADO", E174="MCP"), 2.5%, "")))</f>
        <v/>
      </c>
      <c r="G174" s="109" t="str">
        <f aca="false">IF(F174="", "", F174*D174)</f>
        <v/>
      </c>
      <c r="H174" s="131" t="b">
        <f aca="false">FALSE()</f>
        <v>0</v>
      </c>
      <c r="I174" s="131" t="b">
        <f aca="false">FALSE()</f>
        <v>0</v>
      </c>
      <c r="J174" s="130"/>
      <c r="K174" s="110"/>
      <c r="L174" s="83"/>
      <c r="M174" s="103"/>
      <c r="N174" s="103"/>
      <c r="O174" s="103"/>
      <c r="P174" s="103"/>
      <c r="Q174" s="103"/>
      <c r="R174" s="83"/>
      <c r="S174" s="103"/>
      <c r="T174" s="103"/>
      <c r="U174" s="103"/>
    </row>
    <row r="175" customFormat="false" ht="22.5" hidden="false" customHeight="true" outlineLevel="0" collapsed="false">
      <c r="A175" s="99"/>
      <c r="B175" s="99"/>
      <c r="C175" s="99"/>
      <c r="D175" s="121"/>
      <c r="E175" s="99"/>
      <c r="F175" s="100" t="str">
        <f aca="false">IF(E175="CONTADO", 4%, IF(E175="TARJETA / CHEQUE", 3%, IF(OR(E175="FINANCIADO", E175="MCP"), 2.5%, "")))</f>
        <v/>
      </c>
      <c r="G175" s="98" t="str">
        <f aca="false">IF(F175="", "", F175*D175)</f>
        <v/>
      </c>
      <c r="H175" s="132" t="b">
        <f aca="false">FALSE()</f>
        <v>0</v>
      </c>
      <c r="I175" s="132" t="b">
        <f aca="false">FALSE()</f>
        <v>0</v>
      </c>
      <c r="J175" s="126"/>
      <c r="K175" s="99"/>
      <c r="L175" s="83"/>
      <c r="M175" s="103"/>
      <c r="N175" s="103"/>
      <c r="O175" s="103"/>
      <c r="P175" s="103"/>
      <c r="Q175" s="103"/>
      <c r="R175" s="83"/>
      <c r="S175" s="103"/>
      <c r="T175" s="103"/>
      <c r="U175" s="103"/>
    </row>
    <row r="176" customFormat="false" ht="22.5" hidden="false" customHeight="true" outlineLevel="0" collapsed="false">
      <c r="A176" s="110"/>
      <c r="B176" s="110"/>
      <c r="C176" s="110"/>
      <c r="D176" s="122"/>
      <c r="E176" s="110"/>
      <c r="F176" s="111" t="str">
        <f aca="false">IF(E176="CONTADO", 4%, IF(E176="TARJETA / CHEQUE", 3%, IF(OR(E176="FINANCIADO", E176="MCP"), 2.5%, "")))</f>
        <v/>
      </c>
      <c r="G176" s="109" t="str">
        <f aca="false">IF(F176="", "", F176*D176)</f>
        <v/>
      </c>
      <c r="H176" s="131" t="b">
        <f aca="false">FALSE()</f>
        <v>0</v>
      </c>
      <c r="I176" s="131" t="b">
        <f aca="false">FALSE()</f>
        <v>0</v>
      </c>
      <c r="J176" s="130"/>
      <c r="K176" s="110"/>
      <c r="L176" s="83"/>
      <c r="M176" s="103"/>
      <c r="N176" s="103"/>
      <c r="O176" s="103"/>
      <c r="P176" s="103"/>
      <c r="Q176" s="103"/>
      <c r="R176" s="83"/>
      <c r="S176" s="103"/>
      <c r="T176" s="103"/>
      <c r="U176" s="103"/>
    </row>
    <row r="177" customFormat="false" ht="22.5" hidden="false" customHeight="true" outlineLevel="0" collapsed="false">
      <c r="A177" s="99"/>
      <c r="B177" s="99"/>
      <c r="C177" s="99"/>
      <c r="D177" s="121"/>
      <c r="E177" s="99"/>
      <c r="F177" s="100" t="str">
        <f aca="false">IF(E177="CONTADO", 4%, IF(E177="TARJETA / CHEQUE", 3%, IF(OR(E177="FINANCIADO", E177="MCP"), 2.5%, "")))</f>
        <v/>
      </c>
      <c r="G177" s="98" t="str">
        <f aca="false">IF(F177="", "", F177*D177)</f>
        <v/>
      </c>
      <c r="H177" s="132" t="b">
        <f aca="false">FALSE()</f>
        <v>0</v>
      </c>
      <c r="I177" s="132" t="b">
        <f aca="false">FALSE()</f>
        <v>0</v>
      </c>
      <c r="J177" s="126"/>
      <c r="K177" s="99"/>
      <c r="L177" s="83"/>
      <c r="M177" s="103"/>
      <c r="N177" s="103"/>
      <c r="O177" s="103"/>
      <c r="P177" s="103"/>
      <c r="Q177" s="103"/>
      <c r="R177" s="83"/>
      <c r="S177" s="103"/>
      <c r="T177" s="103"/>
      <c r="U177" s="103"/>
    </row>
    <row r="178" customFormat="false" ht="22.5" hidden="false" customHeight="true" outlineLevel="0" collapsed="false">
      <c r="A178" s="110"/>
      <c r="B178" s="110"/>
      <c r="C178" s="110"/>
      <c r="D178" s="122"/>
      <c r="E178" s="110"/>
      <c r="F178" s="111" t="str">
        <f aca="false">IF(E178="CONTADO", 4%, IF(E178="TARJETA / CHEQUE", 3%, IF(OR(E178="FINANCIADO", E178="MCP"), 2.5%, "")))</f>
        <v/>
      </c>
      <c r="G178" s="109" t="str">
        <f aca="false">IF(F178="", "", F178*D178)</f>
        <v/>
      </c>
      <c r="H178" s="131" t="b">
        <f aca="false">FALSE()</f>
        <v>0</v>
      </c>
      <c r="I178" s="131" t="b">
        <f aca="false">FALSE()</f>
        <v>0</v>
      </c>
      <c r="J178" s="130"/>
      <c r="K178" s="110"/>
      <c r="L178" s="83"/>
      <c r="M178" s="103"/>
      <c r="N178" s="103"/>
      <c r="O178" s="103"/>
      <c r="P178" s="103"/>
      <c r="Q178" s="103"/>
      <c r="R178" s="83"/>
      <c r="S178" s="103"/>
      <c r="T178" s="103"/>
      <c r="U178" s="103"/>
    </row>
    <row r="179" customFormat="false" ht="22.5" hidden="false" customHeight="true" outlineLevel="0" collapsed="false">
      <c r="A179" s="99"/>
      <c r="B179" s="99"/>
      <c r="C179" s="99"/>
      <c r="D179" s="121"/>
      <c r="E179" s="99"/>
      <c r="F179" s="100" t="str">
        <f aca="false">IF(E179="CONTADO", 4%, IF(E179="TARJETA / CHEQUE", 3%, IF(OR(E179="FINANCIADO", E179="MCP"), 2.5%, "")))</f>
        <v/>
      </c>
      <c r="G179" s="98" t="str">
        <f aca="false">IF(F179="", "", F179*D179)</f>
        <v/>
      </c>
      <c r="H179" s="132" t="b">
        <f aca="false">FALSE()</f>
        <v>0</v>
      </c>
      <c r="I179" s="132" t="b">
        <f aca="false">FALSE()</f>
        <v>0</v>
      </c>
      <c r="J179" s="126"/>
      <c r="K179" s="99"/>
      <c r="L179" s="83"/>
      <c r="M179" s="103"/>
      <c r="N179" s="103"/>
      <c r="O179" s="103"/>
      <c r="P179" s="103"/>
      <c r="Q179" s="103"/>
      <c r="R179" s="83"/>
      <c r="S179" s="103"/>
      <c r="T179" s="103"/>
      <c r="U179" s="103"/>
    </row>
    <row r="180" customFormat="false" ht="22.5" hidden="false" customHeight="true" outlineLevel="0" collapsed="false">
      <c r="A180" s="110"/>
      <c r="B180" s="110"/>
      <c r="C180" s="110"/>
      <c r="D180" s="122"/>
      <c r="E180" s="110"/>
      <c r="F180" s="111" t="str">
        <f aca="false">IF(E180="CONTADO", 4%, IF(E180="TARJETA / CHEQUE", 3%, IF(OR(E180="FINANCIADO", E180="MCP"), 2.5%, "")))</f>
        <v/>
      </c>
      <c r="G180" s="109" t="str">
        <f aca="false">IF(F180="", "", F180*D180)</f>
        <v/>
      </c>
      <c r="H180" s="131" t="b">
        <f aca="false">FALSE()</f>
        <v>0</v>
      </c>
      <c r="I180" s="131" t="b">
        <f aca="false">FALSE()</f>
        <v>0</v>
      </c>
      <c r="J180" s="130"/>
      <c r="K180" s="110"/>
      <c r="L180" s="83"/>
      <c r="M180" s="103"/>
      <c r="N180" s="103"/>
      <c r="O180" s="103"/>
      <c r="P180" s="103"/>
      <c r="Q180" s="103"/>
      <c r="R180" s="83"/>
      <c r="S180" s="103"/>
      <c r="T180" s="103"/>
      <c r="U180" s="103"/>
    </row>
    <row r="181" customFormat="false" ht="22.5" hidden="false" customHeight="true" outlineLevel="0" collapsed="false">
      <c r="A181" s="99"/>
      <c r="B181" s="99"/>
      <c r="C181" s="99"/>
      <c r="D181" s="121"/>
      <c r="E181" s="99"/>
      <c r="F181" s="100" t="str">
        <f aca="false">IF(E181="CONTADO", 4%, IF(E181="TARJETA / CHEQUE", 3%, IF(OR(E181="FINANCIADO", E181="MCP"), 2.5%, "")))</f>
        <v/>
      </c>
      <c r="G181" s="98" t="str">
        <f aca="false">IF(F181="", "", F181*D181)</f>
        <v/>
      </c>
      <c r="H181" s="132" t="b">
        <f aca="false">FALSE()</f>
        <v>0</v>
      </c>
      <c r="I181" s="132" t="b">
        <f aca="false">FALSE()</f>
        <v>0</v>
      </c>
      <c r="J181" s="126"/>
      <c r="K181" s="99"/>
      <c r="L181" s="83"/>
      <c r="M181" s="103"/>
      <c r="N181" s="103"/>
      <c r="O181" s="103"/>
      <c r="P181" s="103"/>
      <c r="Q181" s="103"/>
      <c r="R181" s="83"/>
      <c r="S181" s="103"/>
      <c r="T181" s="103"/>
      <c r="U181" s="103"/>
    </row>
    <row r="182" customFormat="false" ht="22.5" hidden="false" customHeight="true" outlineLevel="0" collapsed="false">
      <c r="A182" s="110"/>
      <c r="B182" s="110"/>
      <c r="C182" s="110"/>
      <c r="D182" s="122"/>
      <c r="E182" s="110"/>
      <c r="F182" s="111" t="str">
        <f aca="false">IF(E182="CONTADO", 4%, IF(E182="TARJETA / CHEQUE", 3%, IF(OR(E182="FINANCIADO", E182="MCP"), 2.5%, "")))</f>
        <v/>
      </c>
      <c r="G182" s="109" t="str">
        <f aca="false">IF(F182="", "", F182*D182)</f>
        <v/>
      </c>
      <c r="H182" s="131" t="b">
        <f aca="false">FALSE()</f>
        <v>0</v>
      </c>
      <c r="I182" s="131" t="b">
        <f aca="false">FALSE()</f>
        <v>0</v>
      </c>
      <c r="J182" s="130"/>
      <c r="K182" s="110"/>
      <c r="L182" s="83"/>
      <c r="M182" s="103"/>
      <c r="N182" s="103"/>
      <c r="O182" s="103"/>
      <c r="P182" s="103"/>
      <c r="Q182" s="103"/>
      <c r="R182" s="83"/>
      <c r="S182" s="103"/>
      <c r="T182" s="103"/>
      <c r="U182" s="103"/>
    </row>
    <row r="183" customFormat="false" ht="22.5" hidden="false" customHeight="true" outlineLevel="0" collapsed="false">
      <c r="A183" s="99"/>
      <c r="B183" s="99"/>
      <c r="C183" s="99"/>
      <c r="D183" s="121"/>
      <c r="E183" s="99"/>
      <c r="F183" s="100" t="str">
        <f aca="false">IF(E183="CONTADO", 4%, IF(E183="TARJETA / CHEQUE", 3%, IF(OR(E183="FINANCIADO", E183="MCP"), 2.5%, "")))</f>
        <v/>
      </c>
      <c r="G183" s="98" t="str">
        <f aca="false">IF(F183="", "", F183*D183)</f>
        <v/>
      </c>
      <c r="H183" s="132" t="b">
        <f aca="false">FALSE()</f>
        <v>0</v>
      </c>
      <c r="I183" s="132" t="b">
        <f aca="false">FALSE()</f>
        <v>0</v>
      </c>
      <c r="J183" s="126"/>
      <c r="K183" s="99"/>
      <c r="L183" s="83"/>
      <c r="M183" s="103"/>
      <c r="N183" s="103"/>
      <c r="O183" s="103"/>
      <c r="P183" s="103"/>
      <c r="Q183" s="103"/>
      <c r="R183" s="83"/>
      <c r="S183" s="103"/>
      <c r="T183" s="103"/>
      <c r="U183" s="103"/>
    </row>
    <row r="184" customFormat="false" ht="22.5" hidden="false" customHeight="true" outlineLevel="0" collapsed="false">
      <c r="A184" s="110"/>
      <c r="B184" s="110"/>
      <c r="C184" s="110"/>
      <c r="D184" s="122"/>
      <c r="E184" s="110"/>
      <c r="F184" s="111" t="str">
        <f aca="false">IF(E184="CONTADO", 4%, IF(E184="TARJETA / CHEQUE", 3%, IF(OR(E184="FINANCIADO", E184="MCP"), 2.5%, "")))</f>
        <v/>
      </c>
      <c r="G184" s="109" t="str">
        <f aca="false">IF(F184="", "", F184*D184)</f>
        <v/>
      </c>
      <c r="H184" s="131" t="b">
        <f aca="false">FALSE()</f>
        <v>0</v>
      </c>
      <c r="I184" s="131" t="b">
        <f aca="false">FALSE()</f>
        <v>0</v>
      </c>
      <c r="J184" s="130"/>
      <c r="K184" s="110"/>
      <c r="L184" s="83"/>
      <c r="M184" s="103"/>
      <c r="N184" s="103"/>
      <c r="O184" s="103"/>
      <c r="P184" s="103"/>
      <c r="Q184" s="103"/>
      <c r="R184" s="83"/>
      <c r="S184" s="103"/>
      <c r="T184" s="103"/>
      <c r="U184" s="103"/>
    </row>
    <row r="185" customFormat="false" ht="22.5" hidden="false" customHeight="true" outlineLevel="0" collapsed="false">
      <c r="A185" s="99"/>
      <c r="B185" s="99"/>
      <c r="C185" s="99"/>
      <c r="D185" s="121"/>
      <c r="E185" s="99"/>
      <c r="F185" s="100" t="str">
        <f aca="false">IF(E185="CONTADO", 4%, IF(E185="TARJETA / CHEQUE", 3%, IF(OR(E185="FINANCIADO", E185="MCP"), 2.5%, "")))</f>
        <v/>
      </c>
      <c r="G185" s="98" t="str">
        <f aca="false">IF(F185="", "", F185*D185)</f>
        <v/>
      </c>
      <c r="H185" s="132" t="b">
        <f aca="false">FALSE()</f>
        <v>0</v>
      </c>
      <c r="I185" s="132" t="b">
        <f aca="false">FALSE()</f>
        <v>0</v>
      </c>
      <c r="J185" s="126"/>
      <c r="K185" s="99"/>
      <c r="L185" s="83"/>
      <c r="M185" s="103"/>
      <c r="N185" s="103"/>
      <c r="O185" s="103"/>
      <c r="P185" s="103"/>
      <c r="Q185" s="103"/>
      <c r="R185" s="83"/>
      <c r="S185" s="103"/>
      <c r="T185" s="103"/>
      <c r="U185" s="103"/>
    </row>
    <row r="186" customFormat="false" ht="22.5" hidden="false" customHeight="true" outlineLevel="0" collapsed="false">
      <c r="A186" s="110"/>
      <c r="B186" s="110"/>
      <c r="C186" s="110"/>
      <c r="D186" s="122"/>
      <c r="E186" s="110"/>
      <c r="F186" s="111" t="str">
        <f aca="false">IF(E186="CONTADO", 4%, IF(E186="TARJETA / CHEQUE", 3%, IF(OR(E186="FINANCIADO", E186="MCP"), 2.5%, "")))</f>
        <v/>
      </c>
      <c r="G186" s="109" t="str">
        <f aca="false">IF(F186="", "", F186*D186)</f>
        <v/>
      </c>
      <c r="H186" s="131" t="b">
        <f aca="false">FALSE()</f>
        <v>0</v>
      </c>
      <c r="I186" s="131" t="b">
        <f aca="false">FALSE()</f>
        <v>0</v>
      </c>
      <c r="J186" s="130"/>
      <c r="K186" s="110"/>
      <c r="L186" s="83"/>
      <c r="M186" s="103"/>
      <c r="N186" s="103"/>
      <c r="O186" s="103"/>
      <c r="P186" s="103"/>
      <c r="Q186" s="103"/>
      <c r="R186" s="83"/>
      <c r="S186" s="103"/>
      <c r="T186" s="103"/>
      <c r="U186" s="103"/>
    </row>
    <row r="187" customFormat="false" ht="22.5" hidden="false" customHeight="true" outlineLevel="0" collapsed="false">
      <c r="A187" s="99"/>
      <c r="B187" s="99"/>
      <c r="C187" s="99"/>
      <c r="D187" s="121"/>
      <c r="E187" s="99"/>
      <c r="F187" s="100" t="str">
        <f aca="false">IF(E187="CONTADO", 4%, IF(E187="TARJETA / CHEQUE", 3%, IF(OR(E187="FINANCIADO", E187="MCP"), 2.5%, "")))</f>
        <v/>
      </c>
      <c r="G187" s="98" t="str">
        <f aca="false">IF(F187="", "", F187*D187)</f>
        <v/>
      </c>
      <c r="H187" s="132" t="b">
        <f aca="false">FALSE()</f>
        <v>0</v>
      </c>
      <c r="I187" s="132" t="b">
        <f aca="false">FALSE()</f>
        <v>0</v>
      </c>
      <c r="J187" s="126"/>
      <c r="K187" s="99"/>
      <c r="L187" s="83"/>
      <c r="M187" s="103"/>
      <c r="N187" s="103"/>
      <c r="O187" s="103"/>
      <c r="P187" s="103"/>
      <c r="Q187" s="103"/>
      <c r="R187" s="83"/>
      <c r="S187" s="103"/>
      <c r="T187" s="103"/>
      <c r="U187" s="103"/>
    </row>
    <row r="188" customFormat="false" ht="22.5" hidden="false" customHeight="true" outlineLevel="0" collapsed="false">
      <c r="A188" s="110"/>
      <c r="B188" s="110"/>
      <c r="C188" s="110"/>
      <c r="D188" s="122"/>
      <c r="E188" s="110"/>
      <c r="F188" s="111" t="str">
        <f aca="false">IF(E188="CONTADO", 4%, IF(E188="TARJETA / CHEQUE", 3%, IF(OR(E188="FINANCIADO", E188="MCP"), 2.5%, "")))</f>
        <v/>
      </c>
      <c r="G188" s="109" t="str">
        <f aca="false">IF(F188="", "", F188*D188)</f>
        <v/>
      </c>
      <c r="H188" s="131" t="b">
        <f aca="false">FALSE()</f>
        <v>0</v>
      </c>
      <c r="I188" s="131" t="b">
        <f aca="false">FALSE()</f>
        <v>0</v>
      </c>
      <c r="J188" s="130"/>
      <c r="K188" s="110"/>
      <c r="L188" s="83"/>
      <c r="M188" s="103"/>
      <c r="N188" s="103"/>
      <c r="O188" s="103"/>
      <c r="P188" s="103"/>
      <c r="Q188" s="103"/>
      <c r="R188" s="83"/>
      <c r="S188" s="103"/>
      <c r="T188" s="103"/>
      <c r="U188" s="103"/>
    </row>
    <row r="189" customFormat="false" ht="22.5" hidden="false" customHeight="true" outlineLevel="0" collapsed="false">
      <c r="A189" s="99"/>
      <c r="B189" s="99"/>
      <c r="C189" s="99"/>
      <c r="D189" s="121"/>
      <c r="E189" s="99"/>
      <c r="F189" s="100" t="str">
        <f aca="false">IF(E189="CONTADO", 4%, IF(E189="TARJETA / CHEQUE", 3%, IF(OR(E189="FINANCIADO", E189="MCP"), 2.5%, "")))</f>
        <v/>
      </c>
      <c r="G189" s="98" t="str">
        <f aca="false">IF(F189="", "", F189*D189)</f>
        <v/>
      </c>
      <c r="H189" s="132" t="b">
        <f aca="false">FALSE()</f>
        <v>0</v>
      </c>
      <c r="I189" s="132" t="b">
        <f aca="false">FALSE()</f>
        <v>0</v>
      </c>
      <c r="J189" s="126"/>
      <c r="K189" s="99"/>
      <c r="L189" s="83"/>
      <c r="M189" s="103"/>
      <c r="N189" s="103"/>
      <c r="O189" s="103"/>
      <c r="P189" s="103"/>
      <c r="Q189" s="103"/>
      <c r="R189" s="83"/>
      <c r="S189" s="103"/>
      <c r="T189" s="103"/>
      <c r="U189" s="103"/>
    </row>
    <row r="190" customFormat="false" ht="22.5" hidden="false" customHeight="true" outlineLevel="0" collapsed="false">
      <c r="A190" s="110"/>
      <c r="B190" s="110"/>
      <c r="C190" s="110"/>
      <c r="D190" s="122"/>
      <c r="E190" s="110"/>
      <c r="F190" s="111" t="str">
        <f aca="false">IF(E190="CONTADO", 4%, IF(E190="TARJETA / CHEQUE", 3%, IF(OR(E190="FINANCIADO", E190="MCP"), 2.5%, "")))</f>
        <v/>
      </c>
      <c r="G190" s="109" t="str">
        <f aca="false">IF(F190="", "", F190*D190)</f>
        <v/>
      </c>
      <c r="H190" s="131" t="b">
        <f aca="false">FALSE()</f>
        <v>0</v>
      </c>
      <c r="I190" s="131" t="b">
        <f aca="false">FALSE()</f>
        <v>0</v>
      </c>
      <c r="J190" s="130"/>
      <c r="K190" s="110"/>
      <c r="L190" s="83"/>
      <c r="M190" s="103"/>
      <c r="N190" s="103"/>
      <c r="O190" s="103"/>
      <c r="P190" s="103"/>
      <c r="Q190" s="103"/>
      <c r="R190" s="83"/>
      <c r="S190" s="103"/>
      <c r="T190" s="103"/>
      <c r="U190" s="103"/>
    </row>
    <row r="191" customFormat="false" ht="22.5" hidden="false" customHeight="true" outlineLevel="0" collapsed="false">
      <c r="A191" s="99"/>
      <c r="B191" s="99"/>
      <c r="C191" s="99"/>
      <c r="D191" s="121"/>
      <c r="E191" s="99"/>
      <c r="F191" s="100" t="str">
        <f aca="false">IF(E191="CONTADO", 4%, IF(E191="TARJETA / CHEQUE", 3%, IF(OR(E191="FINANCIADO", E191="MCP"), 2.5%, "")))</f>
        <v/>
      </c>
      <c r="G191" s="98" t="str">
        <f aca="false">IF(F191="", "", F191*D191)</f>
        <v/>
      </c>
      <c r="H191" s="132" t="b">
        <f aca="false">FALSE()</f>
        <v>0</v>
      </c>
      <c r="I191" s="132" t="b">
        <f aca="false">FALSE()</f>
        <v>0</v>
      </c>
      <c r="J191" s="126"/>
      <c r="K191" s="99"/>
      <c r="L191" s="83"/>
      <c r="M191" s="103"/>
      <c r="N191" s="103"/>
      <c r="O191" s="103"/>
      <c r="P191" s="103"/>
      <c r="Q191" s="103"/>
      <c r="R191" s="83"/>
      <c r="S191" s="103"/>
      <c r="T191" s="103"/>
      <c r="U191" s="103"/>
    </row>
    <row r="192" customFormat="false" ht="22.5" hidden="false" customHeight="true" outlineLevel="0" collapsed="false">
      <c r="A192" s="110"/>
      <c r="B192" s="110"/>
      <c r="C192" s="110"/>
      <c r="D192" s="122"/>
      <c r="E192" s="110"/>
      <c r="F192" s="111" t="str">
        <f aca="false">IF(E192="CONTADO", 4%, IF(E192="TARJETA / CHEQUE", 3%, IF(OR(E192="FINANCIADO", E192="MCP"), 2.5%, "")))</f>
        <v/>
      </c>
      <c r="G192" s="109" t="str">
        <f aca="false">IF(F192="", "", F192*D192)</f>
        <v/>
      </c>
      <c r="H192" s="131" t="b">
        <f aca="false">FALSE()</f>
        <v>0</v>
      </c>
      <c r="I192" s="131" t="b">
        <f aca="false">FALSE()</f>
        <v>0</v>
      </c>
      <c r="J192" s="130"/>
      <c r="K192" s="110"/>
      <c r="L192" s="83"/>
      <c r="M192" s="103"/>
      <c r="N192" s="103"/>
      <c r="O192" s="103"/>
      <c r="P192" s="103"/>
      <c r="Q192" s="103"/>
      <c r="R192" s="83"/>
      <c r="S192" s="103"/>
      <c r="T192" s="103"/>
      <c r="U192" s="103"/>
    </row>
    <row r="193" customFormat="false" ht="22.5" hidden="false" customHeight="true" outlineLevel="0" collapsed="false">
      <c r="A193" s="99"/>
      <c r="B193" s="99"/>
      <c r="C193" s="99"/>
      <c r="D193" s="121"/>
      <c r="E193" s="99"/>
      <c r="F193" s="100" t="str">
        <f aca="false">IF(E193="CONTADO", 4%, IF(E193="TARJETA / CHEQUE", 3%, IF(OR(E193="FINANCIADO", E193="MCP"), 2.5%, "")))</f>
        <v/>
      </c>
      <c r="G193" s="98" t="str">
        <f aca="false">IF(F193="", "", F193*D193)</f>
        <v/>
      </c>
      <c r="H193" s="132" t="b">
        <f aca="false">FALSE()</f>
        <v>0</v>
      </c>
      <c r="I193" s="132" t="b">
        <f aca="false">FALSE()</f>
        <v>0</v>
      </c>
      <c r="J193" s="126"/>
      <c r="K193" s="99"/>
      <c r="L193" s="83"/>
      <c r="M193" s="103"/>
      <c r="N193" s="103"/>
      <c r="O193" s="103"/>
      <c r="P193" s="103"/>
      <c r="Q193" s="103"/>
      <c r="R193" s="83"/>
      <c r="S193" s="103"/>
      <c r="T193" s="103"/>
      <c r="U193" s="103"/>
    </row>
    <row r="194" customFormat="false" ht="22.5" hidden="false" customHeight="true" outlineLevel="0" collapsed="false">
      <c r="A194" s="110"/>
      <c r="B194" s="110"/>
      <c r="C194" s="110"/>
      <c r="D194" s="122"/>
      <c r="E194" s="110"/>
      <c r="F194" s="111" t="str">
        <f aca="false">IF(E194="CONTADO", 4%, IF(E194="TARJETA / CHEQUE", 3%, IF(OR(E194="FINANCIADO", E194="MCP"), 2.5%, "")))</f>
        <v/>
      </c>
      <c r="G194" s="109" t="str">
        <f aca="false">IF(F194="", "", F194*D194)</f>
        <v/>
      </c>
      <c r="H194" s="131" t="b">
        <f aca="false">FALSE()</f>
        <v>0</v>
      </c>
      <c r="I194" s="131" t="b">
        <f aca="false">FALSE()</f>
        <v>0</v>
      </c>
      <c r="J194" s="130"/>
      <c r="K194" s="110"/>
      <c r="L194" s="83"/>
      <c r="M194" s="103"/>
      <c r="N194" s="103"/>
      <c r="O194" s="103"/>
      <c r="P194" s="103"/>
      <c r="Q194" s="103"/>
      <c r="R194" s="83"/>
      <c r="S194" s="103"/>
      <c r="T194" s="103"/>
      <c r="U194" s="103"/>
    </row>
    <row r="195" customFormat="false" ht="22.5" hidden="false" customHeight="true" outlineLevel="0" collapsed="false">
      <c r="A195" s="99"/>
      <c r="B195" s="99"/>
      <c r="C195" s="99"/>
      <c r="D195" s="121"/>
      <c r="E195" s="99"/>
      <c r="F195" s="100" t="str">
        <f aca="false">IF(E195="CONTADO", 4%, IF(E195="TARJETA / CHEQUE", 3%, IF(OR(E195="FINANCIADO", E195="MCP"), 2.5%, "")))</f>
        <v/>
      </c>
      <c r="G195" s="98" t="str">
        <f aca="false">IF(F195="", "", F195*D195)</f>
        <v/>
      </c>
      <c r="H195" s="132" t="b">
        <f aca="false">FALSE()</f>
        <v>0</v>
      </c>
      <c r="I195" s="132" t="b">
        <f aca="false">FALSE()</f>
        <v>0</v>
      </c>
      <c r="J195" s="126"/>
      <c r="K195" s="99"/>
      <c r="L195" s="83"/>
      <c r="M195" s="103"/>
      <c r="N195" s="103"/>
      <c r="O195" s="103"/>
      <c r="P195" s="103"/>
      <c r="Q195" s="103"/>
      <c r="R195" s="83"/>
      <c r="S195" s="103"/>
      <c r="T195" s="103"/>
      <c r="U195" s="103"/>
    </row>
    <row r="196" customFormat="false" ht="22.5" hidden="false" customHeight="true" outlineLevel="0" collapsed="false">
      <c r="A196" s="110"/>
      <c r="B196" s="110"/>
      <c r="C196" s="110"/>
      <c r="D196" s="122"/>
      <c r="E196" s="110"/>
      <c r="F196" s="111" t="str">
        <f aca="false">IF(E196="CONTADO", 4%, IF(E196="TARJETA / CHEQUE", 3%, IF(OR(E196="FINANCIADO", E196="MCP"), 2.5%, "")))</f>
        <v/>
      </c>
      <c r="G196" s="109" t="str">
        <f aca="false">IF(F196="", "", F196*D196)</f>
        <v/>
      </c>
      <c r="H196" s="131" t="b">
        <f aca="false">FALSE()</f>
        <v>0</v>
      </c>
      <c r="I196" s="131" t="b">
        <f aca="false">FALSE()</f>
        <v>0</v>
      </c>
      <c r="J196" s="130"/>
      <c r="K196" s="110"/>
      <c r="L196" s="83"/>
      <c r="M196" s="103"/>
      <c r="N196" s="103"/>
      <c r="O196" s="103"/>
      <c r="P196" s="103"/>
      <c r="Q196" s="103"/>
      <c r="R196" s="83"/>
      <c r="S196" s="103"/>
      <c r="T196" s="103"/>
      <c r="U196" s="103"/>
    </row>
    <row r="197" customFormat="false" ht="22.5" hidden="false" customHeight="true" outlineLevel="0" collapsed="false">
      <c r="A197" s="99"/>
      <c r="B197" s="99"/>
      <c r="C197" s="99"/>
      <c r="D197" s="121"/>
      <c r="E197" s="99"/>
      <c r="F197" s="100" t="str">
        <f aca="false">IF(E197="CONTADO", 4%, IF(E197="TARJETA / CHEQUE", 3%, IF(OR(E197="FINANCIADO", E197="MCP"), 2.5%, "")))</f>
        <v/>
      </c>
      <c r="G197" s="98" t="str">
        <f aca="false">IF(F197="", "", F197*D197)</f>
        <v/>
      </c>
      <c r="H197" s="132" t="b">
        <f aca="false">FALSE()</f>
        <v>0</v>
      </c>
      <c r="I197" s="132" t="b">
        <f aca="false">FALSE()</f>
        <v>0</v>
      </c>
      <c r="J197" s="126"/>
      <c r="K197" s="99"/>
      <c r="L197" s="83"/>
      <c r="M197" s="103"/>
      <c r="N197" s="103"/>
      <c r="O197" s="103"/>
      <c r="P197" s="103"/>
      <c r="Q197" s="103"/>
      <c r="R197" s="83"/>
      <c r="S197" s="103"/>
      <c r="T197" s="103"/>
      <c r="U197" s="103"/>
    </row>
    <row r="198" customFormat="false" ht="22.5" hidden="false" customHeight="true" outlineLevel="0" collapsed="false">
      <c r="A198" s="110"/>
      <c r="B198" s="110"/>
      <c r="C198" s="110"/>
      <c r="D198" s="122"/>
      <c r="E198" s="110"/>
      <c r="F198" s="111" t="str">
        <f aca="false">IF(E198="CONTADO", 4%, IF(E198="TARJETA / CHEQUE", 3%, IF(OR(E198="FINANCIADO", E198="MCP"), 2.5%, "")))</f>
        <v/>
      </c>
      <c r="G198" s="109" t="str">
        <f aca="false">IF(F198="", "", F198*D198)</f>
        <v/>
      </c>
      <c r="H198" s="131" t="b">
        <f aca="false">FALSE()</f>
        <v>0</v>
      </c>
      <c r="I198" s="131" t="b">
        <f aca="false">FALSE()</f>
        <v>0</v>
      </c>
      <c r="J198" s="130"/>
      <c r="K198" s="110"/>
      <c r="L198" s="83"/>
      <c r="M198" s="103"/>
      <c r="N198" s="103"/>
      <c r="O198" s="103"/>
      <c r="P198" s="103"/>
      <c r="Q198" s="103"/>
      <c r="R198" s="83"/>
      <c r="S198" s="103"/>
      <c r="T198" s="103"/>
      <c r="U198" s="103"/>
    </row>
    <row r="199" customFormat="false" ht="22.5" hidden="false" customHeight="true" outlineLevel="0" collapsed="false">
      <c r="A199" s="99"/>
      <c r="B199" s="99"/>
      <c r="C199" s="99"/>
      <c r="D199" s="121"/>
      <c r="E199" s="99"/>
      <c r="F199" s="100" t="str">
        <f aca="false">IF(E199="CONTADO", 4%, IF(E199="TARJETA / CHEQUE", 3%, IF(OR(E199="FINANCIADO", E199="MCP"), 2.5%, "")))</f>
        <v/>
      </c>
      <c r="G199" s="98" t="str">
        <f aca="false">IF(F199="", "", F199*D199)</f>
        <v/>
      </c>
      <c r="H199" s="132" t="b">
        <f aca="false">FALSE()</f>
        <v>0</v>
      </c>
      <c r="I199" s="132" t="b">
        <f aca="false">FALSE()</f>
        <v>0</v>
      </c>
      <c r="J199" s="126"/>
      <c r="K199" s="99"/>
      <c r="L199" s="83"/>
      <c r="M199" s="103"/>
      <c r="N199" s="103"/>
      <c r="O199" s="103"/>
      <c r="P199" s="103"/>
      <c r="Q199" s="103"/>
      <c r="R199" s="83"/>
      <c r="S199" s="103"/>
      <c r="T199" s="103"/>
      <c r="U199" s="103"/>
    </row>
    <row r="200" customFormat="false" ht="22.5" hidden="false" customHeight="true" outlineLevel="0" collapsed="false">
      <c r="A200" s="110"/>
      <c r="B200" s="110"/>
      <c r="C200" s="110"/>
      <c r="D200" s="122"/>
      <c r="E200" s="110"/>
      <c r="F200" s="111" t="str">
        <f aca="false">IF(E200="CONTADO", 4%, IF(E200="TARJETA / CHEQUE", 3%, IF(OR(E200="FINANCIADO", E200="MCP"), 2.5%, "")))</f>
        <v/>
      </c>
      <c r="G200" s="109" t="str">
        <f aca="false">IF(F200="", "", F200*D200)</f>
        <v/>
      </c>
      <c r="H200" s="131" t="b">
        <f aca="false">FALSE()</f>
        <v>0</v>
      </c>
      <c r="I200" s="131" t="b">
        <f aca="false">FALSE()</f>
        <v>0</v>
      </c>
      <c r="J200" s="130"/>
      <c r="K200" s="110"/>
      <c r="L200" s="83"/>
      <c r="M200" s="103"/>
      <c r="N200" s="103"/>
      <c r="O200" s="103"/>
      <c r="P200" s="103"/>
      <c r="Q200" s="103"/>
      <c r="R200" s="83"/>
      <c r="S200" s="103"/>
      <c r="T200" s="103"/>
      <c r="U200" s="103"/>
    </row>
    <row r="201" customFormat="false" ht="22.5" hidden="false" customHeight="true" outlineLevel="0" collapsed="false">
      <c r="A201" s="99"/>
      <c r="B201" s="99"/>
      <c r="C201" s="99"/>
      <c r="D201" s="121"/>
      <c r="E201" s="99"/>
      <c r="F201" s="100" t="str">
        <f aca="false">IF(E201="CONTADO", 4%, IF(E201="TARJETA / CHEQUE", 3%, IF(OR(E201="FINANCIADO", E201="MCP"), 2.5%, "")))</f>
        <v/>
      </c>
      <c r="G201" s="98" t="str">
        <f aca="false">IF(F201="", "", F201*D201)</f>
        <v/>
      </c>
      <c r="H201" s="132" t="b">
        <f aca="false">FALSE()</f>
        <v>0</v>
      </c>
      <c r="I201" s="132" t="b">
        <f aca="false">FALSE()</f>
        <v>0</v>
      </c>
      <c r="J201" s="126"/>
      <c r="K201" s="99"/>
      <c r="L201" s="83"/>
      <c r="M201" s="103"/>
      <c r="N201" s="103"/>
      <c r="O201" s="103"/>
      <c r="P201" s="103"/>
      <c r="Q201" s="103"/>
      <c r="R201" s="83"/>
      <c r="S201" s="103"/>
      <c r="T201" s="103"/>
      <c r="U201" s="103"/>
    </row>
    <row r="202" customFormat="false" ht="22.5" hidden="false" customHeight="true" outlineLevel="0" collapsed="false">
      <c r="A202" s="110"/>
      <c r="B202" s="110"/>
      <c r="C202" s="110"/>
      <c r="D202" s="122"/>
      <c r="E202" s="110"/>
      <c r="F202" s="111" t="str">
        <f aca="false">IF(E202="CONTADO", 4%, IF(E202="TARJETA / CHEQUE", 3%, IF(OR(E202="FINANCIADO", E202="MCP"), 2.5%, "")))</f>
        <v/>
      </c>
      <c r="G202" s="109" t="str">
        <f aca="false">IF(F202="", "", F202*D202)</f>
        <v/>
      </c>
      <c r="H202" s="131" t="b">
        <f aca="false">FALSE()</f>
        <v>0</v>
      </c>
      <c r="I202" s="131" t="b">
        <f aca="false">FALSE()</f>
        <v>0</v>
      </c>
      <c r="J202" s="130"/>
      <c r="K202" s="110"/>
      <c r="L202" s="83"/>
      <c r="M202" s="103"/>
      <c r="N202" s="103"/>
      <c r="O202" s="103"/>
      <c r="P202" s="103"/>
      <c r="Q202" s="103"/>
      <c r="R202" s="83"/>
      <c r="S202" s="103"/>
      <c r="T202" s="103"/>
      <c r="U202" s="103"/>
    </row>
    <row r="203" customFormat="false" ht="22.5" hidden="false" customHeight="true" outlineLevel="0" collapsed="false">
      <c r="A203" s="99"/>
      <c r="B203" s="99"/>
      <c r="C203" s="99"/>
      <c r="D203" s="121"/>
      <c r="E203" s="99"/>
      <c r="F203" s="100" t="str">
        <f aca="false">IF(E203="CONTADO", 4%, IF(E203="TARJETA / CHEQUE", 3%, IF(OR(E203="FINANCIADO", E203="MCP"), 2.5%, "")))</f>
        <v/>
      </c>
      <c r="G203" s="98" t="str">
        <f aca="false">IF(F203="", "", F203*D203)</f>
        <v/>
      </c>
      <c r="H203" s="132" t="b">
        <f aca="false">FALSE()</f>
        <v>0</v>
      </c>
      <c r="I203" s="132" t="b">
        <f aca="false">FALSE()</f>
        <v>0</v>
      </c>
      <c r="J203" s="126"/>
      <c r="K203" s="99"/>
      <c r="L203" s="83"/>
      <c r="M203" s="103"/>
      <c r="N203" s="103"/>
      <c r="O203" s="103"/>
      <c r="P203" s="103"/>
      <c r="Q203" s="103"/>
      <c r="R203" s="83"/>
      <c r="S203" s="103"/>
      <c r="T203" s="103"/>
      <c r="U203" s="103"/>
    </row>
    <row r="204" customFormat="false" ht="22.5" hidden="false" customHeight="true" outlineLevel="0" collapsed="false">
      <c r="A204" s="110"/>
      <c r="B204" s="110"/>
      <c r="C204" s="110"/>
      <c r="D204" s="122"/>
      <c r="E204" s="110"/>
      <c r="F204" s="111" t="str">
        <f aca="false">IF(E204="CONTADO", 4%, IF(E204="TARJETA / CHEQUE", 3%, IF(OR(E204="FINANCIADO", E204="MCP"), 2.5%, "")))</f>
        <v/>
      </c>
      <c r="G204" s="109" t="str">
        <f aca="false">IF(F204="", "", F204*D204)</f>
        <v/>
      </c>
      <c r="H204" s="131" t="b">
        <f aca="false">FALSE()</f>
        <v>0</v>
      </c>
      <c r="I204" s="131" t="b">
        <f aca="false">FALSE()</f>
        <v>0</v>
      </c>
      <c r="J204" s="130"/>
      <c r="K204" s="110"/>
      <c r="L204" s="83"/>
      <c r="M204" s="103"/>
      <c r="N204" s="103"/>
      <c r="O204" s="103"/>
      <c r="P204" s="103"/>
      <c r="Q204" s="103"/>
      <c r="R204" s="83"/>
      <c r="S204" s="103"/>
      <c r="T204" s="103"/>
      <c r="U204" s="103"/>
    </row>
    <row r="205" customFormat="false" ht="22.5" hidden="false" customHeight="true" outlineLevel="0" collapsed="false">
      <c r="A205" s="99"/>
      <c r="B205" s="99"/>
      <c r="C205" s="99"/>
      <c r="D205" s="121"/>
      <c r="E205" s="99"/>
      <c r="F205" s="100" t="str">
        <f aca="false">IF(E205="CONTADO", 4%, IF(E205="TARJETA / CHEQUE", 3%, IF(OR(E205="FINANCIADO", E205="MCP"), 2.5%, "")))</f>
        <v/>
      </c>
      <c r="G205" s="98" t="str">
        <f aca="false">IF(F205="", "", F205*D205)</f>
        <v/>
      </c>
      <c r="H205" s="132" t="b">
        <f aca="false">FALSE()</f>
        <v>0</v>
      </c>
      <c r="I205" s="132" t="b">
        <f aca="false">FALSE()</f>
        <v>0</v>
      </c>
      <c r="J205" s="126"/>
      <c r="K205" s="99"/>
      <c r="L205" s="83"/>
      <c r="M205" s="103"/>
      <c r="N205" s="103"/>
      <c r="O205" s="103"/>
      <c r="P205" s="103"/>
      <c r="Q205" s="103"/>
      <c r="R205" s="83"/>
      <c r="S205" s="103"/>
      <c r="T205" s="103"/>
      <c r="U205" s="103"/>
    </row>
    <row r="206" customFormat="false" ht="22.5" hidden="false" customHeight="true" outlineLevel="0" collapsed="false">
      <c r="A206" s="110"/>
      <c r="B206" s="110"/>
      <c r="C206" s="110"/>
      <c r="D206" s="122"/>
      <c r="E206" s="110"/>
      <c r="F206" s="111" t="str">
        <f aca="false">IF(E206="CONTADO", 4%, IF(E206="TARJETA / CHEQUE", 3%, IF(OR(E206="FINANCIADO", E206="MCP"), 2.5%, "")))</f>
        <v/>
      </c>
      <c r="G206" s="109" t="str">
        <f aca="false">IF(F206="", "", F206*D206)</f>
        <v/>
      </c>
      <c r="H206" s="131" t="b">
        <f aca="false">FALSE()</f>
        <v>0</v>
      </c>
      <c r="I206" s="131" t="b">
        <f aca="false">FALSE()</f>
        <v>0</v>
      </c>
      <c r="J206" s="130"/>
      <c r="K206" s="110"/>
      <c r="L206" s="83"/>
      <c r="M206" s="103"/>
      <c r="N206" s="103"/>
      <c r="O206" s="103"/>
      <c r="P206" s="103"/>
      <c r="Q206" s="103"/>
      <c r="R206" s="83"/>
      <c r="S206" s="103"/>
      <c r="T206" s="103"/>
      <c r="U206" s="103"/>
    </row>
    <row r="207" customFormat="false" ht="22.5" hidden="false" customHeight="true" outlineLevel="0" collapsed="false">
      <c r="A207" s="99"/>
      <c r="B207" s="99"/>
      <c r="C207" s="99"/>
      <c r="D207" s="121"/>
      <c r="E207" s="99"/>
      <c r="F207" s="100" t="str">
        <f aca="false">IF(E207="CONTADO", 4%, IF(E207="TARJETA / CHEQUE", 3%, IF(OR(E207="FINANCIADO", E207="MCP"), 2.5%, "")))</f>
        <v/>
      </c>
      <c r="G207" s="98" t="str">
        <f aca="false">IF(F207="", "", F207*D207)</f>
        <v/>
      </c>
      <c r="H207" s="132" t="b">
        <f aca="false">FALSE()</f>
        <v>0</v>
      </c>
      <c r="I207" s="132" t="b">
        <f aca="false">FALSE()</f>
        <v>0</v>
      </c>
      <c r="J207" s="126"/>
      <c r="K207" s="99"/>
      <c r="L207" s="83"/>
      <c r="M207" s="103"/>
      <c r="N207" s="103"/>
      <c r="O207" s="103"/>
      <c r="P207" s="103"/>
      <c r="Q207" s="103"/>
      <c r="R207" s="83"/>
      <c r="S207" s="103"/>
      <c r="T207" s="103"/>
      <c r="U207" s="103"/>
    </row>
    <row r="208" customFormat="false" ht="22.5" hidden="false" customHeight="true" outlineLevel="0" collapsed="false">
      <c r="A208" s="110"/>
      <c r="B208" s="110"/>
      <c r="C208" s="110"/>
      <c r="D208" s="122"/>
      <c r="E208" s="110"/>
      <c r="F208" s="111" t="str">
        <f aca="false">IF(E208="CONTADO", 4%, IF(E208="TARJETA / CHEQUE", 3%, IF(OR(E208="FINANCIADO", E208="MCP"), 2.5%, "")))</f>
        <v/>
      </c>
      <c r="G208" s="109" t="str">
        <f aca="false">IF(F208="", "", F208*D208)</f>
        <v/>
      </c>
      <c r="H208" s="131" t="b">
        <f aca="false">FALSE()</f>
        <v>0</v>
      </c>
      <c r="I208" s="131" t="b">
        <f aca="false">FALSE()</f>
        <v>0</v>
      </c>
      <c r="J208" s="130"/>
      <c r="K208" s="110"/>
      <c r="L208" s="83"/>
      <c r="M208" s="103"/>
      <c r="N208" s="103"/>
      <c r="O208" s="103"/>
      <c r="P208" s="103"/>
      <c r="Q208" s="103"/>
      <c r="R208" s="83"/>
      <c r="S208" s="103"/>
      <c r="T208" s="103"/>
      <c r="U208" s="103"/>
    </row>
    <row r="209" customFormat="false" ht="22.5" hidden="false" customHeight="true" outlineLevel="0" collapsed="false">
      <c r="A209" s="99"/>
      <c r="B209" s="99"/>
      <c r="C209" s="99"/>
      <c r="D209" s="121"/>
      <c r="E209" s="99"/>
      <c r="F209" s="100" t="str">
        <f aca="false">IF(E209="CONTADO", 4%, IF(E209="TARJETA / CHEQUE", 3%, IF(OR(E209="FINANCIADO", E209="MCP"), 2.5%, "")))</f>
        <v/>
      </c>
      <c r="G209" s="98" t="str">
        <f aca="false">IF(F209="", "", F209*D209)</f>
        <v/>
      </c>
      <c r="H209" s="132" t="b">
        <f aca="false">FALSE()</f>
        <v>0</v>
      </c>
      <c r="I209" s="132" t="b">
        <f aca="false">FALSE()</f>
        <v>0</v>
      </c>
      <c r="J209" s="126"/>
      <c r="K209" s="99"/>
      <c r="L209" s="83"/>
      <c r="M209" s="103"/>
      <c r="N209" s="103"/>
      <c r="O209" s="103"/>
      <c r="P209" s="103"/>
      <c r="Q209" s="103"/>
      <c r="R209" s="83"/>
      <c r="S209" s="103"/>
      <c r="T209" s="103"/>
      <c r="U209" s="103"/>
    </row>
    <row r="210" customFormat="false" ht="22.5" hidden="false" customHeight="true" outlineLevel="0" collapsed="false">
      <c r="A210" s="110"/>
      <c r="B210" s="110"/>
      <c r="C210" s="110"/>
      <c r="D210" s="122"/>
      <c r="E210" s="110"/>
      <c r="F210" s="111" t="str">
        <f aca="false">IF(E210="CONTADO", 4%, IF(E210="TARJETA / CHEQUE", 3%, IF(OR(E210="FINANCIADO", E210="MCP"), 2.5%, "")))</f>
        <v/>
      </c>
      <c r="G210" s="109" t="str">
        <f aca="false">IF(F210="", "", F210*D210)</f>
        <v/>
      </c>
      <c r="H210" s="131" t="b">
        <f aca="false">FALSE()</f>
        <v>0</v>
      </c>
      <c r="I210" s="131" t="b">
        <f aca="false">FALSE()</f>
        <v>0</v>
      </c>
      <c r="J210" s="130"/>
      <c r="K210" s="110"/>
      <c r="L210" s="83"/>
      <c r="M210" s="103"/>
      <c r="N210" s="103"/>
      <c r="O210" s="103"/>
      <c r="P210" s="103"/>
      <c r="Q210" s="103"/>
      <c r="R210" s="83"/>
      <c r="S210" s="103"/>
      <c r="T210" s="103"/>
      <c r="U210" s="103"/>
    </row>
    <row r="211" customFormat="false" ht="22.5" hidden="false" customHeight="true" outlineLevel="0" collapsed="false">
      <c r="A211" s="99"/>
      <c r="B211" s="99"/>
      <c r="C211" s="99"/>
      <c r="D211" s="121"/>
      <c r="E211" s="99"/>
      <c r="F211" s="100" t="str">
        <f aca="false">IF(E211="CONTADO", 4%, IF(E211="TARJETA / CHEQUE", 3%, IF(OR(E211="FINANCIADO", E211="MCP"), 2.5%, "")))</f>
        <v/>
      </c>
      <c r="G211" s="98" t="str">
        <f aca="false">IF(F211="", "", F211*D211)</f>
        <v/>
      </c>
      <c r="H211" s="132" t="b">
        <f aca="false">FALSE()</f>
        <v>0</v>
      </c>
      <c r="I211" s="132" t="b">
        <f aca="false">FALSE()</f>
        <v>0</v>
      </c>
      <c r="J211" s="126"/>
      <c r="K211" s="99"/>
      <c r="L211" s="83"/>
      <c r="M211" s="103"/>
      <c r="N211" s="103"/>
      <c r="O211" s="103"/>
      <c r="P211" s="103"/>
      <c r="Q211" s="103"/>
      <c r="R211" s="83"/>
      <c r="S211" s="103"/>
      <c r="T211" s="103"/>
      <c r="U211" s="103"/>
    </row>
    <row r="212" customFormat="false" ht="22.5" hidden="false" customHeight="true" outlineLevel="0" collapsed="false">
      <c r="A212" s="110"/>
      <c r="B212" s="110"/>
      <c r="C212" s="110"/>
      <c r="D212" s="122"/>
      <c r="E212" s="110"/>
      <c r="F212" s="111" t="str">
        <f aca="false">IF(E212="CONTADO", 4%, IF(E212="TARJETA / CHEQUE", 3%, IF(OR(E212="FINANCIADO", E212="MCP"), 2.5%, "")))</f>
        <v/>
      </c>
      <c r="G212" s="109" t="str">
        <f aca="false">IF(F212="", "", F212*D212)</f>
        <v/>
      </c>
      <c r="H212" s="131" t="b">
        <f aca="false">FALSE()</f>
        <v>0</v>
      </c>
      <c r="I212" s="131" t="b">
        <f aca="false">FALSE()</f>
        <v>0</v>
      </c>
      <c r="J212" s="130"/>
      <c r="K212" s="110"/>
      <c r="L212" s="83"/>
      <c r="M212" s="103"/>
      <c r="N212" s="103"/>
      <c r="O212" s="103"/>
      <c r="P212" s="103"/>
      <c r="Q212" s="103"/>
      <c r="R212" s="83"/>
      <c r="S212" s="103"/>
      <c r="T212" s="103"/>
      <c r="U212" s="103"/>
    </row>
    <row r="213" customFormat="false" ht="22.5" hidden="false" customHeight="true" outlineLevel="0" collapsed="false">
      <c r="A213" s="99"/>
      <c r="B213" s="99"/>
      <c r="C213" s="99"/>
      <c r="D213" s="121"/>
      <c r="E213" s="99"/>
      <c r="F213" s="100" t="str">
        <f aca="false">IF(E213="CONTADO", 4%, IF(E213="TARJETA / CHEQUE", 3%, IF(OR(E213="FINANCIADO", E213="MCP"), 2.5%, "")))</f>
        <v/>
      </c>
      <c r="G213" s="98" t="str">
        <f aca="false">IF(F213="", "", F213*D213)</f>
        <v/>
      </c>
      <c r="H213" s="132" t="b">
        <f aca="false">FALSE()</f>
        <v>0</v>
      </c>
      <c r="I213" s="132" t="b">
        <f aca="false">FALSE()</f>
        <v>0</v>
      </c>
      <c r="J213" s="126"/>
      <c r="K213" s="99"/>
      <c r="L213" s="83"/>
      <c r="M213" s="103"/>
      <c r="N213" s="103"/>
      <c r="O213" s="103"/>
      <c r="P213" s="103"/>
      <c r="Q213" s="103"/>
      <c r="R213" s="83"/>
      <c r="S213" s="103"/>
      <c r="T213" s="103"/>
      <c r="U213" s="103"/>
    </row>
    <row r="214" customFormat="false" ht="22.5" hidden="false" customHeight="true" outlineLevel="0" collapsed="false">
      <c r="A214" s="110"/>
      <c r="B214" s="110"/>
      <c r="C214" s="110"/>
      <c r="D214" s="122"/>
      <c r="E214" s="110"/>
      <c r="F214" s="111" t="str">
        <f aca="false">IF(E214="CONTADO", 4%, IF(E214="TARJETA / CHEQUE", 3%, IF(OR(E214="FINANCIADO", E214="MCP"), 2.5%, "")))</f>
        <v/>
      </c>
      <c r="G214" s="109" t="str">
        <f aca="false">IF(F214="", "", F214*D214)</f>
        <v/>
      </c>
      <c r="H214" s="131" t="b">
        <f aca="false">FALSE()</f>
        <v>0</v>
      </c>
      <c r="I214" s="131" t="b">
        <f aca="false">FALSE()</f>
        <v>0</v>
      </c>
      <c r="J214" s="130"/>
      <c r="K214" s="110"/>
      <c r="L214" s="83"/>
      <c r="M214" s="103"/>
      <c r="N214" s="103"/>
      <c r="O214" s="103"/>
      <c r="P214" s="103"/>
      <c r="Q214" s="103"/>
      <c r="R214" s="83"/>
      <c r="S214" s="103"/>
      <c r="T214" s="103"/>
      <c r="U214" s="103"/>
    </row>
    <row r="215" customFormat="false" ht="22.5" hidden="false" customHeight="true" outlineLevel="0" collapsed="false">
      <c r="A215" s="99"/>
      <c r="B215" s="99"/>
      <c r="C215" s="99"/>
      <c r="D215" s="121"/>
      <c r="E215" s="99"/>
      <c r="F215" s="100" t="str">
        <f aca="false">IF(E215="CONTADO", 4%, IF(E215="TARJETA / CHEQUE", 3%, IF(OR(E215="FINANCIADO", E215="MCP"), 2.5%, "")))</f>
        <v/>
      </c>
      <c r="G215" s="98" t="str">
        <f aca="false">IF(F215="", "", F215*D215)</f>
        <v/>
      </c>
      <c r="H215" s="132" t="b">
        <f aca="false">FALSE()</f>
        <v>0</v>
      </c>
      <c r="I215" s="132" t="b">
        <f aca="false">FALSE()</f>
        <v>0</v>
      </c>
      <c r="J215" s="126"/>
      <c r="K215" s="99"/>
      <c r="L215" s="83"/>
      <c r="M215" s="103"/>
      <c r="N215" s="103"/>
      <c r="O215" s="103"/>
      <c r="P215" s="103"/>
      <c r="Q215" s="103"/>
      <c r="R215" s="83"/>
      <c r="S215" s="103"/>
      <c r="T215" s="103"/>
      <c r="U215" s="103"/>
    </row>
    <row r="216" customFormat="false" ht="22.5" hidden="false" customHeight="true" outlineLevel="0" collapsed="false">
      <c r="A216" s="110"/>
      <c r="B216" s="110"/>
      <c r="C216" s="110"/>
      <c r="D216" s="122"/>
      <c r="E216" s="110"/>
      <c r="F216" s="111" t="str">
        <f aca="false">IF(E216="CONTADO", 4%, IF(E216="TARJETA / CHEQUE", 3%, IF(OR(E216="FINANCIADO", E216="MCP"), 2.5%, "")))</f>
        <v/>
      </c>
      <c r="G216" s="109" t="str">
        <f aca="false">IF(F216="", "", F216*D216)</f>
        <v/>
      </c>
      <c r="H216" s="131" t="b">
        <f aca="false">FALSE()</f>
        <v>0</v>
      </c>
      <c r="I216" s="131" t="b">
        <f aca="false">FALSE()</f>
        <v>0</v>
      </c>
      <c r="J216" s="130"/>
      <c r="K216" s="110"/>
      <c r="L216" s="83"/>
      <c r="M216" s="103"/>
      <c r="N216" s="103"/>
      <c r="O216" s="103"/>
      <c r="P216" s="103"/>
      <c r="Q216" s="103"/>
      <c r="R216" s="83"/>
      <c r="S216" s="103"/>
      <c r="T216" s="103"/>
      <c r="U216" s="103"/>
    </row>
    <row r="217" customFormat="false" ht="22.5" hidden="false" customHeight="true" outlineLevel="0" collapsed="false">
      <c r="A217" s="99"/>
      <c r="B217" s="99"/>
      <c r="C217" s="99"/>
      <c r="D217" s="121"/>
      <c r="E217" s="99"/>
      <c r="F217" s="100" t="str">
        <f aca="false">IF(E217="CONTADO", 4%, IF(E217="TARJETA / CHEQUE", 3%, IF(OR(E217="FINANCIADO", E217="MCP"), 2.5%, "")))</f>
        <v/>
      </c>
      <c r="G217" s="98" t="str">
        <f aca="false">IF(F217="", "", F217*D217)</f>
        <v/>
      </c>
      <c r="H217" s="132" t="b">
        <f aca="false">FALSE()</f>
        <v>0</v>
      </c>
      <c r="I217" s="132" t="b">
        <f aca="false">FALSE()</f>
        <v>0</v>
      </c>
      <c r="J217" s="126"/>
      <c r="K217" s="99"/>
      <c r="L217" s="83"/>
      <c r="M217" s="103"/>
      <c r="N217" s="103"/>
      <c r="O217" s="103"/>
      <c r="P217" s="103"/>
      <c r="Q217" s="103"/>
      <c r="R217" s="83"/>
      <c r="S217" s="103"/>
      <c r="T217" s="103"/>
      <c r="U217" s="103"/>
    </row>
    <row r="218" customFormat="false" ht="22.5" hidden="false" customHeight="true" outlineLevel="0" collapsed="false">
      <c r="A218" s="110"/>
      <c r="B218" s="110"/>
      <c r="C218" s="110"/>
      <c r="D218" s="122"/>
      <c r="E218" s="110"/>
      <c r="F218" s="111" t="str">
        <f aca="false">IF(E218="CONTADO", 4%, IF(E218="TARJETA / CHEQUE", 3%, IF(OR(E218="FINANCIADO", E218="MCP"), 2.5%, "")))</f>
        <v/>
      </c>
      <c r="G218" s="109" t="str">
        <f aca="false">IF(F218="", "", F218*D218)</f>
        <v/>
      </c>
      <c r="H218" s="131" t="b">
        <f aca="false">FALSE()</f>
        <v>0</v>
      </c>
      <c r="I218" s="131" t="b">
        <f aca="false">FALSE()</f>
        <v>0</v>
      </c>
      <c r="J218" s="130"/>
      <c r="K218" s="110"/>
      <c r="L218" s="83"/>
      <c r="M218" s="103"/>
      <c r="N218" s="103"/>
      <c r="O218" s="103"/>
      <c r="P218" s="103"/>
      <c r="Q218" s="103"/>
      <c r="R218" s="83"/>
      <c r="S218" s="103"/>
      <c r="T218" s="103"/>
      <c r="U218" s="103"/>
    </row>
    <row r="219" customFormat="false" ht="22.5" hidden="false" customHeight="true" outlineLevel="0" collapsed="false">
      <c r="A219" s="99"/>
      <c r="B219" s="99"/>
      <c r="C219" s="99"/>
      <c r="D219" s="121"/>
      <c r="E219" s="99"/>
      <c r="F219" s="100" t="str">
        <f aca="false">IF(E219="CONTADO", 4%, IF(E219="TARJETA / CHEQUE", 3%, IF(OR(E219="FINANCIADO", E219="MCP"), 2.5%, "")))</f>
        <v/>
      </c>
      <c r="G219" s="98" t="str">
        <f aca="false">IF(F219="", "", F219*D219)</f>
        <v/>
      </c>
      <c r="H219" s="132" t="b">
        <f aca="false">FALSE()</f>
        <v>0</v>
      </c>
      <c r="I219" s="132" t="b">
        <f aca="false">FALSE()</f>
        <v>0</v>
      </c>
      <c r="J219" s="126"/>
      <c r="K219" s="99"/>
      <c r="L219" s="83"/>
      <c r="M219" s="103"/>
      <c r="N219" s="103"/>
      <c r="O219" s="103"/>
      <c r="P219" s="103"/>
      <c r="Q219" s="103"/>
      <c r="R219" s="83"/>
      <c r="S219" s="103"/>
      <c r="T219" s="103"/>
      <c r="U219" s="103"/>
    </row>
    <row r="220" customFormat="false" ht="22.5" hidden="false" customHeight="true" outlineLevel="0" collapsed="false">
      <c r="A220" s="110"/>
      <c r="B220" s="110"/>
      <c r="C220" s="110"/>
      <c r="D220" s="122"/>
      <c r="E220" s="110"/>
      <c r="F220" s="111" t="str">
        <f aca="false">IF(E220="CONTADO", 4%, IF(E220="TARJETA / CHEQUE", 3%, IF(OR(E220="FINANCIADO", E220="MCP"), 2.5%, "")))</f>
        <v/>
      </c>
      <c r="G220" s="109" t="str">
        <f aca="false">IF(F220="", "", F220*D220)</f>
        <v/>
      </c>
      <c r="H220" s="131" t="b">
        <f aca="false">FALSE()</f>
        <v>0</v>
      </c>
      <c r="I220" s="131" t="b">
        <f aca="false">FALSE()</f>
        <v>0</v>
      </c>
      <c r="J220" s="130"/>
      <c r="K220" s="110"/>
      <c r="L220" s="83"/>
      <c r="M220" s="103"/>
      <c r="N220" s="103"/>
      <c r="O220" s="103"/>
      <c r="P220" s="103"/>
      <c r="Q220" s="103"/>
      <c r="R220" s="83"/>
      <c r="S220" s="103"/>
      <c r="T220" s="103"/>
      <c r="U220" s="103"/>
    </row>
    <row r="221" customFormat="false" ht="22.5" hidden="false" customHeight="true" outlineLevel="0" collapsed="false">
      <c r="A221" s="99"/>
      <c r="B221" s="99"/>
      <c r="C221" s="99"/>
      <c r="D221" s="121"/>
      <c r="E221" s="99"/>
      <c r="F221" s="100" t="str">
        <f aca="false">IF(E221="CONTADO", 4%, IF(E221="TARJETA / CHEQUE", 3%, IF(OR(E221="FINANCIADO", E221="MCP"), 2.5%, "")))</f>
        <v/>
      </c>
      <c r="G221" s="98" t="str">
        <f aca="false">IF(F221="", "", F221*D221)</f>
        <v/>
      </c>
      <c r="H221" s="132" t="b">
        <f aca="false">FALSE()</f>
        <v>0</v>
      </c>
      <c r="I221" s="132" t="b">
        <f aca="false">FALSE()</f>
        <v>0</v>
      </c>
      <c r="J221" s="126"/>
      <c r="K221" s="99"/>
      <c r="L221" s="83"/>
      <c r="M221" s="103"/>
      <c r="N221" s="103"/>
      <c r="O221" s="103"/>
      <c r="P221" s="103"/>
      <c r="Q221" s="103"/>
      <c r="R221" s="83"/>
      <c r="S221" s="103"/>
      <c r="T221" s="103"/>
      <c r="U221" s="103"/>
    </row>
    <row r="222" customFormat="false" ht="22.5" hidden="false" customHeight="true" outlineLevel="0" collapsed="false">
      <c r="A222" s="110"/>
      <c r="B222" s="110"/>
      <c r="C222" s="110"/>
      <c r="D222" s="122"/>
      <c r="E222" s="110"/>
      <c r="F222" s="111" t="str">
        <f aca="false">IF(E222="CONTADO", 4%, IF(E222="TARJETA / CHEQUE", 3%, IF(OR(E222="FINANCIADO", E222="MCP"), 2.5%, "")))</f>
        <v/>
      </c>
      <c r="G222" s="109" t="str">
        <f aca="false">IF(F222="", "", F222*D222)</f>
        <v/>
      </c>
      <c r="H222" s="131" t="b">
        <f aca="false">FALSE()</f>
        <v>0</v>
      </c>
      <c r="I222" s="131" t="b">
        <f aca="false">FALSE()</f>
        <v>0</v>
      </c>
      <c r="J222" s="130"/>
      <c r="K222" s="110"/>
      <c r="L222" s="83"/>
      <c r="M222" s="103"/>
      <c r="N222" s="103"/>
      <c r="O222" s="103"/>
      <c r="P222" s="103"/>
      <c r="Q222" s="103"/>
      <c r="R222" s="83"/>
      <c r="S222" s="103"/>
      <c r="T222" s="103"/>
      <c r="U222" s="103"/>
    </row>
    <row r="223" customFormat="false" ht="22.5" hidden="false" customHeight="true" outlineLevel="0" collapsed="false">
      <c r="A223" s="99"/>
      <c r="B223" s="99"/>
      <c r="C223" s="99"/>
      <c r="D223" s="121"/>
      <c r="E223" s="99"/>
      <c r="F223" s="100" t="str">
        <f aca="false">IF(E223="CONTADO", 4%, IF(E223="TARJETA / CHEQUE", 3%, IF(OR(E223="FINANCIADO", E223="MCP"), 2.5%, "")))</f>
        <v/>
      </c>
      <c r="G223" s="98" t="str">
        <f aca="false">IF(F223="", "", F223*D223)</f>
        <v/>
      </c>
      <c r="H223" s="132" t="b">
        <f aca="false">FALSE()</f>
        <v>0</v>
      </c>
      <c r="I223" s="132" t="b">
        <f aca="false">FALSE()</f>
        <v>0</v>
      </c>
      <c r="J223" s="126"/>
      <c r="K223" s="99"/>
      <c r="L223" s="83"/>
      <c r="M223" s="103"/>
      <c r="N223" s="103"/>
      <c r="O223" s="103"/>
      <c r="P223" s="103"/>
      <c r="Q223" s="103"/>
      <c r="R223" s="83"/>
      <c r="S223" s="103"/>
      <c r="T223" s="103"/>
      <c r="U223" s="103"/>
    </row>
    <row r="224" customFormat="false" ht="22.5" hidden="false" customHeight="true" outlineLevel="0" collapsed="false">
      <c r="A224" s="110"/>
      <c r="B224" s="110"/>
      <c r="C224" s="110"/>
      <c r="D224" s="122"/>
      <c r="E224" s="110"/>
      <c r="F224" s="111" t="str">
        <f aca="false">IF(E224="CONTADO", 4%, IF(E224="TARJETA / CHEQUE", 3%, IF(OR(E224="FINANCIADO", E224="MCP"), 2.5%, "")))</f>
        <v/>
      </c>
      <c r="G224" s="109" t="str">
        <f aca="false">IF(F224="", "", F224*D224)</f>
        <v/>
      </c>
      <c r="H224" s="131" t="b">
        <f aca="false">FALSE()</f>
        <v>0</v>
      </c>
      <c r="I224" s="131" t="b">
        <f aca="false">FALSE()</f>
        <v>0</v>
      </c>
      <c r="J224" s="130"/>
      <c r="K224" s="110"/>
      <c r="L224" s="83"/>
      <c r="M224" s="103"/>
      <c r="N224" s="103"/>
      <c r="O224" s="103"/>
      <c r="P224" s="103"/>
      <c r="Q224" s="103"/>
      <c r="R224" s="83"/>
      <c r="S224" s="103"/>
      <c r="T224" s="103"/>
      <c r="U224" s="103"/>
    </row>
    <row r="225" customFormat="false" ht="22.5" hidden="false" customHeight="true" outlineLevel="0" collapsed="false">
      <c r="A225" s="99"/>
      <c r="B225" s="99"/>
      <c r="C225" s="99"/>
      <c r="D225" s="121"/>
      <c r="E225" s="99"/>
      <c r="F225" s="100" t="str">
        <f aca="false">IF(E225="CONTADO", 4%, IF(E225="TARJETA / CHEQUE", 3%, IF(OR(E225="FINANCIADO", E225="MCP"), 2.5%, "")))</f>
        <v/>
      </c>
      <c r="G225" s="98" t="str">
        <f aca="false">IF(F225="", "", F225*D225)</f>
        <v/>
      </c>
      <c r="H225" s="132" t="b">
        <f aca="false">FALSE()</f>
        <v>0</v>
      </c>
      <c r="I225" s="132" t="b">
        <f aca="false">FALSE()</f>
        <v>0</v>
      </c>
      <c r="J225" s="126"/>
      <c r="K225" s="99"/>
      <c r="L225" s="83"/>
      <c r="M225" s="103"/>
      <c r="N225" s="103"/>
      <c r="O225" s="103"/>
      <c r="P225" s="103"/>
      <c r="Q225" s="103"/>
      <c r="R225" s="83"/>
      <c r="S225" s="103"/>
      <c r="T225" s="103"/>
      <c r="U225" s="103"/>
    </row>
    <row r="226" customFormat="false" ht="22.5" hidden="false" customHeight="true" outlineLevel="0" collapsed="false">
      <c r="A226" s="110"/>
      <c r="B226" s="110"/>
      <c r="C226" s="110"/>
      <c r="D226" s="122"/>
      <c r="E226" s="110"/>
      <c r="F226" s="111" t="str">
        <f aca="false">IF(E226="CONTADO", 4%, IF(E226="TARJETA / CHEQUE", 3%, IF(OR(E226="FINANCIADO", E226="MCP"), 2.5%, "")))</f>
        <v/>
      </c>
      <c r="G226" s="109" t="str">
        <f aca="false">IF(F226="", "", F226*D226)</f>
        <v/>
      </c>
      <c r="H226" s="131" t="b">
        <f aca="false">FALSE()</f>
        <v>0</v>
      </c>
      <c r="I226" s="131" t="b">
        <f aca="false">FALSE()</f>
        <v>0</v>
      </c>
      <c r="J226" s="130"/>
      <c r="K226" s="110"/>
      <c r="L226" s="83"/>
      <c r="M226" s="103"/>
      <c r="N226" s="103"/>
      <c r="O226" s="103"/>
      <c r="P226" s="103"/>
      <c r="Q226" s="103"/>
      <c r="R226" s="83"/>
      <c r="S226" s="103"/>
      <c r="T226" s="103"/>
      <c r="U226" s="103"/>
    </row>
    <row r="227" customFormat="false" ht="22.5" hidden="false" customHeight="true" outlineLevel="0" collapsed="false">
      <c r="A227" s="99"/>
      <c r="B227" s="99"/>
      <c r="C227" s="99"/>
      <c r="D227" s="121"/>
      <c r="E227" s="99"/>
      <c r="F227" s="100" t="str">
        <f aca="false">IF(E227="CONTADO", 4%, IF(E227="TARJETA / CHEQUE", 3%, IF(OR(E227="FINANCIADO", E227="MCP"), 2.5%, "")))</f>
        <v/>
      </c>
      <c r="G227" s="98" t="str">
        <f aca="false">IF(F227="", "", F227*D227)</f>
        <v/>
      </c>
      <c r="H227" s="132" t="b">
        <f aca="false">FALSE()</f>
        <v>0</v>
      </c>
      <c r="I227" s="132" t="b">
        <f aca="false">FALSE()</f>
        <v>0</v>
      </c>
      <c r="J227" s="126"/>
      <c r="K227" s="99"/>
      <c r="L227" s="83"/>
      <c r="M227" s="103"/>
      <c r="N227" s="103"/>
      <c r="O227" s="103"/>
      <c r="P227" s="103"/>
      <c r="Q227" s="103"/>
      <c r="R227" s="83"/>
      <c r="S227" s="103"/>
      <c r="T227" s="103"/>
      <c r="U227" s="103"/>
    </row>
    <row r="228" customFormat="false" ht="22.5" hidden="false" customHeight="true" outlineLevel="0" collapsed="false">
      <c r="A228" s="110"/>
      <c r="B228" s="110"/>
      <c r="C228" s="110"/>
      <c r="D228" s="122"/>
      <c r="E228" s="110"/>
      <c r="F228" s="111" t="str">
        <f aca="false">IF(E228="CONTADO", 4%, IF(E228="TARJETA / CHEQUE", 3%, IF(OR(E228="FINANCIADO", E228="MCP"), 2.5%, "")))</f>
        <v/>
      </c>
      <c r="G228" s="109" t="str">
        <f aca="false">IF(F228="", "", F228*D228)</f>
        <v/>
      </c>
      <c r="H228" s="131" t="b">
        <f aca="false">FALSE()</f>
        <v>0</v>
      </c>
      <c r="I228" s="131" t="b">
        <f aca="false">FALSE()</f>
        <v>0</v>
      </c>
      <c r="J228" s="130"/>
      <c r="K228" s="110"/>
      <c r="L228" s="83"/>
      <c r="M228" s="103"/>
      <c r="N228" s="103"/>
      <c r="O228" s="103"/>
      <c r="P228" s="103"/>
      <c r="Q228" s="103"/>
      <c r="R228" s="83"/>
      <c r="S228" s="103"/>
      <c r="T228" s="103"/>
      <c r="U228" s="103"/>
    </row>
    <row r="229" customFormat="false" ht="22.5" hidden="false" customHeight="true" outlineLevel="0" collapsed="false">
      <c r="A229" s="99"/>
      <c r="B229" s="99"/>
      <c r="C229" s="99"/>
      <c r="D229" s="121"/>
      <c r="E229" s="99"/>
      <c r="F229" s="100" t="str">
        <f aca="false">IF(E229="CONTADO", 4%, IF(E229="TARJETA / CHEQUE", 3%, IF(OR(E229="FINANCIADO", E229="MCP"), 2.5%, "")))</f>
        <v/>
      </c>
      <c r="G229" s="98" t="str">
        <f aca="false">IF(F229="", "", F229*D229)</f>
        <v/>
      </c>
      <c r="H229" s="132" t="b">
        <f aca="false">FALSE()</f>
        <v>0</v>
      </c>
      <c r="I229" s="132" t="b">
        <f aca="false">FALSE()</f>
        <v>0</v>
      </c>
      <c r="J229" s="126"/>
      <c r="K229" s="99"/>
      <c r="L229" s="83"/>
      <c r="M229" s="103"/>
      <c r="N229" s="103"/>
      <c r="O229" s="103"/>
      <c r="P229" s="103"/>
      <c r="Q229" s="103"/>
      <c r="R229" s="83"/>
      <c r="S229" s="103"/>
      <c r="T229" s="103"/>
      <c r="U229" s="103"/>
    </row>
    <row r="230" customFormat="false" ht="22.5" hidden="false" customHeight="true" outlineLevel="0" collapsed="false">
      <c r="A230" s="110"/>
      <c r="B230" s="110"/>
      <c r="C230" s="110"/>
      <c r="D230" s="122"/>
      <c r="E230" s="110"/>
      <c r="F230" s="128"/>
      <c r="G230" s="122"/>
      <c r="H230" s="131" t="b">
        <f aca="false">FALSE()</f>
        <v>0</v>
      </c>
      <c r="I230" s="131" t="b">
        <f aca="false">FALSE()</f>
        <v>0</v>
      </c>
      <c r="J230" s="130"/>
      <c r="K230" s="110"/>
      <c r="L230" s="83"/>
      <c r="M230" s="103"/>
      <c r="N230" s="103"/>
      <c r="O230" s="103"/>
      <c r="P230" s="103"/>
      <c r="Q230" s="103"/>
      <c r="R230" s="83"/>
      <c r="S230" s="103"/>
      <c r="T230" s="103"/>
      <c r="U230" s="103"/>
    </row>
    <row r="231" customFormat="false" ht="22.5" hidden="false" customHeight="true" outlineLevel="0" collapsed="false">
      <c r="A231" s="99"/>
      <c r="B231" s="99"/>
      <c r="C231" s="99"/>
      <c r="D231" s="121"/>
      <c r="E231" s="99"/>
      <c r="F231" s="124"/>
      <c r="G231" s="121"/>
      <c r="H231" s="132" t="b">
        <f aca="false">FALSE()</f>
        <v>0</v>
      </c>
      <c r="I231" s="132" t="b">
        <f aca="false">FALSE()</f>
        <v>0</v>
      </c>
      <c r="J231" s="126"/>
      <c r="K231" s="99"/>
      <c r="L231" s="83"/>
      <c r="M231" s="103"/>
      <c r="N231" s="103"/>
      <c r="O231" s="103"/>
      <c r="P231" s="103"/>
      <c r="Q231" s="103"/>
      <c r="R231" s="83"/>
      <c r="S231" s="103"/>
      <c r="T231" s="103"/>
      <c r="U231" s="103"/>
    </row>
    <row r="232" customFormat="false" ht="22.5" hidden="false" customHeight="true" outlineLevel="0" collapsed="false">
      <c r="A232" s="110"/>
      <c r="B232" s="110"/>
      <c r="C232" s="110"/>
      <c r="D232" s="122"/>
      <c r="E232" s="110"/>
      <c r="F232" s="128"/>
      <c r="G232" s="122"/>
      <c r="H232" s="131" t="b">
        <f aca="false">FALSE()</f>
        <v>0</v>
      </c>
      <c r="I232" s="131" t="b">
        <f aca="false">FALSE()</f>
        <v>0</v>
      </c>
      <c r="J232" s="130"/>
      <c r="K232" s="110"/>
      <c r="L232" s="83"/>
      <c r="M232" s="103"/>
      <c r="N232" s="103"/>
      <c r="O232" s="103"/>
      <c r="P232" s="103"/>
      <c r="Q232" s="103"/>
      <c r="R232" s="83"/>
      <c r="S232" s="103"/>
      <c r="T232" s="103"/>
      <c r="U232" s="103"/>
    </row>
    <row r="233" customFormat="false" ht="22.5" hidden="false" customHeight="true" outlineLevel="0" collapsed="false">
      <c r="A233" s="99"/>
      <c r="B233" s="99"/>
      <c r="C233" s="99"/>
      <c r="D233" s="121"/>
      <c r="E233" s="99"/>
      <c r="F233" s="124"/>
      <c r="G233" s="121"/>
      <c r="H233" s="132" t="b">
        <f aca="false">FALSE()</f>
        <v>0</v>
      </c>
      <c r="I233" s="132" t="b">
        <f aca="false">FALSE()</f>
        <v>0</v>
      </c>
      <c r="J233" s="126"/>
      <c r="K233" s="99"/>
      <c r="L233" s="83"/>
      <c r="M233" s="103"/>
      <c r="N233" s="103"/>
      <c r="O233" s="103"/>
      <c r="P233" s="103"/>
      <c r="Q233" s="103"/>
      <c r="R233" s="83"/>
      <c r="S233" s="103"/>
      <c r="T233" s="103"/>
      <c r="U233" s="103"/>
    </row>
    <row r="234" customFormat="false" ht="22.5" hidden="false" customHeight="true" outlineLevel="0" collapsed="false">
      <c r="A234" s="110"/>
      <c r="B234" s="110"/>
      <c r="C234" s="110"/>
      <c r="D234" s="122"/>
      <c r="E234" s="110"/>
      <c r="F234" s="128"/>
      <c r="G234" s="122"/>
      <c r="H234" s="131" t="b">
        <f aca="false">FALSE()</f>
        <v>0</v>
      </c>
      <c r="I234" s="131" t="b">
        <f aca="false">FALSE()</f>
        <v>0</v>
      </c>
      <c r="J234" s="130"/>
      <c r="K234" s="110"/>
      <c r="L234" s="83"/>
      <c r="M234" s="103"/>
      <c r="N234" s="103"/>
      <c r="O234" s="103"/>
      <c r="P234" s="103"/>
      <c r="Q234" s="103"/>
      <c r="R234" s="83"/>
      <c r="S234" s="103"/>
      <c r="T234" s="103"/>
      <c r="U234" s="103"/>
    </row>
    <row r="235" customFormat="false" ht="22.5" hidden="false" customHeight="true" outlineLevel="0" collapsed="false">
      <c r="A235" s="99"/>
      <c r="B235" s="99"/>
      <c r="C235" s="99"/>
      <c r="D235" s="121"/>
      <c r="E235" s="99"/>
      <c r="F235" s="124"/>
      <c r="G235" s="121"/>
      <c r="H235" s="132" t="b">
        <f aca="false">FALSE()</f>
        <v>0</v>
      </c>
      <c r="I235" s="132" t="b">
        <f aca="false">FALSE()</f>
        <v>0</v>
      </c>
      <c r="J235" s="126"/>
      <c r="K235" s="99"/>
      <c r="L235" s="83"/>
      <c r="M235" s="103"/>
      <c r="N235" s="103"/>
      <c r="O235" s="103"/>
      <c r="P235" s="103"/>
      <c r="Q235" s="103"/>
      <c r="R235" s="83"/>
      <c r="S235" s="103"/>
      <c r="T235" s="103"/>
      <c r="U235" s="103"/>
    </row>
    <row r="236" customFormat="false" ht="22.5" hidden="false" customHeight="true" outlineLevel="0" collapsed="false">
      <c r="A236" s="110"/>
      <c r="B236" s="110"/>
      <c r="C236" s="110"/>
      <c r="D236" s="122"/>
      <c r="E236" s="110"/>
      <c r="F236" s="128"/>
      <c r="G236" s="122"/>
      <c r="H236" s="131" t="b">
        <f aca="false">FALSE()</f>
        <v>0</v>
      </c>
      <c r="I236" s="131" t="b">
        <f aca="false">FALSE()</f>
        <v>0</v>
      </c>
      <c r="J236" s="130"/>
      <c r="K236" s="110"/>
      <c r="L236" s="83"/>
      <c r="M236" s="103"/>
      <c r="N236" s="103"/>
      <c r="O236" s="103"/>
      <c r="P236" s="103"/>
      <c r="Q236" s="103"/>
      <c r="R236" s="83"/>
      <c r="S236" s="103"/>
      <c r="T236" s="103"/>
      <c r="U236" s="103"/>
    </row>
    <row r="237" customFormat="false" ht="22.5" hidden="false" customHeight="true" outlineLevel="0" collapsed="false">
      <c r="A237" s="99"/>
      <c r="B237" s="99"/>
      <c r="C237" s="99"/>
      <c r="D237" s="121"/>
      <c r="E237" s="99"/>
      <c r="F237" s="124"/>
      <c r="G237" s="121"/>
      <c r="H237" s="132" t="b">
        <f aca="false">FALSE()</f>
        <v>0</v>
      </c>
      <c r="I237" s="132" t="b">
        <f aca="false">FALSE()</f>
        <v>0</v>
      </c>
      <c r="J237" s="126"/>
      <c r="K237" s="99"/>
      <c r="L237" s="83"/>
      <c r="M237" s="103"/>
      <c r="N237" s="103"/>
      <c r="O237" s="103"/>
      <c r="P237" s="103"/>
      <c r="Q237" s="103"/>
      <c r="R237" s="83"/>
      <c r="S237" s="103"/>
      <c r="T237" s="103"/>
      <c r="U237" s="103"/>
    </row>
    <row r="238" customFormat="false" ht="22.5" hidden="false" customHeight="true" outlineLevel="0" collapsed="false">
      <c r="A238" s="110"/>
      <c r="B238" s="110"/>
      <c r="C238" s="110"/>
      <c r="D238" s="122"/>
      <c r="E238" s="110"/>
      <c r="F238" s="128"/>
      <c r="G238" s="122"/>
      <c r="H238" s="131" t="b">
        <f aca="false">FALSE()</f>
        <v>0</v>
      </c>
      <c r="I238" s="131" t="b">
        <f aca="false">FALSE()</f>
        <v>0</v>
      </c>
      <c r="J238" s="130"/>
      <c r="K238" s="110"/>
      <c r="L238" s="83"/>
      <c r="M238" s="103"/>
      <c r="N238" s="103"/>
      <c r="O238" s="103"/>
      <c r="P238" s="103"/>
      <c r="Q238" s="103"/>
      <c r="R238" s="83"/>
      <c r="S238" s="103"/>
      <c r="T238" s="103"/>
      <c r="U238" s="103"/>
    </row>
    <row r="239" customFormat="false" ht="22.5" hidden="false" customHeight="true" outlineLevel="0" collapsed="false">
      <c r="A239" s="99"/>
      <c r="B239" s="99"/>
      <c r="C239" s="99"/>
      <c r="D239" s="121"/>
      <c r="E239" s="99"/>
      <c r="F239" s="124"/>
      <c r="G239" s="121"/>
      <c r="H239" s="132" t="b">
        <f aca="false">FALSE()</f>
        <v>0</v>
      </c>
      <c r="I239" s="132" t="b">
        <f aca="false">FALSE()</f>
        <v>0</v>
      </c>
      <c r="J239" s="126"/>
      <c r="K239" s="99"/>
      <c r="L239" s="83"/>
      <c r="M239" s="103"/>
      <c r="N239" s="103"/>
      <c r="O239" s="103"/>
      <c r="P239" s="103"/>
      <c r="Q239" s="103"/>
      <c r="R239" s="83"/>
      <c r="S239" s="103"/>
      <c r="T239" s="103"/>
      <c r="U239" s="103"/>
    </row>
    <row r="240" customFormat="false" ht="22.5" hidden="false" customHeight="true" outlineLevel="0" collapsed="false">
      <c r="A240" s="110"/>
      <c r="B240" s="110"/>
      <c r="C240" s="110"/>
      <c r="D240" s="122"/>
      <c r="E240" s="110"/>
      <c r="F240" s="128"/>
      <c r="G240" s="122"/>
      <c r="H240" s="131" t="b">
        <f aca="false">FALSE()</f>
        <v>0</v>
      </c>
      <c r="I240" s="131" t="b">
        <f aca="false">FALSE()</f>
        <v>0</v>
      </c>
      <c r="J240" s="130"/>
      <c r="K240" s="110"/>
      <c r="L240" s="83"/>
      <c r="M240" s="103"/>
      <c r="N240" s="103"/>
      <c r="O240" s="103"/>
      <c r="P240" s="103"/>
      <c r="Q240" s="103"/>
      <c r="R240" s="83"/>
      <c r="S240" s="103"/>
      <c r="T240" s="103"/>
      <c r="U240" s="103"/>
    </row>
    <row r="241" customFormat="false" ht="22.5" hidden="false" customHeight="true" outlineLevel="0" collapsed="false">
      <c r="A241" s="99"/>
      <c r="B241" s="99"/>
      <c r="C241" s="99"/>
      <c r="D241" s="121"/>
      <c r="E241" s="99"/>
      <c r="F241" s="124"/>
      <c r="G241" s="121"/>
      <c r="H241" s="132" t="b">
        <f aca="false">FALSE()</f>
        <v>0</v>
      </c>
      <c r="I241" s="132" t="b">
        <f aca="false">FALSE()</f>
        <v>0</v>
      </c>
      <c r="J241" s="126"/>
      <c r="K241" s="99"/>
      <c r="L241" s="83"/>
      <c r="M241" s="103"/>
      <c r="N241" s="103"/>
      <c r="O241" s="103"/>
      <c r="P241" s="103"/>
      <c r="Q241" s="103"/>
      <c r="R241" s="83"/>
      <c r="S241" s="103"/>
      <c r="T241" s="103"/>
      <c r="U241" s="103"/>
    </row>
    <row r="242" customFormat="false" ht="22.5" hidden="false" customHeight="true" outlineLevel="0" collapsed="false">
      <c r="A242" s="110"/>
      <c r="B242" s="110"/>
      <c r="C242" s="110"/>
      <c r="D242" s="122"/>
      <c r="E242" s="110"/>
      <c r="F242" s="128"/>
      <c r="G242" s="122"/>
      <c r="H242" s="131" t="b">
        <f aca="false">FALSE()</f>
        <v>0</v>
      </c>
      <c r="I242" s="131" t="b">
        <f aca="false">FALSE()</f>
        <v>0</v>
      </c>
      <c r="J242" s="130"/>
      <c r="K242" s="110"/>
      <c r="L242" s="83"/>
      <c r="M242" s="103"/>
      <c r="N242" s="103"/>
      <c r="O242" s="103"/>
      <c r="P242" s="103"/>
      <c r="Q242" s="103"/>
      <c r="R242" s="83"/>
      <c r="S242" s="103"/>
      <c r="T242" s="103"/>
      <c r="U242" s="103"/>
    </row>
    <row r="243" customFormat="false" ht="22.5" hidden="false" customHeight="true" outlineLevel="0" collapsed="false">
      <c r="A243" s="99"/>
      <c r="B243" s="99"/>
      <c r="C243" s="99"/>
      <c r="D243" s="121"/>
      <c r="E243" s="99"/>
      <c r="F243" s="124"/>
      <c r="G243" s="121"/>
      <c r="H243" s="132" t="b">
        <f aca="false">FALSE()</f>
        <v>0</v>
      </c>
      <c r="I243" s="132" t="b">
        <f aca="false">FALSE()</f>
        <v>0</v>
      </c>
      <c r="J243" s="126"/>
      <c r="K243" s="99"/>
      <c r="L243" s="83"/>
      <c r="M243" s="103"/>
      <c r="N243" s="103"/>
      <c r="O243" s="103"/>
      <c r="P243" s="103"/>
      <c r="Q243" s="103"/>
      <c r="R243" s="83"/>
      <c r="S243" s="103"/>
      <c r="T243" s="103"/>
      <c r="U243" s="103"/>
    </row>
    <row r="244" customFormat="false" ht="22.5" hidden="false" customHeight="true" outlineLevel="0" collapsed="false">
      <c r="A244" s="110"/>
      <c r="B244" s="110"/>
      <c r="C244" s="110"/>
      <c r="D244" s="122"/>
      <c r="E244" s="110"/>
      <c r="F244" s="128"/>
      <c r="G244" s="122"/>
      <c r="H244" s="131" t="b">
        <f aca="false">FALSE()</f>
        <v>0</v>
      </c>
      <c r="I244" s="131" t="b">
        <f aca="false">FALSE()</f>
        <v>0</v>
      </c>
      <c r="J244" s="130"/>
      <c r="K244" s="110"/>
      <c r="L244" s="83"/>
      <c r="M244" s="103"/>
      <c r="N244" s="103"/>
      <c r="O244" s="103"/>
      <c r="P244" s="103"/>
      <c r="Q244" s="103"/>
      <c r="R244" s="83"/>
      <c r="S244" s="103"/>
      <c r="T244" s="103"/>
      <c r="U244" s="103"/>
    </row>
    <row r="245" customFormat="false" ht="22.5" hidden="false" customHeight="true" outlineLevel="0" collapsed="false">
      <c r="A245" s="99"/>
      <c r="B245" s="99"/>
      <c r="C245" s="99"/>
      <c r="D245" s="121"/>
      <c r="E245" s="99"/>
      <c r="F245" s="124"/>
      <c r="G245" s="121"/>
      <c r="H245" s="132" t="b">
        <f aca="false">FALSE()</f>
        <v>0</v>
      </c>
      <c r="I245" s="132" t="b">
        <f aca="false">FALSE()</f>
        <v>0</v>
      </c>
      <c r="J245" s="126"/>
      <c r="K245" s="99"/>
      <c r="L245" s="83"/>
      <c r="M245" s="103"/>
      <c r="N245" s="103"/>
      <c r="O245" s="103"/>
      <c r="P245" s="103"/>
      <c r="Q245" s="103"/>
      <c r="R245" s="83"/>
      <c r="S245" s="103"/>
      <c r="T245" s="103"/>
      <c r="U245" s="103"/>
    </row>
    <row r="246" customFormat="false" ht="22.5" hidden="false" customHeight="true" outlineLevel="0" collapsed="false">
      <c r="A246" s="110"/>
      <c r="B246" s="110"/>
      <c r="C246" s="110"/>
      <c r="D246" s="122"/>
      <c r="E246" s="110"/>
      <c r="F246" s="128"/>
      <c r="G246" s="122"/>
      <c r="H246" s="131" t="b">
        <f aca="false">FALSE()</f>
        <v>0</v>
      </c>
      <c r="I246" s="131" t="b">
        <f aca="false">FALSE()</f>
        <v>0</v>
      </c>
      <c r="J246" s="130"/>
      <c r="K246" s="110"/>
      <c r="L246" s="83"/>
      <c r="M246" s="103"/>
      <c r="N246" s="103"/>
      <c r="O246" s="103"/>
      <c r="P246" s="103"/>
      <c r="Q246" s="103"/>
      <c r="R246" s="83"/>
      <c r="S246" s="103"/>
      <c r="T246" s="103"/>
      <c r="U246" s="103"/>
    </row>
    <row r="247" customFormat="false" ht="22.5" hidden="false" customHeight="true" outlineLevel="0" collapsed="false">
      <c r="A247" s="99"/>
      <c r="B247" s="99"/>
      <c r="C247" s="99"/>
      <c r="D247" s="121"/>
      <c r="E247" s="99"/>
      <c r="F247" s="124"/>
      <c r="G247" s="121"/>
      <c r="H247" s="132" t="b">
        <f aca="false">FALSE()</f>
        <v>0</v>
      </c>
      <c r="I247" s="132" t="b">
        <f aca="false">FALSE()</f>
        <v>0</v>
      </c>
      <c r="J247" s="126"/>
      <c r="K247" s="99"/>
      <c r="L247" s="83"/>
      <c r="M247" s="103"/>
      <c r="N247" s="103"/>
      <c r="O247" s="103"/>
      <c r="P247" s="103"/>
      <c r="Q247" s="103"/>
      <c r="R247" s="83"/>
      <c r="S247" s="103"/>
      <c r="T247" s="103"/>
      <c r="U247" s="103"/>
    </row>
    <row r="248" customFormat="false" ht="22.5" hidden="false" customHeight="true" outlineLevel="0" collapsed="false">
      <c r="A248" s="110"/>
      <c r="B248" s="110"/>
      <c r="C248" s="110"/>
      <c r="D248" s="122"/>
      <c r="E248" s="110"/>
      <c r="F248" s="128"/>
      <c r="G248" s="122"/>
      <c r="H248" s="131" t="b">
        <f aca="false">FALSE()</f>
        <v>0</v>
      </c>
      <c r="I248" s="131" t="b">
        <f aca="false">FALSE()</f>
        <v>0</v>
      </c>
      <c r="J248" s="130"/>
      <c r="K248" s="110"/>
      <c r="L248" s="83"/>
      <c r="M248" s="103"/>
      <c r="N248" s="103"/>
      <c r="O248" s="103"/>
      <c r="P248" s="103"/>
      <c r="Q248" s="103"/>
      <c r="R248" s="83"/>
      <c r="S248" s="103"/>
      <c r="T248" s="103"/>
      <c r="U248" s="103"/>
    </row>
    <row r="249" customFormat="false" ht="22.5" hidden="false" customHeight="true" outlineLevel="0" collapsed="false">
      <c r="A249" s="99"/>
      <c r="B249" s="99"/>
      <c r="C249" s="99"/>
      <c r="D249" s="121"/>
      <c r="E249" s="99"/>
      <c r="F249" s="124"/>
      <c r="G249" s="121"/>
      <c r="H249" s="132" t="b">
        <f aca="false">FALSE()</f>
        <v>0</v>
      </c>
      <c r="I249" s="132" t="b">
        <f aca="false">FALSE()</f>
        <v>0</v>
      </c>
      <c r="J249" s="126"/>
      <c r="K249" s="99"/>
      <c r="L249" s="83"/>
      <c r="M249" s="103"/>
      <c r="N249" s="103"/>
      <c r="O249" s="103"/>
      <c r="P249" s="103"/>
      <c r="Q249" s="103"/>
      <c r="R249" s="83"/>
      <c r="S249" s="103"/>
      <c r="T249" s="103"/>
      <c r="U249" s="103"/>
    </row>
    <row r="250" customFormat="false" ht="22.5" hidden="false" customHeight="true" outlineLevel="0" collapsed="false">
      <c r="A250" s="110"/>
      <c r="B250" s="110"/>
      <c r="C250" s="110"/>
      <c r="D250" s="122"/>
      <c r="E250" s="110"/>
      <c r="F250" s="128"/>
      <c r="G250" s="122"/>
      <c r="H250" s="131" t="b">
        <f aca="false">FALSE()</f>
        <v>0</v>
      </c>
      <c r="I250" s="131" t="b">
        <f aca="false">FALSE()</f>
        <v>0</v>
      </c>
      <c r="J250" s="130"/>
      <c r="K250" s="110"/>
      <c r="L250" s="83"/>
      <c r="M250" s="103"/>
      <c r="N250" s="103"/>
      <c r="O250" s="103"/>
      <c r="P250" s="103"/>
      <c r="Q250" s="103"/>
      <c r="R250" s="83"/>
      <c r="S250" s="103"/>
      <c r="T250" s="103"/>
      <c r="U250" s="103"/>
    </row>
    <row r="251" customFormat="false" ht="22.5" hidden="false" customHeight="true" outlineLevel="0" collapsed="false">
      <c r="A251" s="99"/>
      <c r="B251" s="99"/>
      <c r="C251" s="99"/>
      <c r="D251" s="121"/>
      <c r="E251" s="99"/>
      <c r="F251" s="124"/>
      <c r="G251" s="121"/>
      <c r="H251" s="132" t="b">
        <f aca="false">FALSE()</f>
        <v>0</v>
      </c>
      <c r="I251" s="132" t="b">
        <f aca="false">FALSE()</f>
        <v>0</v>
      </c>
      <c r="J251" s="126"/>
      <c r="K251" s="99"/>
      <c r="L251" s="83"/>
      <c r="M251" s="103"/>
      <c r="N251" s="103"/>
      <c r="O251" s="103"/>
      <c r="P251" s="103"/>
      <c r="Q251" s="103"/>
      <c r="R251" s="83"/>
      <c r="S251" s="103"/>
      <c r="T251" s="103"/>
      <c r="U251" s="103"/>
    </row>
    <row r="252" customFormat="false" ht="22.5" hidden="false" customHeight="true" outlineLevel="0" collapsed="false">
      <c r="A252" s="110"/>
      <c r="B252" s="110"/>
      <c r="C252" s="110"/>
      <c r="D252" s="122"/>
      <c r="E252" s="110"/>
      <c r="F252" s="128"/>
      <c r="G252" s="122"/>
      <c r="H252" s="131" t="b">
        <f aca="false">FALSE()</f>
        <v>0</v>
      </c>
      <c r="I252" s="131" t="b">
        <f aca="false">FALSE()</f>
        <v>0</v>
      </c>
      <c r="J252" s="130"/>
      <c r="K252" s="110"/>
      <c r="L252" s="83"/>
      <c r="M252" s="103"/>
      <c r="N252" s="103"/>
      <c r="O252" s="103"/>
      <c r="P252" s="103"/>
      <c r="Q252" s="103"/>
      <c r="R252" s="83"/>
      <c r="S252" s="103"/>
      <c r="T252" s="103"/>
      <c r="U252" s="103"/>
    </row>
    <row r="253" customFormat="false" ht="22.5" hidden="false" customHeight="true" outlineLevel="0" collapsed="false">
      <c r="A253" s="99"/>
      <c r="B253" s="99"/>
      <c r="C253" s="99"/>
      <c r="D253" s="121"/>
      <c r="E253" s="99"/>
      <c r="F253" s="124"/>
      <c r="G253" s="121"/>
      <c r="H253" s="132" t="b">
        <f aca="false">FALSE()</f>
        <v>0</v>
      </c>
      <c r="I253" s="132" t="b">
        <f aca="false">FALSE()</f>
        <v>0</v>
      </c>
      <c r="J253" s="126"/>
      <c r="K253" s="99"/>
      <c r="L253" s="83"/>
      <c r="M253" s="103"/>
      <c r="N253" s="103"/>
      <c r="O253" s="103"/>
      <c r="P253" s="103"/>
      <c r="Q253" s="103"/>
      <c r="R253" s="83"/>
      <c r="S253" s="103"/>
      <c r="T253" s="103"/>
      <c r="U253" s="103"/>
    </row>
    <row r="254" customFormat="false" ht="22.5" hidden="false" customHeight="true" outlineLevel="0" collapsed="false">
      <c r="A254" s="110"/>
      <c r="B254" s="110"/>
      <c r="C254" s="110"/>
      <c r="D254" s="122"/>
      <c r="E254" s="110"/>
      <c r="F254" s="128"/>
      <c r="G254" s="122"/>
      <c r="H254" s="131" t="b">
        <f aca="false">FALSE()</f>
        <v>0</v>
      </c>
      <c r="I254" s="131" t="b">
        <f aca="false">FALSE()</f>
        <v>0</v>
      </c>
      <c r="J254" s="130"/>
      <c r="K254" s="110"/>
      <c r="L254" s="83"/>
      <c r="M254" s="103"/>
      <c r="N254" s="103"/>
      <c r="O254" s="103"/>
      <c r="P254" s="103"/>
      <c r="Q254" s="103"/>
      <c r="R254" s="83"/>
      <c r="S254" s="103"/>
      <c r="T254" s="103"/>
      <c r="U254" s="103"/>
    </row>
    <row r="255" customFormat="false" ht="22.5" hidden="false" customHeight="true" outlineLevel="0" collapsed="false">
      <c r="A255" s="99"/>
      <c r="B255" s="99"/>
      <c r="C255" s="99"/>
      <c r="D255" s="121"/>
      <c r="E255" s="99"/>
      <c r="F255" s="124"/>
      <c r="G255" s="121"/>
      <c r="H255" s="132" t="b">
        <f aca="false">FALSE()</f>
        <v>0</v>
      </c>
      <c r="I255" s="132" t="b">
        <f aca="false">FALSE()</f>
        <v>0</v>
      </c>
      <c r="J255" s="126"/>
      <c r="K255" s="99"/>
      <c r="L255" s="83"/>
      <c r="M255" s="103"/>
      <c r="N255" s="103"/>
      <c r="O255" s="103"/>
      <c r="P255" s="103"/>
      <c r="Q255" s="103"/>
      <c r="R255" s="83"/>
      <c r="S255" s="103"/>
      <c r="T255" s="103"/>
      <c r="U255" s="103"/>
    </row>
    <row r="256" customFormat="false" ht="22.5" hidden="false" customHeight="true" outlineLevel="0" collapsed="false">
      <c r="A256" s="110"/>
      <c r="B256" s="110"/>
      <c r="C256" s="110"/>
      <c r="D256" s="122"/>
      <c r="E256" s="110"/>
      <c r="F256" s="128"/>
      <c r="G256" s="122"/>
      <c r="H256" s="131" t="b">
        <f aca="false">FALSE()</f>
        <v>0</v>
      </c>
      <c r="I256" s="131" t="b">
        <f aca="false">FALSE()</f>
        <v>0</v>
      </c>
      <c r="J256" s="130"/>
      <c r="K256" s="110"/>
      <c r="L256" s="83"/>
      <c r="M256" s="103"/>
      <c r="N256" s="103"/>
      <c r="O256" s="103"/>
      <c r="P256" s="103"/>
      <c r="Q256" s="103"/>
      <c r="R256" s="83"/>
      <c r="S256" s="103"/>
      <c r="T256" s="103"/>
      <c r="U256" s="103"/>
    </row>
    <row r="257" customFormat="false" ht="22.5" hidden="false" customHeight="true" outlineLevel="0" collapsed="false">
      <c r="A257" s="99"/>
      <c r="B257" s="99"/>
      <c r="C257" s="99"/>
      <c r="D257" s="121"/>
      <c r="E257" s="99"/>
      <c r="F257" s="124"/>
      <c r="G257" s="121"/>
      <c r="H257" s="132" t="b">
        <f aca="false">FALSE()</f>
        <v>0</v>
      </c>
      <c r="I257" s="132" t="b">
        <f aca="false">FALSE()</f>
        <v>0</v>
      </c>
      <c r="J257" s="126"/>
      <c r="K257" s="99"/>
      <c r="L257" s="83"/>
      <c r="M257" s="103"/>
      <c r="N257" s="103"/>
      <c r="O257" s="103"/>
      <c r="P257" s="103"/>
      <c r="Q257" s="103"/>
      <c r="R257" s="83"/>
      <c r="S257" s="103"/>
      <c r="T257" s="103"/>
      <c r="U257" s="103"/>
    </row>
    <row r="258" customFormat="false" ht="22.5" hidden="false" customHeight="true" outlineLevel="0" collapsed="false">
      <c r="A258" s="110"/>
      <c r="B258" s="110"/>
      <c r="C258" s="110"/>
      <c r="D258" s="122"/>
      <c r="E258" s="110"/>
      <c r="F258" s="128"/>
      <c r="G258" s="122"/>
      <c r="H258" s="131" t="b">
        <f aca="false">FALSE()</f>
        <v>0</v>
      </c>
      <c r="I258" s="131" t="b">
        <f aca="false">FALSE()</f>
        <v>0</v>
      </c>
      <c r="J258" s="130"/>
      <c r="K258" s="110"/>
      <c r="L258" s="83"/>
      <c r="M258" s="103"/>
      <c r="N258" s="103"/>
      <c r="O258" s="103"/>
      <c r="P258" s="103"/>
      <c r="Q258" s="103"/>
      <c r="R258" s="83"/>
      <c r="S258" s="103"/>
      <c r="T258" s="103"/>
      <c r="U258" s="103"/>
    </row>
    <row r="259" customFormat="false" ht="22.5" hidden="false" customHeight="true" outlineLevel="0" collapsed="false">
      <c r="A259" s="99"/>
      <c r="B259" s="99"/>
      <c r="C259" s="99"/>
      <c r="D259" s="121"/>
      <c r="E259" s="99"/>
      <c r="F259" s="124"/>
      <c r="G259" s="121"/>
      <c r="H259" s="132" t="b">
        <f aca="false">FALSE()</f>
        <v>0</v>
      </c>
      <c r="I259" s="132" t="b">
        <f aca="false">FALSE()</f>
        <v>0</v>
      </c>
      <c r="J259" s="126"/>
      <c r="K259" s="99"/>
      <c r="L259" s="83"/>
      <c r="M259" s="103"/>
      <c r="N259" s="103"/>
      <c r="O259" s="103"/>
      <c r="P259" s="103"/>
      <c r="Q259" s="103"/>
      <c r="R259" s="83"/>
      <c r="S259" s="103"/>
      <c r="T259" s="103"/>
      <c r="U259" s="103"/>
    </row>
    <row r="260" customFormat="false" ht="22.5" hidden="false" customHeight="true" outlineLevel="0" collapsed="false">
      <c r="A260" s="110"/>
      <c r="B260" s="110"/>
      <c r="C260" s="110"/>
      <c r="D260" s="122"/>
      <c r="E260" s="110"/>
      <c r="F260" s="128"/>
      <c r="G260" s="122"/>
      <c r="H260" s="131" t="b">
        <f aca="false">FALSE()</f>
        <v>0</v>
      </c>
      <c r="I260" s="131" t="b">
        <f aca="false">FALSE()</f>
        <v>0</v>
      </c>
      <c r="J260" s="130"/>
      <c r="K260" s="110"/>
      <c r="L260" s="83"/>
      <c r="M260" s="103"/>
      <c r="N260" s="103"/>
      <c r="O260" s="103"/>
      <c r="P260" s="103"/>
      <c r="Q260" s="103"/>
      <c r="R260" s="83"/>
      <c r="S260" s="103"/>
      <c r="T260" s="103"/>
      <c r="U260" s="103"/>
    </row>
    <row r="261" customFormat="false" ht="22.5" hidden="false" customHeight="true" outlineLevel="0" collapsed="false">
      <c r="A261" s="99"/>
      <c r="B261" s="99"/>
      <c r="C261" s="99"/>
      <c r="D261" s="121"/>
      <c r="E261" s="99"/>
      <c r="F261" s="124"/>
      <c r="G261" s="121"/>
      <c r="H261" s="132" t="b">
        <f aca="false">FALSE()</f>
        <v>0</v>
      </c>
      <c r="I261" s="132" t="b">
        <f aca="false">FALSE()</f>
        <v>0</v>
      </c>
      <c r="J261" s="126"/>
      <c r="K261" s="99"/>
      <c r="L261" s="83"/>
      <c r="M261" s="103"/>
      <c r="N261" s="103"/>
      <c r="O261" s="103"/>
      <c r="P261" s="103"/>
      <c r="Q261" s="103"/>
      <c r="R261" s="83"/>
      <c r="S261" s="103"/>
      <c r="T261" s="103"/>
      <c r="U261" s="103"/>
    </row>
    <row r="262" customFormat="false" ht="22.5" hidden="false" customHeight="true" outlineLevel="0" collapsed="false">
      <c r="A262" s="110"/>
      <c r="B262" s="110"/>
      <c r="C262" s="110"/>
      <c r="D262" s="122"/>
      <c r="E262" s="110"/>
      <c r="F262" s="128"/>
      <c r="G262" s="122"/>
      <c r="H262" s="131" t="b">
        <f aca="false">FALSE()</f>
        <v>0</v>
      </c>
      <c r="I262" s="131" t="b">
        <f aca="false">FALSE()</f>
        <v>0</v>
      </c>
      <c r="J262" s="130"/>
      <c r="K262" s="110"/>
      <c r="L262" s="83"/>
      <c r="M262" s="103"/>
      <c r="N262" s="103"/>
      <c r="O262" s="103"/>
      <c r="P262" s="103"/>
      <c r="Q262" s="103"/>
      <c r="R262" s="83"/>
      <c r="S262" s="103"/>
      <c r="T262" s="103"/>
      <c r="U262" s="103"/>
    </row>
    <row r="263" customFormat="false" ht="22.5" hidden="false" customHeight="true" outlineLevel="0" collapsed="false">
      <c r="A263" s="99"/>
      <c r="B263" s="99"/>
      <c r="C263" s="99"/>
      <c r="D263" s="121"/>
      <c r="E263" s="99"/>
      <c r="F263" s="124"/>
      <c r="G263" s="121"/>
      <c r="H263" s="132" t="b">
        <f aca="false">FALSE()</f>
        <v>0</v>
      </c>
      <c r="I263" s="132" t="b">
        <f aca="false">FALSE()</f>
        <v>0</v>
      </c>
      <c r="J263" s="126"/>
      <c r="K263" s="99"/>
      <c r="L263" s="83"/>
      <c r="M263" s="103"/>
      <c r="N263" s="103"/>
      <c r="O263" s="103"/>
      <c r="P263" s="103"/>
      <c r="Q263" s="103"/>
      <c r="R263" s="83"/>
      <c r="S263" s="103"/>
      <c r="T263" s="103"/>
      <c r="U263" s="103"/>
    </row>
    <row r="264" customFormat="false" ht="22.5" hidden="false" customHeight="true" outlineLevel="0" collapsed="false">
      <c r="A264" s="110"/>
      <c r="B264" s="110"/>
      <c r="C264" s="110"/>
      <c r="D264" s="122"/>
      <c r="E264" s="110"/>
      <c r="F264" s="128"/>
      <c r="G264" s="122"/>
      <c r="H264" s="131" t="b">
        <f aca="false">FALSE()</f>
        <v>0</v>
      </c>
      <c r="I264" s="131" t="b">
        <f aca="false">FALSE()</f>
        <v>0</v>
      </c>
      <c r="J264" s="130"/>
      <c r="K264" s="110"/>
      <c r="L264" s="83"/>
      <c r="M264" s="103"/>
      <c r="N264" s="103"/>
      <c r="O264" s="103"/>
      <c r="P264" s="103"/>
      <c r="Q264" s="103"/>
      <c r="R264" s="83"/>
      <c r="S264" s="103"/>
      <c r="T264" s="103"/>
      <c r="U264" s="103"/>
    </row>
    <row r="265" customFormat="false" ht="22.5" hidden="false" customHeight="true" outlineLevel="0" collapsed="false">
      <c r="A265" s="99"/>
      <c r="B265" s="99"/>
      <c r="C265" s="99"/>
      <c r="D265" s="121"/>
      <c r="E265" s="99"/>
      <c r="F265" s="124"/>
      <c r="G265" s="121"/>
      <c r="H265" s="132" t="b">
        <f aca="false">FALSE()</f>
        <v>0</v>
      </c>
      <c r="I265" s="132" t="b">
        <f aca="false">FALSE()</f>
        <v>0</v>
      </c>
      <c r="J265" s="126"/>
      <c r="K265" s="99"/>
      <c r="L265" s="83"/>
      <c r="M265" s="103"/>
      <c r="N265" s="103"/>
      <c r="O265" s="103"/>
      <c r="P265" s="103"/>
      <c r="Q265" s="103"/>
      <c r="R265" s="83"/>
      <c r="S265" s="103"/>
      <c r="T265" s="103"/>
      <c r="U265" s="103"/>
    </row>
    <row r="266" customFormat="false" ht="22.5" hidden="false" customHeight="true" outlineLevel="0" collapsed="false">
      <c r="A266" s="110"/>
      <c r="B266" s="110"/>
      <c r="C266" s="110"/>
      <c r="D266" s="122"/>
      <c r="E266" s="110"/>
      <c r="F266" s="128"/>
      <c r="G266" s="122"/>
      <c r="H266" s="131" t="b">
        <f aca="false">FALSE()</f>
        <v>0</v>
      </c>
      <c r="I266" s="131" t="b">
        <f aca="false">FALSE()</f>
        <v>0</v>
      </c>
      <c r="J266" s="130"/>
      <c r="K266" s="110"/>
      <c r="L266" s="83"/>
      <c r="M266" s="103"/>
      <c r="N266" s="103"/>
      <c r="O266" s="103"/>
      <c r="P266" s="103"/>
      <c r="Q266" s="103"/>
      <c r="R266" s="83"/>
      <c r="S266" s="103"/>
      <c r="T266" s="103"/>
      <c r="U266" s="103"/>
    </row>
    <row r="267" customFormat="false" ht="22.5" hidden="false" customHeight="true" outlineLevel="0" collapsed="false">
      <c r="A267" s="99"/>
      <c r="B267" s="99"/>
      <c r="C267" s="99"/>
      <c r="D267" s="121"/>
      <c r="E267" s="99"/>
      <c r="F267" s="124"/>
      <c r="G267" s="121"/>
      <c r="H267" s="132" t="b">
        <f aca="false">FALSE()</f>
        <v>0</v>
      </c>
      <c r="I267" s="132" t="b">
        <f aca="false">FALSE()</f>
        <v>0</v>
      </c>
      <c r="J267" s="126"/>
      <c r="K267" s="99"/>
      <c r="L267" s="83"/>
      <c r="M267" s="103"/>
      <c r="N267" s="103"/>
      <c r="O267" s="103"/>
      <c r="P267" s="103"/>
      <c r="Q267" s="103"/>
      <c r="R267" s="83"/>
      <c r="S267" s="103"/>
      <c r="T267" s="103"/>
      <c r="U267" s="103"/>
    </row>
    <row r="268" customFormat="false" ht="22.5" hidden="false" customHeight="true" outlineLevel="0" collapsed="false">
      <c r="A268" s="110"/>
      <c r="B268" s="110"/>
      <c r="C268" s="110"/>
      <c r="D268" s="122"/>
      <c r="E268" s="110"/>
      <c r="F268" s="128"/>
      <c r="G268" s="122"/>
      <c r="H268" s="131" t="b">
        <f aca="false">FALSE()</f>
        <v>0</v>
      </c>
      <c r="I268" s="131" t="b">
        <f aca="false">FALSE()</f>
        <v>0</v>
      </c>
      <c r="J268" s="130"/>
      <c r="K268" s="110"/>
      <c r="L268" s="83"/>
      <c r="M268" s="103"/>
      <c r="N268" s="103"/>
      <c r="O268" s="103"/>
      <c r="P268" s="103"/>
      <c r="Q268" s="103"/>
      <c r="R268" s="83"/>
      <c r="S268" s="103"/>
      <c r="T268" s="103"/>
      <c r="U268" s="103"/>
    </row>
    <row r="269" customFormat="false" ht="22.5" hidden="false" customHeight="true" outlineLevel="0" collapsed="false">
      <c r="A269" s="99"/>
      <c r="B269" s="99"/>
      <c r="C269" s="99"/>
      <c r="D269" s="121"/>
      <c r="E269" s="99"/>
      <c r="F269" s="124"/>
      <c r="G269" s="121"/>
      <c r="H269" s="132" t="b">
        <f aca="false">FALSE()</f>
        <v>0</v>
      </c>
      <c r="I269" s="132" t="b">
        <f aca="false">FALSE()</f>
        <v>0</v>
      </c>
      <c r="J269" s="126"/>
      <c r="K269" s="99"/>
      <c r="L269" s="83"/>
      <c r="M269" s="103"/>
      <c r="N269" s="103"/>
      <c r="O269" s="103"/>
      <c r="P269" s="103"/>
      <c r="Q269" s="103"/>
      <c r="R269" s="83"/>
      <c r="S269" s="103"/>
      <c r="T269" s="103"/>
      <c r="U269" s="103"/>
    </row>
    <row r="270" customFormat="false" ht="22.5" hidden="false" customHeight="true" outlineLevel="0" collapsed="false">
      <c r="A270" s="110"/>
      <c r="B270" s="110"/>
      <c r="C270" s="110"/>
      <c r="D270" s="122"/>
      <c r="E270" s="110"/>
      <c r="F270" s="128"/>
      <c r="G270" s="122"/>
      <c r="H270" s="131" t="b">
        <f aca="false">FALSE()</f>
        <v>0</v>
      </c>
      <c r="I270" s="131" t="b">
        <f aca="false">FALSE()</f>
        <v>0</v>
      </c>
      <c r="J270" s="130"/>
      <c r="K270" s="110"/>
      <c r="L270" s="83"/>
      <c r="M270" s="103"/>
      <c r="N270" s="103"/>
      <c r="O270" s="103"/>
      <c r="P270" s="103"/>
      <c r="Q270" s="103"/>
      <c r="R270" s="83"/>
      <c r="S270" s="103"/>
      <c r="T270" s="103"/>
      <c r="U270" s="103"/>
    </row>
    <row r="271" customFormat="false" ht="22.5" hidden="false" customHeight="true" outlineLevel="0" collapsed="false">
      <c r="A271" s="99"/>
      <c r="B271" s="99"/>
      <c r="C271" s="99"/>
      <c r="D271" s="121"/>
      <c r="E271" s="99"/>
      <c r="F271" s="124"/>
      <c r="G271" s="121"/>
      <c r="H271" s="132" t="b">
        <f aca="false">FALSE()</f>
        <v>0</v>
      </c>
      <c r="I271" s="132" t="b">
        <f aca="false">FALSE()</f>
        <v>0</v>
      </c>
      <c r="J271" s="126"/>
      <c r="K271" s="99"/>
      <c r="L271" s="83"/>
      <c r="M271" s="103"/>
      <c r="N271" s="103"/>
      <c r="O271" s="103"/>
      <c r="P271" s="103"/>
      <c r="Q271" s="103"/>
      <c r="R271" s="83"/>
      <c r="S271" s="103"/>
      <c r="T271" s="103"/>
      <c r="U271" s="103"/>
    </row>
    <row r="272" customFormat="false" ht="22.5" hidden="false" customHeight="true" outlineLevel="0" collapsed="false">
      <c r="A272" s="110"/>
      <c r="B272" s="110"/>
      <c r="C272" s="110"/>
      <c r="D272" s="122"/>
      <c r="E272" s="110"/>
      <c r="F272" s="128"/>
      <c r="G272" s="122"/>
      <c r="H272" s="131" t="b">
        <f aca="false">FALSE()</f>
        <v>0</v>
      </c>
      <c r="I272" s="131" t="b">
        <f aca="false">FALSE()</f>
        <v>0</v>
      </c>
      <c r="J272" s="130"/>
      <c r="K272" s="110"/>
      <c r="L272" s="83"/>
      <c r="M272" s="103"/>
      <c r="N272" s="103"/>
      <c r="O272" s="103"/>
      <c r="P272" s="103"/>
      <c r="Q272" s="103"/>
      <c r="R272" s="83"/>
      <c r="S272" s="103"/>
      <c r="T272" s="103"/>
      <c r="U272" s="103"/>
    </row>
    <row r="273" customFormat="false" ht="22.5" hidden="false" customHeight="true" outlineLevel="0" collapsed="false">
      <c r="A273" s="99"/>
      <c r="B273" s="99"/>
      <c r="C273" s="99"/>
      <c r="D273" s="121"/>
      <c r="E273" s="99"/>
      <c r="F273" s="124"/>
      <c r="G273" s="121"/>
      <c r="H273" s="132" t="b">
        <f aca="false">FALSE()</f>
        <v>0</v>
      </c>
      <c r="I273" s="132" t="b">
        <f aca="false">FALSE()</f>
        <v>0</v>
      </c>
      <c r="J273" s="126"/>
      <c r="K273" s="99"/>
      <c r="L273" s="83"/>
      <c r="M273" s="103"/>
      <c r="N273" s="103"/>
      <c r="O273" s="103"/>
      <c r="P273" s="103"/>
      <c r="Q273" s="103"/>
      <c r="R273" s="83"/>
      <c r="S273" s="103"/>
      <c r="T273" s="103"/>
      <c r="U273" s="103"/>
    </row>
    <row r="274" customFormat="false" ht="22.5" hidden="false" customHeight="true" outlineLevel="0" collapsed="false">
      <c r="A274" s="110"/>
      <c r="B274" s="110"/>
      <c r="C274" s="110"/>
      <c r="D274" s="122"/>
      <c r="E274" s="110"/>
      <c r="F274" s="128"/>
      <c r="G274" s="122"/>
      <c r="H274" s="131" t="b">
        <f aca="false">FALSE()</f>
        <v>0</v>
      </c>
      <c r="I274" s="131" t="b">
        <f aca="false">FALSE()</f>
        <v>0</v>
      </c>
      <c r="J274" s="130"/>
      <c r="K274" s="110"/>
      <c r="L274" s="83"/>
      <c r="M274" s="103"/>
      <c r="N274" s="103"/>
      <c r="O274" s="103"/>
      <c r="P274" s="103"/>
      <c r="Q274" s="103"/>
      <c r="R274" s="83"/>
      <c r="S274" s="103"/>
      <c r="T274" s="103"/>
      <c r="U274" s="103"/>
    </row>
    <row r="275" customFormat="false" ht="22.5" hidden="false" customHeight="true" outlineLevel="0" collapsed="false">
      <c r="A275" s="99"/>
      <c r="B275" s="99"/>
      <c r="C275" s="99"/>
      <c r="D275" s="121"/>
      <c r="E275" s="99"/>
      <c r="F275" s="124"/>
      <c r="G275" s="121"/>
      <c r="H275" s="132" t="b">
        <f aca="false">FALSE()</f>
        <v>0</v>
      </c>
      <c r="I275" s="132" t="b">
        <f aca="false">FALSE()</f>
        <v>0</v>
      </c>
      <c r="J275" s="126"/>
      <c r="K275" s="99"/>
      <c r="L275" s="83"/>
      <c r="M275" s="103"/>
      <c r="N275" s="103"/>
      <c r="O275" s="103"/>
      <c r="P275" s="103"/>
      <c r="Q275" s="103"/>
      <c r="R275" s="83"/>
      <c r="S275" s="103"/>
      <c r="T275" s="103"/>
      <c r="U275" s="103"/>
    </row>
    <row r="276" customFormat="false" ht="22.5" hidden="false" customHeight="true" outlineLevel="0" collapsed="false">
      <c r="A276" s="110"/>
      <c r="B276" s="110"/>
      <c r="C276" s="110"/>
      <c r="D276" s="122"/>
      <c r="E276" s="110"/>
      <c r="F276" s="128"/>
      <c r="G276" s="122"/>
      <c r="H276" s="131" t="b">
        <f aca="false">FALSE()</f>
        <v>0</v>
      </c>
      <c r="I276" s="131" t="b">
        <f aca="false">FALSE()</f>
        <v>0</v>
      </c>
      <c r="J276" s="130"/>
      <c r="K276" s="110"/>
      <c r="L276" s="83"/>
      <c r="M276" s="103"/>
      <c r="N276" s="103"/>
      <c r="O276" s="103"/>
      <c r="P276" s="103"/>
      <c r="Q276" s="103"/>
      <c r="R276" s="83"/>
      <c r="S276" s="103"/>
      <c r="T276" s="103"/>
      <c r="U276" s="103"/>
    </row>
    <row r="277" customFormat="false" ht="22.5" hidden="false" customHeight="true" outlineLevel="0" collapsed="false">
      <c r="A277" s="99"/>
      <c r="B277" s="99"/>
      <c r="C277" s="99"/>
      <c r="D277" s="121"/>
      <c r="E277" s="99"/>
      <c r="F277" s="124"/>
      <c r="G277" s="121"/>
      <c r="H277" s="132" t="b">
        <f aca="false">FALSE()</f>
        <v>0</v>
      </c>
      <c r="I277" s="132" t="b">
        <f aca="false">FALSE()</f>
        <v>0</v>
      </c>
      <c r="J277" s="126"/>
      <c r="K277" s="99"/>
      <c r="L277" s="83"/>
      <c r="M277" s="103"/>
      <c r="N277" s="103"/>
      <c r="O277" s="103"/>
      <c r="P277" s="103"/>
      <c r="Q277" s="103"/>
      <c r="R277" s="83"/>
      <c r="S277" s="103"/>
      <c r="T277" s="103"/>
      <c r="U277" s="103"/>
    </row>
    <row r="278" customFormat="false" ht="22.5" hidden="false" customHeight="true" outlineLevel="0" collapsed="false">
      <c r="A278" s="110"/>
      <c r="B278" s="110"/>
      <c r="C278" s="110"/>
      <c r="D278" s="122"/>
      <c r="E278" s="110"/>
      <c r="F278" s="128"/>
      <c r="G278" s="122"/>
      <c r="H278" s="131" t="b">
        <f aca="false">FALSE()</f>
        <v>0</v>
      </c>
      <c r="I278" s="131" t="b">
        <f aca="false">FALSE()</f>
        <v>0</v>
      </c>
      <c r="J278" s="130"/>
      <c r="K278" s="110"/>
      <c r="L278" s="83"/>
      <c r="M278" s="103"/>
      <c r="N278" s="103"/>
      <c r="O278" s="103"/>
      <c r="P278" s="103"/>
      <c r="Q278" s="103"/>
      <c r="R278" s="83"/>
      <c r="S278" s="103"/>
      <c r="T278" s="103"/>
      <c r="U278" s="103"/>
    </row>
    <row r="279" customFormat="false" ht="22.5" hidden="false" customHeight="true" outlineLevel="0" collapsed="false">
      <c r="A279" s="99"/>
      <c r="B279" s="99"/>
      <c r="C279" s="99"/>
      <c r="D279" s="121"/>
      <c r="E279" s="99"/>
      <c r="F279" s="124"/>
      <c r="G279" s="121"/>
      <c r="H279" s="132" t="b">
        <f aca="false">FALSE()</f>
        <v>0</v>
      </c>
      <c r="I279" s="132" t="b">
        <f aca="false">FALSE()</f>
        <v>0</v>
      </c>
      <c r="J279" s="126"/>
      <c r="K279" s="99"/>
      <c r="L279" s="83"/>
      <c r="M279" s="103"/>
      <c r="N279" s="103"/>
      <c r="O279" s="103"/>
      <c r="P279" s="103"/>
      <c r="Q279" s="103"/>
      <c r="R279" s="83"/>
      <c r="S279" s="103"/>
      <c r="T279" s="103"/>
      <c r="U279" s="103"/>
    </row>
    <row r="280" customFormat="false" ht="22.5" hidden="false" customHeight="true" outlineLevel="0" collapsed="false">
      <c r="A280" s="110"/>
      <c r="B280" s="110"/>
      <c r="C280" s="110"/>
      <c r="D280" s="122"/>
      <c r="E280" s="110"/>
      <c r="F280" s="128"/>
      <c r="G280" s="122"/>
      <c r="H280" s="131" t="b">
        <f aca="false">FALSE()</f>
        <v>0</v>
      </c>
      <c r="I280" s="131" t="b">
        <f aca="false">FALSE()</f>
        <v>0</v>
      </c>
      <c r="J280" s="130"/>
      <c r="K280" s="110"/>
      <c r="L280" s="83"/>
      <c r="M280" s="103"/>
      <c r="N280" s="103"/>
      <c r="O280" s="103"/>
      <c r="P280" s="103"/>
      <c r="Q280" s="103"/>
      <c r="R280" s="83"/>
      <c r="S280" s="103"/>
      <c r="T280" s="103"/>
      <c r="U280" s="103"/>
    </row>
    <row r="281" customFormat="false" ht="22.5" hidden="false" customHeight="true" outlineLevel="0" collapsed="false">
      <c r="A281" s="99"/>
      <c r="B281" s="99"/>
      <c r="C281" s="99"/>
      <c r="D281" s="121"/>
      <c r="E281" s="99"/>
      <c r="F281" s="124"/>
      <c r="G281" s="121"/>
      <c r="H281" s="132" t="b">
        <f aca="false">FALSE()</f>
        <v>0</v>
      </c>
      <c r="I281" s="132" t="b">
        <f aca="false">FALSE()</f>
        <v>0</v>
      </c>
      <c r="J281" s="126"/>
      <c r="K281" s="99"/>
      <c r="L281" s="83"/>
      <c r="M281" s="103"/>
      <c r="N281" s="103"/>
      <c r="O281" s="103"/>
      <c r="P281" s="103"/>
      <c r="Q281" s="103"/>
      <c r="R281" s="83"/>
      <c r="S281" s="103"/>
      <c r="T281" s="103"/>
      <c r="U281" s="103"/>
    </row>
    <row r="282" customFormat="false" ht="22.5" hidden="false" customHeight="true" outlineLevel="0" collapsed="false">
      <c r="A282" s="110"/>
      <c r="B282" s="110"/>
      <c r="C282" s="110"/>
      <c r="D282" s="122"/>
      <c r="E282" s="110"/>
      <c r="F282" s="128"/>
      <c r="G282" s="122"/>
      <c r="H282" s="131" t="b">
        <f aca="false">FALSE()</f>
        <v>0</v>
      </c>
      <c r="I282" s="131" t="b">
        <f aca="false">FALSE()</f>
        <v>0</v>
      </c>
      <c r="J282" s="130"/>
      <c r="K282" s="110"/>
      <c r="L282" s="83"/>
      <c r="M282" s="103"/>
      <c r="N282" s="103"/>
      <c r="O282" s="103"/>
      <c r="P282" s="103"/>
      <c r="Q282" s="103"/>
      <c r="R282" s="83"/>
      <c r="S282" s="103"/>
      <c r="T282" s="103"/>
      <c r="U282" s="103"/>
    </row>
    <row r="283" customFormat="false" ht="22.5" hidden="false" customHeight="true" outlineLevel="0" collapsed="false">
      <c r="A283" s="99"/>
      <c r="B283" s="99"/>
      <c r="C283" s="99"/>
      <c r="D283" s="121"/>
      <c r="E283" s="99"/>
      <c r="F283" s="124"/>
      <c r="G283" s="121"/>
      <c r="H283" s="132" t="b">
        <f aca="false">FALSE()</f>
        <v>0</v>
      </c>
      <c r="I283" s="132" t="b">
        <f aca="false">FALSE()</f>
        <v>0</v>
      </c>
      <c r="J283" s="126"/>
      <c r="K283" s="99"/>
      <c r="L283" s="83"/>
      <c r="M283" s="103"/>
      <c r="N283" s="103"/>
      <c r="O283" s="103"/>
      <c r="P283" s="103"/>
      <c r="Q283" s="103"/>
      <c r="R283" s="83"/>
      <c r="S283" s="103"/>
      <c r="T283" s="103"/>
      <c r="U283" s="103"/>
    </row>
    <row r="284" customFormat="false" ht="22.5" hidden="false" customHeight="true" outlineLevel="0" collapsed="false">
      <c r="A284" s="110"/>
      <c r="B284" s="110"/>
      <c r="C284" s="110"/>
      <c r="D284" s="122"/>
      <c r="E284" s="110"/>
      <c r="F284" s="128"/>
      <c r="G284" s="122"/>
      <c r="H284" s="131" t="b">
        <f aca="false">FALSE()</f>
        <v>0</v>
      </c>
      <c r="I284" s="131" t="b">
        <f aca="false">FALSE()</f>
        <v>0</v>
      </c>
      <c r="J284" s="130"/>
      <c r="K284" s="110"/>
      <c r="L284" s="83"/>
      <c r="M284" s="103"/>
      <c r="N284" s="103"/>
      <c r="O284" s="103"/>
      <c r="P284" s="103"/>
      <c r="Q284" s="103"/>
      <c r="R284" s="83"/>
      <c r="S284" s="103"/>
      <c r="T284" s="103"/>
      <c r="U284" s="103"/>
    </row>
    <row r="285" customFormat="false" ht="22.5" hidden="false" customHeight="true" outlineLevel="0" collapsed="false">
      <c r="A285" s="99"/>
      <c r="B285" s="99"/>
      <c r="C285" s="99"/>
      <c r="D285" s="121"/>
      <c r="E285" s="99"/>
      <c r="F285" s="124"/>
      <c r="G285" s="121"/>
      <c r="H285" s="132" t="b">
        <f aca="false">FALSE()</f>
        <v>0</v>
      </c>
      <c r="I285" s="132" t="b">
        <f aca="false">FALSE()</f>
        <v>0</v>
      </c>
      <c r="J285" s="126"/>
      <c r="K285" s="99"/>
      <c r="L285" s="83"/>
      <c r="M285" s="103"/>
      <c r="N285" s="103"/>
      <c r="O285" s="103"/>
      <c r="P285" s="103"/>
      <c r="Q285" s="103"/>
      <c r="R285" s="83"/>
      <c r="S285" s="103"/>
      <c r="T285" s="103"/>
      <c r="U285" s="103"/>
    </row>
    <row r="286" customFormat="false" ht="22.5" hidden="false" customHeight="true" outlineLevel="0" collapsed="false">
      <c r="A286" s="110"/>
      <c r="B286" s="110"/>
      <c r="C286" s="110"/>
      <c r="D286" s="122"/>
      <c r="E286" s="110"/>
      <c r="F286" s="128"/>
      <c r="G286" s="122"/>
      <c r="H286" s="131" t="b">
        <f aca="false">FALSE()</f>
        <v>0</v>
      </c>
      <c r="I286" s="131" t="b">
        <f aca="false">FALSE()</f>
        <v>0</v>
      </c>
      <c r="J286" s="130"/>
      <c r="K286" s="110"/>
      <c r="L286" s="83"/>
      <c r="M286" s="103"/>
      <c r="N286" s="103"/>
      <c r="O286" s="103"/>
      <c r="P286" s="103"/>
      <c r="Q286" s="103"/>
      <c r="R286" s="83"/>
      <c r="S286" s="103"/>
      <c r="T286" s="103"/>
      <c r="U286" s="103"/>
    </row>
    <row r="287" customFormat="false" ht="22.5" hidden="false" customHeight="true" outlineLevel="0" collapsed="false">
      <c r="A287" s="99"/>
      <c r="B287" s="99"/>
      <c r="C287" s="99"/>
      <c r="D287" s="121"/>
      <c r="E287" s="99"/>
      <c r="F287" s="124"/>
      <c r="G287" s="121"/>
      <c r="H287" s="132" t="b">
        <f aca="false">FALSE()</f>
        <v>0</v>
      </c>
      <c r="I287" s="132" t="b">
        <f aca="false">FALSE()</f>
        <v>0</v>
      </c>
      <c r="J287" s="126"/>
      <c r="K287" s="99"/>
      <c r="L287" s="83"/>
      <c r="M287" s="103"/>
      <c r="N287" s="103"/>
      <c r="O287" s="103"/>
      <c r="P287" s="103"/>
      <c r="Q287" s="103"/>
      <c r="R287" s="83"/>
      <c r="S287" s="103"/>
      <c r="T287" s="103"/>
      <c r="U287" s="103"/>
    </row>
    <row r="288" customFormat="false" ht="22.5" hidden="false" customHeight="true" outlineLevel="0" collapsed="false">
      <c r="A288" s="110"/>
      <c r="B288" s="110"/>
      <c r="C288" s="110"/>
      <c r="D288" s="122"/>
      <c r="E288" s="110"/>
      <c r="F288" s="128"/>
      <c r="G288" s="122"/>
      <c r="H288" s="131" t="b">
        <f aca="false">FALSE()</f>
        <v>0</v>
      </c>
      <c r="I288" s="131" t="b">
        <f aca="false">FALSE()</f>
        <v>0</v>
      </c>
      <c r="J288" s="130"/>
      <c r="K288" s="110"/>
      <c r="L288" s="83"/>
      <c r="M288" s="103"/>
      <c r="N288" s="103"/>
      <c r="O288" s="103"/>
      <c r="P288" s="103"/>
      <c r="Q288" s="103"/>
      <c r="R288" s="83"/>
      <c r="S288" s="103"/>
      <c r="T288" s="103"/>
      <c r="U288" s="103"/>
    </row>
    <row r="289" customFormat="false" ht="22.5" hidden="false" customHeight="true" outlineLevel="0" collapsed="false">
      <c r="A289" s="99"/>
      <c r="B289" s="99"/>
      <c r="C289" s="99"/>
      <c r="D289" s="121"/>
      <c r="E289" s="99"/>
      <c r="F289" s="124"/>
      <c r="G289" s="121"/>
      <c r="H289" s="132" t="b">
        <f aca="false">FALSE()</f>
        <v>0</v>
      </c>
      <c r="I289" s="132" t="b">
        <f aca="false">FALSE()</f>
        <v>0</v>
      </c>
      <c r="J289" s="126"/>
      <c r="K289" s="99"/>
      <c r="L289" s="83"/>
      <c r="M289" s="103"/>
      <c r="N289" s="103"/>
      <c r="O289" s="103"/>
      <c r="P289" s="103"/>
      <c r="Q289" s="103"/>
      <c r="R289" s="83"/>
      <c r="S289" s="103"/>
      <c r="T289" s="103"/>
      <c r="U289" s="103"/>
    </row>
    <row r="290" customFormat="false" ht="22.5" hidden="false" customHeight="true" outlineLevel="0" collapsed="false">
      <c r="A290" s="110"/>
      <c r="B290" s="110"/>
      <c r="C290" s="110"/>
      <c r="D290" s="122"/>
      <c r="E290" s="110"/>
      <c r="F290" s="128"/>
      <c r="G290" s="122"/>
      <c r="H290" s="131" t="b">
        <f aca="false">FALSE()</f>
        <v>0</v>
      </c>
      <c r="I290" s="131" t="b">
        <f aca="false">FALSE()</f>
        <v>0</v>
      </c>
      <c r="J290" s="130"/>
      <c r="K290" s="110"/>
      <c r="L290" s="83"/>
      <c r="M290" s="103"/>
      <c r="N290" s="103"/>
      <c r="O290" s="103"/>
      <c r="P290" s="103"/>
      <c r="Q290" s="103"/>
      <c r="R290" s="83"/>
      <c r="S290" s="103"/>
      <c r="T290" s="103"/>
      <c r="U290" s="103"/>
    </row>
    <row r="291" customFormat="false" ht="22.5" hidden="false" customHeight="true" outlineLevel="0" collapsed="false">
      <c r="A291" s="99"/>
      <c r="B291" s="99"/>
      <c r="C291" s="99"/>
      <c r="D291" s="121"/>
      <c r="E291" s="99"/>
      <c r="F291" s="124"/>
      <c r="G291" s="121"/>
      <c r="H291" s="132" t="b">
        <f aca="false">FALSE()</f>
        <v>0</v>
      </c>
      <c r="I291" s="132" t="b">
        <f aca="false">FALSE()</f>
        <v>0</v>
      </c>
      <c r="J291" s="126"/>
      <c r="K291" s="99"/>
      <c r="L291" s="83"/>
      <c r="M291" s="103"/>
      <c r="N291" s="103"/>
      <c r="O291" s="103"/>
      <c r="P291" s="103"/>
      <c r="Q291" s="103"/>
      <c r="R291" s="83"/>
      <c r="S291" s="103"/>
      <c r="T291" s="103"/>
      <c r="U291" s="103"/>
    </row>
    <row r="292" customFormat="false" ht="22.5" hidden="false" customHeight="true" outlineLevel="0" collapsed="false">
      <c r="A292" s="110"/>
      <c r="B292" s="110"/>
      <c r="C292" s="110"/>
      <c r="D292" s="122"/>
      <c r="E292" s="110"/>
      <c r="F292" s="128"/>
      <c r="G292" s="122"/>
      <c r="H292" s="131" t="b">
        <f aca="false">FALSE()</f>
        <v>0</v>
      </c>
      <c r="I292" s="131" t="b">
        <f aca="false">FALSE()</f>
        <v>0</v>
      </c>
      <c r="J292" s="130"/>
      <c r="K292" s="110"/>
      <c r="L292" s="83"/>
      <c r="M292" s="103"/>
      <c r="N292" s="103"/>
      <c r="O292" s="103"/>
      <c r="P292" s="103"/>
      <c r="Q292" s="103"/>
      <c r="R292" s="83"/>
      <c r="S292" s="103"/>
      <c r="T292" s="103"/>
      <c r="U292" s="103"/>
    </row>
    <row r="293" customFormat="false" ht="22.5" hidden="false" customHeight="true" outlineLevel="0" collapsed="false">
      <c r="A293" s="99"/>
      <c r="B293" s="99"/>
      <c r="C293" s="99"/>
      <c r="D293" s="121"/>
      <c r="E293" s="99"/>
      <c r="F293" s="124"/>
      <c r="G293" s="121"/>
      <c r="H293" s="132" t="b">
        <f aca="false">FALSE()</f>
        <v>0</v>
      </c>
      <c r="I293" s="132" t="b">
        <f aca="false">FALSE()</f>
        <v>0</v>
      </c>
      <c r="J293" s="126"/>
      <c r="K293" s="99"/>
      <c r="L293" s="83"/>
      <c r="M293" s="103"/>
      <c r="N293" s="103"/>
      <c r="O293" s="103"/>
      <c r="P293" s="103"/>
      <c r="Q293" s="103"/>
      <c r="R293" s="83"/>
      <c r="S293" s="103"/>
      <c r="T293" s="103"/>
      <c r="U293" s="103"/>
    </row>
    <row r="294" customFormat="false" ht="22.5" hidden="false" customHeight="true" outlineLevel="0" collapsed="false">
      <c r="A294" s="110"/>
      <c r="B294" s="110"/>
      <c r="C294" s="110"/>
      <c r="D294" s="122"/>
      <c r="E294" s="110"/>
      <c r="F294" s="128"/>
      <c r="G294" s="122"/>
      <c r="H294" s="131" t="b">
        <f aca="false">FALSE()</f>
        <v>0</v>
      </c>
      <c r="I294" s="131" t="b">
        <f aca="false">FALSE()</f>
        <v>0</v>
      </c>
      <c r="J294" s="130"/>
      <c r="K294" s="110"/>
      <c r="L294" s="83"/>
      <c r="M294" s="103"/>
      <c r="N294" s="103"/>
      <c r="O294" s="103"/>
      <c r="P294" s="103"/>
      <c r="Q294" s="103"/>
      <c r="R294" s="83"/>
      <c r="S294" s="103"/>
      <c r="T294" s="103"/>
      <c r="U294" s="103"/>
    </row>
    <row r="295" customFormat="false" ht="22.5" hidden="false" customHeight="true" outlineLevel="0" collapsed="false">
      <c r="A295" s="99"/>
      <c r="B295" s="99"/>
      <c r="C295" s="99"/>
      <c r="D295" s="121"/>
      <c r="E295" s="99"/>
      <c r="F295" s="124"/>
      <c r="G295" s="121"/>
      <c r="H295" s="132" t="b">
        <f aca="false">FALSE()</f>
        <v>0</v>
      </c>
      <c r="I295" s="132" t="b">
        <f aca="false">FALSE()</f>
        <v>0</v>
      </c>
      <c r="J295" s="126"/>
      <c r="K295" s="99"/>
      <c r="L295" s="83"/>
      <c r="M295" s="103"/>
      <c r="N295" s="103"/>
      <c r="O295" s="103"/>
      <c r="P295" s="103"/>
      <c r="Q295" s="103"/>
      <c r="R295" s="83"/>
      <c r="S295" s="103"/>
      <c r="T295" s="103"/>
      <c r="U295" s="103"/>
    </row>
    <row r="296" customFormat="false" ht="22.5" hidden="false" customHeight="true" outlineLevel="0" collapsed="false">
      <c r="A296" s="110"/>
      <c r="B296" s="110"/>
      <c r="C296" s="110"/>
      <c r="D296" s="122"/>
      <c r="E296" s="110"/>
      <c r="F296" s="128"/>
      <c r="G296" s="122"/>
      <c r="H296" s="131" t="b">
        <f aca="false">FALSE()</f>
        <v>0</v>
      </c>
      <c r="I296" s="131" t="b">
        <f aca="false">FALSE()</f>
        <v>0</v>
      </c>
      <c r="J296" s="130"/>
      <c r="K296" s="110"/>
      <c r="L296" s="83"/>
      <c r="M296" s="103"/>
      <c r="N296" s="103"/>
      <c r="O296" s="103"/>
      <c r="P296" s="103"/>
      <c r="Q296" s="103"/>
      <c r="R296" s="83"/>
      <c r="S296" s="103"/>
      <c r="T296" s="103"/>
      <c r="U296" s="103"/>
    </row>
    <row r="297" customFormat="false" ht="22.5" hidden="false" customHeight="true" outlineLevel="0" collapsed="false">
      <c r="A297" s="99"/>
      <c r="B297" s="99"/>
      <c r="C297" s="99"/>
      <c r="D297" s="121"/>
      <c r="E297" s="99"/>
      <c r="F297" s="124"/>
      <c r="G297" s="121"/>
      <c r="H297" s="132" t="b">
        <f aca="false">FALSE()</f>
        <v>0</v>
      </c>
      <c r="I297" s="132" t="b">
        <f aca="false">FALSE()</f>
        <v>0</v>
      </c>
      <c r="J297" s="126"/>
      <c r="K297" s="99"/>
      <c r="L297" s="83"/>
      <c r="M297" s="103"/>
      <c r="N297" s="103"/>
      <c r="O297" s="103"/>
      <c r="P297" s="103"/>
      <c r="Q297" s="103"/>
      <c r="R297" s="83"/>
      <c r="S297" s="103"/>
      <c r="T297" s="103"/>
      <c r="U297" s="103"/>
    </row>
    <row r="298" customFormat="false" ht="22.5" hidden="false" customHeight="true" outlineLevel="0" collapsed="false">
      <c r="A298" s="110"/>
      <c r="B298" s="110"/>
      <c r="C298" s="110"/>
      <c r="D298" s="122"/>
      <c r="E298" s="110"/>
      <c r="F298" s="128"/>
      <c r="G298" s="122"/>
      <c r="H298" s="131" t="b">
        <f aca="false">FALSE()</f>
        <v>0</v>
      </c>
      <c r="I298" s="131" t="b">
        <f aca="false">FALSE()</f>
        <v>0</v>
      </c>
      <c r="J298" s="130"/>
      <c r="K298" s="110"/>
      <c r="L298" s="83"/>
      <c r="M298" s="103"/>
      <c r="N298" s="103"/>
      <c r="O298" s="103"/>
      <c r="P298" s="103"/>
      <c r="Q298" s="103"/>
      <c r="R298" s="83"/>
      <c r="S298" s="103"/>
      <c r="T298" s="103"/>
      <c r="U298" s="103"/>
    </row>
    <row r="299" customFormat="false" ht="22.5" hidden="false" customHeight="true" outlineLevel="0" collapsed="false">
      <c r="A299" s="99"/>
      <c r="B299" s="99"/>
      <c r="C299" s="99"/>
      <c r="D299" s="121"/>
      <c r="E299" s="99"/>
      <c r="F299" s="124"/>
      <c r="G299" s="121"/>
      <c r="H299" s="132" t="b">
        <f aca="false">FALSE()</f>
        <v>0</v>
      </c>
      <c r="I299" s="132" t="b">
        <f aca="false">FALSE()</f>
        <v>0</v>
      </c>
      <c r="J299" s="126"/>
      <c r="K299" s="99"/>
      <c r="L299" s="83"/>
      <c r="M299" s="103"/>
      <c r="N299" s="103"/>
      <c r="O299" s="103"/>
      <c r="P299" s="103"/>
      <c r="Q299" s="103"/>
      <c r="R299" s="83"/>
      <c r="S299" s="103"/>
      <c r="T299" s="103"/>
      <c r="U299" s="103"/>
    </row>
    <row r="300" customFormat="false" ht="22.5" hidden="false" customHeight="true" outlineLevel="0" collapsed="false">
      <c r="A300" s="110"/>
      <c r="B300" s="110"/>
      <c r="C300" s="110"/>
      <c r="D300" s="122"/>
      <c r="E300" s="110"/>
      <c r="F300" s="128"/>
      <c r="G300" s="122"/>
      <c r="H300" s="131" t="b">
        <f aca="false">FALSE()</f>
        <v>0</v>
      </c>
      <c r="I300" s="131" t="b">
        <f aca="false">FALSE()</f>
        <v>0</v>
      </c>
      <c r="J300" s="130"/>
      <c r="K300" s="110"/>
      <c r="L300" s="83"/>
      <c r="M300" s="103"/>
      <c r="N300" s="103"/>
      <c r="O300" s="103"/>
      <c r="P300" s="103"/>
      <c r="Q300" s="103"/>
      <c r="R300" s="83"/>
      <c r="S300" s="103"/>
      <c r="T300" s="103"/>
      <c r="U300" s="103"/>
    </row>
    <row r="301" customFormat="false" ht="22.5" hidden="false" customHeight="true" outlineLevel="0" collapsed="false">
      <c r="A301" s="99"/>
      <c r="B301" s="99"/>
      <c r="C301" s="99"/>
      <c r="D301" s="121"/>
      <c r="E301" s="99"/>
      <c r="F301" s="124"/>
      <c r="G301" s="121"/>
      <c r="H301" s="132" t="b">
        <f aca="false">FALSE()</f>
        <v>0</v>
      </c>
      <c r="I301" s="132" t="b">
        <f aca="false">FALSE()</f>
        <v>0</v>
      </c>
      <c r="J301" s="126"/>
      <c r="K301" s="99"/>
      <c r="L301" s="83"/>
      <c r="M301" s="103"/>
      <c r="N301" s="103"/>
      <c r="O301" s="103"/>
      <c r="P301" s="103"/>
      <c r="Q301" s="103"/>
      <c r="R301" s="83"/>
      <c r="S301" s="103"/>
      <c r="T301" s="103"/>
      <c r="U301" s="103"/>
    </row>
    <row r="302" customFormat="false" ht="22.5" hidden="false" customHeight="true" outlineLevel="0" collapsed="false">
      <c r="A302" s="110"/>
      <c r="B302" s="110"/>
      <c r="C302" s="110"/>
      <c r="D302" s="122"/>
      <c r="E302" s="110"/>
      <c r="F302" s="128"/>
      <c r="G302" s="122"/>
      <c r="H302" s="131" t="b">
        <f aca="false">FALSE()</f>
        <v>0</v>
      </c>
      <c r="I302" s="131" t="b">
        <f aca="false">FALSE()</f>
        <v>0</v>
      </c>
      <c r="J302" s="130"/>
      <c r="K302" s="110"/>
      <c r="L302" s="83"/>
      <c r="M302" s="103"/>
      <c r="N302" s="103"/>
      <c r="O302" s="103"/>
      <c r="P302" s="103"/>
      <c r="Q302" s="103"/>
      <c r="R302" s="83"/>
      <c r="S302" s="103"/>
      <c r="T302" s="103"/>
      <c r="U302" s="103"/>
    </row>
    <row r="303" customFormat="false" ht="22.5" hidden="false" customHeight="true" outlineLevel="0" collapsed="false">
      <c r="A303" s="99"/>
      <c r="B303" s="99"/>
      <c r="C303" s="99"/>
      <c r="D303" s="121"/>
      <c r="E303" s="99"/>
      <c r="F303" s="124"/>
      <c r="G303" s="121"/>
      <c r="H303" s="132" t="b">
        <f aca="false">FALSE()</f>
        <v>0</v>
      </c>
      <c r="I303" s="132" t="b">
        <f aca="false">FALSE()</f>
        <v>0</v>
      </c>
      <c r="J303" s="126"/>
      <c r="K303" s="99"/>
      <c r="L303" s="83"/>
      <c r="M303" s="103"/>
      <c r="N303" s="103"/>
      <c r="O303" s="103"/>
      <c r="P303" s="103"/>
      <c r="Q303" s="103"/>
      <c r="R303" s="83"/>
      <c r="S303" s="103"/>
      <c r="T303" s="103"/>
      <c r="U303" s="103"/>
    </row>
    <row r="304" customFormat="false" ht="22.5" hidden="false" customHeight="true" outlineLevel="0" collapsed="false">
      <c r="A304" s="110"/>
      <c r="B304" s="110"/>
      <c r="C304" s="110"/>
      <c r="D304" s="122"/>
      <c r="E304" s="110"/>
      <c r="F304" s="128"/>
      <c r="G304" s="122"/>
      <c r="H304" s="131" t="b">
        <f aca="false">FALSE()</f>
        <v>0</v>
      </c>
      <c r="I304" s="131" t="b">
        <f aca="false">FALSE()</f>
        <v>0</v>
      </c>
      <c r="J304" s="130"/>
      <c r="K304" s="110"/>
      <c r="L304" s="83"/>
      <c r="M304" s="103"/>
      <c r="N304" s="103"/>
      <c r="O304" s="103"/>
      <c r="P304" s="103"/>
      <c r="Q304" s="103"/>
      <c r="R304" s="83"/>
      <c r="S304" s="103"/>
      <c r="T304" s="103"/>
      <c r="U304" s="103"/>
    </row>
    <row r="305" customFormat="false" ht="22.5" hidden="false" customHeight="true" outlineLevel="0" collapsed="false">
      <c r="A305" s="99"/>
      <c r="B305" s="99"/>
      <c r="C305" s="99"/>
      <c r="D305" s="121"/>
      <c r="E305" s="99"/>
      <c r="F305" s="124"/>
      <c r="G305" s="121"/>
      <c r="H305" s="132" t="b">
        <f aca="false">FALSE()</f>
        <v>0</v>
      </c>
      <c r="I305" s="132" t="b">
        <f aca="false">FALSE()</f>
        <v>0</v>
      </c>
      <c r="J305" s="126"/>
      <c r="K305" s="99"/>
      <c r="L305" s="83"/>
      <c r="M305" s="103"/>
      <c r="N305" s="103"/>
      <c r="O305" s="103"/>
      <c r="P305" s="103"/>
      <c r="Q305" s="103"/>
      <c r="R305" s="83"/>
      <c r="S305" s="103"/>
      <c r="T305" s="103"/>
      <c r="U305" s="103"/>
    </row>
    <row r="306" customFormat="false" ht="22.5" hidden="false" customHeight="true" outlineLevel="0" collapsed="false">
      <c r="A306" s="110"/>
      <c r="B306" s="110"/>
      <c r="C306" s="110"/>
      <c r="D306" s="122"/>
      <c r="E306" s="110"/>
      <c r="F306" s="128"/>
      <c r="G306" s="122"/>
      <c r="H306" s="131" t="b">
        <f aca="false">FALSE()</f>
        <v>0</v>
      </c>
      <c r="I306" s="131" t="b">
        <f aca="false">FALSE()</f>
        <v>0</v>
      </c>
      <c r="J306" s="130"/>
      <c r="K306" s="110"/>
      <c r="L306" s="83"/>
      <c r="M306" s="103"/>
      <c r="N306" s="103"/>
      <c r="O306" s="103"/>
      <c r="P306" s="103"/>
      <c r="Q306" s="103"/>
      <c r="R306" s="83"/>
      <c r="S306" s="103"/>
      <c r="T306" s="103"/>
      <c r="U306" s="103"/>
    </row>
    <row r="307" customFormat="false" ht="22.5" hidden="false" customHeight="true" outlineLevel="0" collapsed="false">
      <c r="A307" s="99"/>
      <c r="B307" s="99"/>
      <c r="C307" s="99"/>
      <c r="D307" s="121"/>
      <c r="E307" s="99"/>
      <c r="F307" s="124"/>
      <c r="G307" s="121"/>
      <c r="H307" s="132" t="b">
        <f aca="false">FALSE()</f>
        <v>0</v>
      </c>
      <c r="I307" s="132" t="b">
        <f aca="false">FALSE()</f>
        <v>0</v>
      </c>
      <c r="J307" s="126"/>
      <c r="K307" s="99"/>
      <c r="L307" s="83"/>
      <c r="M307" s="103"/>
      <c r="N307" s="103"/>
      <c r="O307" s="103"/>
      <c r="P307" s="103"/>
      <c r="Q307" s="103"/>
      <c r="R307" s="83"/>
      <c r="S307" s="103"/>
      <c r="T307" s="103"/>
      <c r="U307" s="103"/>
    </row>
    <row r="308" customFormat="false" ht="22.5" hidden="false" customHeight="true" outlineLevel="0" collapsed="false">
      <c r="A308" s="110"/>
      <c r="B308" s="110"/>
      <c r="C308" s="110"/>
      <c r="D308" s="122"/>
      <c r="E308" s="110"/>
      <c r="F308" s="128"/>
      <c r="G308" s="122"/>
      <c r="H308" s="131" t="b">
        <f aca="false">FALSE()</f>
        <v>0</v>
      </c>
      <c r="I308" s="131" t="b">
        <f aca="false">FALSE()</f>
        <v>0</v>
      </c>
      <c r="J308" s="130"/>
      <c r="K308" s="110"/>
      <c r="L308" s="83"/>
      <c r="M308" s="103"/>
      <c r="N308" s="103"/>
      <c r="O308" s="103"/>
      <c r="P308" s="103"/>
      <c r="Q308" s="103"/>
      <c r="R308" s="83"/>
      <c r="S308" s="103"/>
      <c r="T308" s="103"/>
      <c r="U308" s="103"/>
    </row>
    <row r="309" customFormat="false" ht="22.5" hidden="false" customHeight="true" outlineLevel="0" collapsed="false">
      <c r="A309" s="99"/>
      <c r="B309" s="99"/>
      <c r="C309" s="99"/>
      <c r="D309" s="121"/>
      <c r="E309" s="99"/>
      <c r="F309" s="124"/>
      <c r="G309" s="121"/>
      <c r="H309" s="132" t="b">
        <f aca="false">FALSE()</f>
        <v>0</v>
      </c>
      <c r="I309" s="132" t="b">
        <f aca="false">FALSE()</f>
        <v>0</v>
      </c>
      <c r="J309" s="126"/>
      <c r="K309" s="99"/>
      <c r="L309" s="83"/>
      <c r="M309" s="103"/>
      <c r="N309" s="103"/>
      <c r="O309" s="103"/>
      <c r="P309" s="103"/>
      <c r="Q309" s="103"/>
      <c r="R309" s="83"/>
      <c r="S309" s="103"/>
      <c r="T309" s="103"/>
      <c r="U309" s="103"/>
    </row>
    <row r="310" customFormat="false" ht="22.5" hidden="false" customHeight="true" outlineLevel="0" collapsed="false">
      <c r="A310" s="110"/>
      <c r="B310" s="110"/>
      <c r="C310" s="110"/>
      <c r="D310" s="122"/>
      <c r="E310" s="110"/>
      <c r="F310" s="128"/>
      <c r="G310" s="122"/>
      <c r="H310" s="131" t="b">
        <f aca="false">FALSE()</f>
        <v>0</v>
      </c>
      <c r="I310" s="131" t="b">
        <f aca="false">FALSE()</f>
        <v>0</v>
      </c>
      <c r="J310" s="130"/>
      <c r="K310" s="110"/>
      <c r="L310" s="83"/>
      <c r="M310" s="103"/>
      <c r="N310" s="103"/>
      <c r="O310" s="103"/>
      <c r="P310" s="103"/>
      <c r="Q310" s="103"/>
      <c r="R310" s="83"/>
      <c r="S310" s="103"/>
      <c r="T310" s="103"/>
      <c r="U310" s="103"/>
    </row>
    <row r="311" customFormat="false" ht="22.5" hidden="false" customHeight="true" outlineLevel="0" collapsed="false">
      <c r="A311" s="99"/>
      <c r="B311" s="99"/>
      <c r="C311" s="99"/>
      <c r="D311" s="121"/>
      <c r="E311" s="99"/>
      <c r="F311" s="124"/>
      <c r="G311" s="121"/>
      <c r="H311" s="132" t="b">
        <f aca="false">FALSE()</f>
        <v>0</v>
      </c>
      <c r="I311" s="132" t="b">
        <f aca="false">FALSE()</f>
        <v>0</v>
      </c>
      <c r="J311" s="126"/>
      <c r="K311" s="99"/>
      <c r="L311" s="83"/>
      <c r="M311" s="103"/>
      <c r="N311" s="103"/>
      <c r="O311" s="103"/>
      <c r="P311" s="103"/>
      <c r="Q311" s="103"/>
      <c r="R311" s="83"/>
      <c r="S311" s="103"/>
      <c r="T311" s="103"/>
      <c r="U311" s="103"/>
    </row>
    <row r="312" customFormat="false" ht="22.5" hidden="false" customHeight="true" outlineLevel="0" collapsed="false">
      <c r="A312" s="110"/>
      <c r="B312" s="110"/>
      <c r="C312" s="110"/>
      <c r="D312" s="122"/>
      <c r="E312" s="110"/>
      <c r="F312" s="128"/>
      <c r="G312" s="122"/>
      <c r="H312" s="131" t="b">
        <f aca="false">FALSE()</f>
        <v>0</v>
      </c>
      <c r="I312" s="131" t="b">
        <f aca="false">FALSE()</f>
        <v>0</v>
      </c>
      <c r="J312" s="130"/>
      <c r="K312" s="110"/>
      <c r="L312" s="83"/>
      <c r="M312" s="103"/>
      <c r="N312" s="103"/>
      <c r="O312" s="103"/>
      <c r="P312" s="103"/>
      <c r="Q312" s="103"/>
      <c r="R312" s="83"/>
      <c r="S312" s="103"/>
      <c r="T312" s="103"/>
      <c r="U312" s="103"/>
    </row>
    <row r="313" customFormat="false" ht="22.5" hidden="false" customHeight="true" outlineLevel="0" collapsed="false">
      <c r="A313" s="99"/>
      <c r="B313" s="99"/>
      <c r="C313" s="99"/>
      <c r="D313" s="121"/>
      <c r="E313" s="99"/>
      <c r="F313" s="124"/>
      <c r="G313" s="121"/>
      <c r="H313" s="132" t="b">
        <f aca="false">FALSE()</f>
        <v>0</v>
      </c>
      <c r="I313" s="132" t="b">
        <f aca="false">FALSE()</f>
        <v>0</v>
      </c>
      <c r="J313" s="126"/>
      <c r="K313" s="99"/>
      <c r="L313" s="83"/>
      <c r="M313" s="103"/>
      <c r="N313" s="103"/>
      <c r="O313" s="103"/>
      <c r="P313" s="103"/>
      <c r="Q313" s="103"/>
      <c r="R313" s="83"/>
      <c r="S313" s="103"/>
      <c r="T313" s="103"/>
      <c r="U313" s="103"/>
    </row>
    <row r="314" customFormat="false" ht="22.5" hidden="false" customHeight="true" outlineLevel="0" collapsed="false">
      <c r="A314" s="110"/>
      <c r="B314" s="110"/>
      <c r="C314" s="110"/>
      <c r="D314" s="122"/>
      <c r="E314" s="110"/>
      <c r="F314" s="128"/>
      <c r="G314" s="122"/>
      <c r="H314" s="131" t="b">
        <f aca="false">FALSE()</f>
        <v>0</v>
      </c>
      <c r="I314" s="131" t="b">
        <f aca="false">FALSE()</f>
        <v>0</v>
      </c>
      <c r="J314" s="130"/>
      <c r="K314" s="110"/>
      <c r="L314" s="83"/>
      <c r="M314" s="103"/>
      <c r="N314" s="103"/>
      <c r="O314" s="103"/>
      <c r="P314" s="103"/>
      <c r="Q314" s="103"/>
      <c r="R314" s="83"/>
      <c r="S314" s="103"/>
      <c r="T314" s="103"/>
      <c r="U314" s="103"/>
    </row>
    <row r="315" customFormat="false" ht="22.5" hidden="false" customHeight="true" outlineLevel="0" collapsed="false">
      <c r="A315" s="99"/>
      <c r="B315" s="99"/>
      <c r="C315" s="99"/>
      <c r="D315" s="121"/>
      <c r="E315" s="99"/>
      <c r="F315" s="124"/>
      <c r="G315" s="121"/>
      <c r="H315" s="132" t="b">
        <f aca="false">FALSE()</f>
        <v>0</v>
      </c>
      <c r="I315" s="132" t="b">
        <f aca="false">FALSE()</f>
        <v>0</v>
      </c>
      <c r="J315" s="126"/>
      <c r="K315" s="99"/>
      <c r="L315" s="83"/>
      <c r="M315" s="103"/>
      <c r="N315" s="103"/>
      <c r="O315" s="103"/>
      <c r="P315" s="103"/>
      <c r="Q315" s="103"/>
      <c r="R315" s="83"/>
      <c r="S315" s="103"/>
      <c r="T315" s="103"/>
      <c r="U315" s="103"/>
    </row>
    <row r="316" customFormat="false" ht="22.5" hidden="false" customHeight="true" outlineLevel="0" collapsed="false">
      <c r="A316" s="110"/>
      <c r="B316" s="110"/>
      <c r="C316" s="110"/>
      <c r="D316" s="122"/>
      <c r="E316" s="110"/>
      <c r="F316" s="128"/>
      <c r="G316" s="122"/>
      <c r="H316" s="131" t="b">
        <f aca="false">FALSE()</f>
        <v>0</v>
      </c>
      <c r="I316" s="131" t="b">
        <f aca="false">FALSE()</f>
        <v>0</v>
      </c>
      <c r="J316" s="130"/>
      <c r="K316" s="110"/>
      <c r="L316" s="83"/>
      <c r="M316" s="103"/>
      <c r="N316" s="103"/>
      <c r="O316" s="103"/>
      <c r="P316" s="103"/>
      <c r="Q316" s="103"/>
      <c r="R316" s="83"/>
      <c r="S316" s="103"/>
      <c r="T316" s="103"/>
      <c r="U316" s="103"/>
    </row>
    <row r="317" customFormat="false" ht="22.5" hidden="false" customHeight="true" outlineLevel="0" collapsed="false">
      <c r="A317" s="99"/>
      <c r="B317" s="99"/>
      <c r="C317" s="99"/>
      <c r="D317" s="121"/>
      <c r="E317" s="99"/>
      <c r="F317" s="124"/>
      <c r="G317" s="121"/>
      <c r="H317" s="132" t="b">
        <f aca="false">FALSE()</f>
        <v>0</v>
      </c>
      <c r="I317" s="132" t="b">
        <f aca="false">FALSE()</f>
        <v>0</v>
      </c>
      <c r="J317" s="126"/>
      <c r="K317" s="99"/>
      <c r="L317" s="83"/>
      <c r="M317" s="103"/>
      <c r="N317" s="103"/>
      <c r="O317" s="103"/>
      <c r="P317" s="103"/>
      <c r="Q317" s="103"/>
      <c r="R317" s="83"/>
      <c r="S317" s="103"/>
      <c r="T317" s="103"/>
      <c r="U317" s="103"/>
    </row>
    <row r="318" customFormat="false" ht="22.5" hidden="false" customHeight="true" outlineLevel="0" collapsed="false">
      <c r="A318" s="110"/>
      <c r="B318" s="110"/>
      <c r="C318" s="110"/>
      <c r="D318" s="122"/>
      <c r="E318" s="110"/>
      <c r="F318" s="128"/>
      <c r="G318" s="122"/>
      <c r="H318" s="131" t="b">
        <f aca="false">FALSE()</f>
        <v>0</v>
      </c>
      <c r="I318" s="131" t="b">
        <f aca="false">FALSE()</f>
        <v>0</v>
      </c>
      <c r="J318" s="130"/>
      <c r="K318" s="110"/>
      <c r="L318" s="83"/>
      <c r="M318" s="103"/>
      <c r="N318" s="103"/>
      <c r="O318" s="103"/>
      <c r="P318" s="103"/>
      <c r="Q318" s="103"/>
      <c r="R318" s="83"/>
      <c r="S318" s="103"/>
      <c r="T318" s="103"/>
      <c r="U318" s="103"/>
    </row>
    <row r="319" customFormat="false" ht="22.5" hidden="false" customHeight="true" outlineLevel="0" collapsed="false">
      <c r="A319" s="99"/>
      <c r="B319" s="99"/>
      <c r="C319" s="99"/>
      <c r="D319" s="121"/>
      <c r="E319" s="99"/>
      <c r="F319" s="124"/>
      <c r="G319" s="121"/>
      <c r="H319" s="132" t="b">
        <f aca="false">FALSE()</f>
        <v>0</v>
      </c>
      <c r="I319" s="132" t="b">
        <f aca="false">FALSE()</f>
        <v>0</v>
      </c>
      <c r="J319" s="126"/>
      <c r="K319" s="99"/>
      <c r="L319" s="83"/>
      <c r="M319" s="103"/>
      <c r="N319" s="103"/>
      <c r="O319" s="103"/>
      <c r="P319" s="103"/>
      <c r="Q319" s="103"/>
      <c r="R319" s="83"/>
      <c r="S319" s="103"/>
      <c r="T319" s="103"/>
      <c r="U319" s="103"/>
    </row>
    <row r="320" customFormat="false" ht="22.5" hidden="false" customHeight="true" outlineLevel="0" collapsed="false">
      <c r="A320" s="110"/>
      <c r="B320" s="110"/>
      <c r="C320" s="110"/>
      <c r="D320" s="122"/>
      <c r="E320" s="110"/>
      <c r="F320" s="128"/>
      <c r="G320" s="122"/>
      <c r="H320" s="131" t="b">
        <f aca="false">FALSE()</f>
        <v>0</v>
      </c>
      <c r="I320" s="131" t="b">
        <f aca="false">FALSE()</f>
        <v>0</v>
      </c>
      <c r="J320" s="130"/>
      <c r="K320" s="110"/>
      <c r="L320" s="83"/>
      <c r="M320" s="103"/>
      <c r="N320" s="103"/>
      <c r="O320" s="103"/>
      <c r="P320" s="103"/>
      <c r="Q320" s="103"/>
      <c r="R320" s="83"/>
      <c r="S320" s="103"/>
      <c r="T320" s="103"/>
      <c r="U320" s="103"/>
    </row>
    <row r="321" customFormat="false" ht="22.5" hidden="false" customHeight="true" outlineLevel="0" collapsed="false">
      <c r="A321" s="99"/>
      <c r="B321" s="99"/>
      <c r="C321" s="99"/>
      <c r="D321" s="121"/>
      <c r="E321" s="99"/>
      <c r="F321" s="124"/>
      <c r="G321" s="121"/>
      <c r="H321" s="132" t="b">
        <f aca="false">FALSE()</f>
        <v>0</v>
      </c>
      <c r="I321" s="132" t="b">
        <f aca="false">FALSE()</f>
        <v>0</v>
      </c>
      <c r="J321" s="126"/>
      <c r="K321" s="99"/>
      <c r="L321" s="83"/>
      <c r="M321" s="103"/>
      <c r="N321" s="103"/>
      <c r="O321" s="103"/>
      <c r="P321" s="103"/>
      <c r="Q321" s="103"/>
      <c r="R321" s="83"/>
      <c r="S321" s="103"/>
      <c r="T321" s="103"/>
      <c r="U321" s="103"/>
    </row>
    <row r="322" customFormat="false" ht="22.5" hidden="false" customHeight="true" outlineLevel="0" collapsed="false">
      <c r="A322" s="110"/>
      <c r="B322" s="110"/>
      <c r="C322" s="110"/>
      <c r="D322" s="122"/>
      <c r="E322" s="110"/>
      <c r="F322" s="128"/>
      <c r="G322" s="122"/>
      <c r="H322" s="131" t="b">
        <f aca="false">FALSE()</f>
        <v>0</v>
      </c>
      <c r="I322" s="131" t="b">
        <f aca="false">FALSE()</f>
        <v>0</v>
      </c>
      <c r="J322" s="130"/>
      <c r="K322" s="110"/>
      <c r="L322" s="83"/>
      <c r="M322" s="103"/>
      <c r="N322" s="103"/>
      <c r="O322" s="103"/>
      <c r="P322" s="103"/>
      <c r="Q322" s="103"/>
      <c r="R322" s="83"/>
      <c r="S322" s="103"/>
      <c r="T322" s="103"/>
      <c r="U322" s="103"/>
    </row>
    <row r="323" customFormat="false" ht="22.5" hidden="false" customHeight="true" outlineLevel="0" collapsed="false">
      <c r="A323" s="99"/>
      <c r="B323" s="99"/>
      <c r="C323" s="99"/>
      <c r="D323" s="121"/>
      <c r="E323" s="99"/>
      <c r="F323" s="124"/>
      <c r="G323" s="121"/>
      <c r="H323" s="132" t="b">
        <f aca="false">FALSE()</f>
        <v>0</v>
      </c>
      <c r="I323" s="132" t="b">
        <f aca="false">FALSE()</f>
        <v>0</v>
      </c>
      <c r="J323" s="126"/>
      <c r="K323" s="99"/>
      <c r="L323" s="83"/>
      <c r="M323" s="103"/>
      <c r="N323" s="103"/>
      <c r="O323" s="103"/>
      <c r="P323" s="103"/>
      <c r="Q323" s="103"/>
      <c r="R323" s="83"/>
      <c r="S323" s="103"/>
      <c r="T323" s="103"/>
      <c r="U323" s="103"/>
    </row>
    <row r="324" customFormat="false" ht="22.5" hidden="false" customHeight="true" outlineLevel="0" collapsed="false">
      <c r="A324" s="110"/>
      <c r="B324" s="110"/>
      <c r="C324" s="110"/>
      <c r="D324" s="122"/>
      <c r="E324" s="110"/>
      <c r="F324" s="128"/>
      <c r="G324" s="122"/>
      <c r="H324" s="131" t="b">
        <f aca="false">FALSE()</f>
        <v>0</v>
      </c>
      <c r="I324" s="131" t="b">
        <f aca="false">FALSE()</f>
        <v>0</v>
      </c>
      <c r="J324" s="130"/>
      <c r="K324" s="110"/>
      <c r="L324" s="83"/>
      <c r="M324" s="103"/>
      <c r="N324" s="103"/>
      <c r="O324" s="103"/>
      <c r="P324" s="103"/>
      <c r="Q324" s="103"/>
      <c r="R324" s="83"/>
      <c r="S324" s="103"/>
      <c r="T324" s="103"/>
      <c r="U324" s="103"/>
    </row>
    <row r="325" customFormat="false" ht="22.5" hidden="false" customHeight="true" outlineLevel="0" collapsed="false">
      <c r="A325" s="99"/>
      <c r="B325" s="99"/>
      <c r="C325" s="99"/>
      <c r="D325" s="121"/>
      <c r="E325" s="99"/>
      <c r="F325" s="124"/>
      <c r="G325" s="121"/>
      <c r="H325" s="132" t="b">
        <f aca="false">FALSE()</f>
        <v>0</v>
      </c>
      <c r="I325" s="132" t="b">
        <f aca="false">FALSE()</f>
        <v>0</v>
      </c>
      <c r="J325" s="126"/>
      <c r="K325" s="99"/>
      <c r="L325" s="83"/>
      <c r="M325" s="103"/>
      <c r="N325" s="103"/>
      <c r="O325" s="103"/>
      <c r="P325" s="103"/>
      <c r="Q325" s="103"/>
      <c r="R325" s="83"/>
      <c r="S325" s="103"/>
      <c r="T325" s="103"/>
      <c r="U325" s="103"/>
    </row>
    <row r="326" customFormat="false" ht="22.5" hidden="false" customHeight="true" outlineLevel="0" collapsed="false">
      <c r="A326" s="110"/>
      <c r="B326" s="110"/>
      <c r="C326" s="110"/>
      <c r="D326" s="122"/>
      <c r="E326" s="110"/>
      <c r="F326" s="128"/>
      <c r="G326" s="122"/>
      <c r="H326" s="131" t="b">
        <f aca="false">FALSE()</f>
        <v>0</v>
      </c>
      <c r="I326" s="131" t="b">
        <f aca="false">FALSE()</f>
        <v>0</v>
      </c>
      <c r="J326" s="130"/>
      <c r="K326" s="110"/>
      <c r="L326" s="83"/>
      <c r="M326" s="103"/>
      <c r="N326" s="103"/>
      <c r="O326" s="103"/>
      <c r="P326" s="103"/>
      <c r="Q326" s="103"/>
      <c r="R326" s="83"/>
      <c r="S326" s="103"/>
      <c r="T326" s="103"/>
      <c r="U326" s="103"/>
    </row>
    <row r="327" customFormat="false" ht="22.5" hidden="false" customHeight="true" outlineLevel="0" collapsed="false">
      <c r="A327" s="99"/>
      <c r="B327" s="99"/>
      <c r="C327" s="99"/>
      <c r="D327" s="121"/>
      <c r="E327" s="99"/>
      <c r="F327" s="124"/>
      <c r="G327" s="121"/>
      <c r="H327" s="132" t="b">
        <f aca="false">FALSE()</f>
        <v>0</v>
      </c>
      <c r="I327" s="132" t="b">
        <f aca="false">FALSE()</f>
        <v>0</v>
      </c>
      <c r="J327" s="126"/>
      <c r="K327" s="99"/>
      <c r="L327" s="83"/>
      <c r="M327" s="103"/>
      <c r="N327" s="103"/>
      <c r="O327" s="103"/>
      <c r="P327" s="103"/>
      <c r="Q327" s="103"/>
      <c r="R327" s="83"/>
      <c r="S327" s="103"/>
      <c r="T327" s="103"/>
      <c r="U327" s="103"/>
    </row>
    <row r="328" customFormat="false" ht="22.5" hidden="false" customHeight="true" outlineLevel="0" collapsed="false">
      <c r="A328" s="110"/>
      <c r="B328" s="110"/>
      <c r="C328" s="110"/>
      <c r="D328" s="122"/>
      <c r="E328" s="110"/>
      <c r="F328" s="128"/>
      <c r="G328" s="122"/>
      <c r="H328" s="131" t="b">
        <f aca="false">FALSE()</f>
        <v>0</v>
      </c>
      <c r="I328" s="131" t="b">
        <f aca="false">FALSE()</f>
        <v>0</v>
      </c>
      <c r="J328" s="130"/>
      <c r="K328" s="110"/>
      <c r="L328" s="83"/>
      <c r="M328" s="103"/>
      <c r="N328" s="103"/>
      <c r="O328" s="103"/>
      <c r="P328" s="103"/>
      <c r="Q328" s="103"/>
      <c r="R328" s="83"/>
      <c r="S328" s="103"/>
      <c r="T328" s="103"/>
      <c r="U328" s="103"/>
    </row>
    <row r="329" customFormat="false" ht="22.5" hidden="false" customHeight="true" outlineLevel="0" collapsed="false">
      <c r="A329" s="99"/>
      <c r="B329" s="99"/>
      <c r="C329" s="99"/>
      <c r="D329" s="121"/>
      <c r="E329" s="99"/>
      <c r="F329" s="124"/>
      <c r="G329" s="121"/>
      <c r="H329" s="132" t="b">
        <f aca="false">FALSE()</f>
        <v>0</v>
      </c>
      <c r="I329" s="132" t="b">
        <f aca="false">FALSE()</f>
        <v>0</v>
      </c>
      <c r="J329" s="126"/>
      <c r="K329" s="99"/>
      <c r="L329" s="83"/>
      <c r="M329" s="103"/>
      <c r="N329" s="103"/>
      <c r="O329" s="103"/>
      <c r="P329" s="103"/>
      <c r="Q329" s="103"/>
      <c r="R329" s="83"/>
      <c r="S329" s="103"/>
      <c r="T329" s="103"/>
      <c r="U329" s="103"/>
    </row>
    <row r="330" customFormat="false" ht="22.5" hidden="false" customHeight="true" outlineLevel="0" collapsed="false">
      <c r="A330" s="110"/>
      <c r="B330" s="110"/>
      <c r="C330" s="110"/>
      <c r="D330" s="122"/>
      <c r="E330" s="110"/>
      <c r="F330" s="128"/>
      <c r="G330" s="122"/>
      <c r="H330" s="131" t="b">
        <f aca="false">FALSE()</f>
        <v>0</v>
      </c>
      <c r="I330" s="131" t="b">
        <f aca="false">FALSE()</f>
        <v>0</v>
      </c>
      <c r="J330" s="130"/>
      <c r="K330" s="110"/>
      <c r="L330" s="83"/>
      <c r="M330" s="103"/>
      <c r="N330" s="103"/>
      <c r="O330" s="103"/>
      <c r="P330" s="103"/>
      <c r="Q330" s="103"/>
      <c r="R330" s="83"/>
      <c r="S330" s="103"/>
      <c r="T330" s="103"/>
      <c r="U330" s="103"/>
    </row>
    <row r="331" customFormat="false" ht="22.5" hidden="false" customHeight="true" outlineLevel="0" collapsed="false">
      <c r="A331" s="99"/>
      <c r="B331" s="99"/>
      <c r="C331" s="99"/>
      <c r="D331" s="121"/>
      <c r="E331" s="99"/>
      <c r="F331" s="124"/>
      <c r="G331" s="121"/>
      <c r="H331" s="132" t="b">
        <f aca="false">FALSE()</f>
        <v>0</v>
      </c>
      <c r="I331" s="132" t="b">
        <f aca="false">FALSE()</f>
        <v>0</v>
      </c>
      <c r="J331" s="126"/>
      <c r="K331" s="99"/>
      <c r="L331" s="83"/>
      <c r="M331" s="103"/>
      <c r="N331" s="103"/>
      <c r="O331" s="103"/>
      <c r="P331" s="103"/>
      <c r="Q331" s="103"/>
      <c r="R331" s="83"/>
      <c r="S331" s="103"/>
      <c r="T331" s="103"/>
      <c r="U331" s="103"/>
    </row>
    <row r="332" customFormat="false" ht="22.5" hidden="false" customHeight="true" outlineLevel="0" collapsed="false">
      <c r="A332" s="110"/>
      <c r="B332" s="110"/>
      <c r="C332" s="110"/>
      <c r="D332" s="122"/>
      <c r="E332" s="110"/>
      <c r="F332" s="128"/>
      <c r="G332" s="122"/>
      <c r="H332" s="131" t="b">
        <f aca="false">FALSE()</f>
        <v>0</v>
      </c>
      <c r="I332" s="131" t="b">
        <f aca="false">FALSE()</f>
        <v>0</v>
      </c>
      <c r="J332" s="130"/>
      <c r="K332" s="110"/>
      <c r="L332" s="83"/>
      <c r="M332" s="103"/>
      <c r="N332" s="103"/>
      <c r="O332" s="103"/>
      <c r="P332" s="103"/>
      <c r="Q332" s="103"/>
      <c r="R332" s="83"/>
      <c r="S332" s="103"/>
      <c r="T332" s="103"/>
      <c r="U332" s="103"/>
    </row>
    <row r="333" customFormat="false" ht="22.5" hidden="false" customHeight="true" outlineLevel="0" collapsed="false">
      <c r="A333" s="99"/>
      <c r="B333" s="99"/>
      <c r="C333" s="99"/>
      <c r="D333" s="121"/>
      <c r="E333" s="99"/>
      <c r="F333" s="124"/>
      <c r="G333" s="121"/>
      <c r="H333" s="132" t="b">
        <f aca="false">FALSE()</f>
        <v>0</v>
      </c>
      <c r="I333" s="132" t="b">
        <f aca="false">FALSE()</f>
        <v>0</v>
      </c>
      <c r="J333" s="126"/>
      <c r="K333" s="99"/>
      <c r="L333" s="83"/>
      <c r="M333" s="103"/>
      <c r="N333" s="103"/>
      <c r="O333" s="103"/>
      <c r="P333" s="103"/>
      <c r="Q333" s="103"/>
      <c r="R333" s="83"/>
      <c r="S333" s="103"/>
      <c r="T333" s="103"/>
      <c r="U333" s="103"/>
    </row>
    <row r="334" customFormat="false" ht="22.5" hidden="false" customHeight="true" outlineLevel="0" collapsed="false">
      <c r="A334" s="110"/>
      <c r="B334" s="110"/>
      <c r="C334" s="110"/>
      <c r="D334" s="122"/>
      <c r="E334" s="110"/>
      <c r="F334" s="128"/>
      <c r="G334" s="122"/>
      <c r="H334" s="131" t="b">
        <f aca="false">FALSE()</f>
        <v>0</v>
      </c>
      <c r="I334" s="131" t="b">
        <f aca="false">FALSE()</f>
        <v>0</v>
      </c>
      <c r="J334" s="130"/>
      <c r="K334" s="110"/>
      <c r="L334" s="83"/>
      <c r="M334" s="103"/>
      <c r="N334" s="103"/>
      <c r="O334" s="103"/>
      <c r="P334" s="103"/>
      <c r="Q334" s="103"/>
      <c r="R334" s="83"/>
      <c r="S334" s="103"/>
      <c r="T334" s="103"/>
      <c r="U334" s="103"/>
    </row>
    <row r="335" customFormat="false" ht="22.5" hidden="false" customHeight="true" outlineLevel="0" collapsed="false">
      <c r="A335" s="99"/>
      <c r="B335" s="99"/>
      <c r="C335" s="99"/>
      <c r="D335" s="121"/>
      <c r="E335" s="99"/>
      <c r="F335" s="124"/>
      <c r="G335" s="121"/>
      <c r="H335" s="132" t="b">
        <f aca="false">FALSE()</f>
        <v>0</v>
      </c>
      <c r="I335" s="132" t="b">
        <f aca="false">FALSE()</f>
        <v>0</v>
      </c>
      <c r="J335" s="126"/>
      <c r="K335" s="99"/>
      <c r="L335" s="83"/>
      <c r="M335" s="103"/>
      <c r="N335" s="103"/>
      <c r="O335" s="103"/>
      <c r="P335" s="103"/>
      <c r="Q335" s="103"/>
      <c r="R335" s="83"/>
      <c r="S335" s="103"/>
      <c r="T335" s="103"/>
      <c r="U335" s="103"/>
    </row>
    <row r="336" customFormat="false" ht="22.5" hidden="false" customHeight="true" outlineLevel="0" collapsed="false">
      <c r="A336" s="110"/>
      <c r="B336" s="110"/>
      <c r="C336" s="110"/>
      <c r="D336" s="122"/>
      <c r="E336" s="110"/>
      <c r="F336" s="128"/>
      <c r="G336" s="122"/>
      <c r="H336" s="131" t="b">
        <f aca="false">FALSE()</f>
        <v>0</v>
      </c>
      <c r="I336" s="131" t="b">
        <f aca="false">FALSE()</f>
        <v>0</v>
      </c>
      <c r="J336" s="130"/>
      <c r="K336" s="110"/>
      <c r="L336" s="83"/>
      <c r="M336" s="103"/>
      <c r="N336" s="103"/>
      <c r="O336" s="103"/>
      <c r="P336" s="103"/>
      <c r="Q336" s="103"/>
      <c r="R336" s="83"/>
      <c r="S336" s="103"/>
      <c r="T336" s="103"/>
      <c r="U336" s="103"/>
    </row>
    <row r="337" customFormat="false" ht="22.5" hidden="false" customHeight="true" outlineLevel="0" collapsed="false">
      <c r="A337" s="99"/>
      <c r="B337" s="99"/>
      <c r="C337" s="99"/>
      <c r="D337" s="121"/>
      <c r="E337" s="99"/>
      <c r="F337" s="124"/>
      <c r="G337" s="121"/>
      <c r="H337" s="132" t="b">
        <f aca="false">FALSE()</f>
        <v>0</v>
      </c>
      <c r="I337" s="132" t="b">
        <f aca="false">FALSE()</f>
        <v>0</v>
      </c>
      <c r="J337" s="126"/>
      <c r="K337" s="99"/>
      <c r="L337" s="83"/>
      <c r="M337" s="103"/>
      <c r="N337" s="103"/>
      <c r="O337" s="103"/>
      <c r="P337" s="103"/>
      <c r="Q337" s="103"/>
      <c r="R337" s="83"/>
      <c r="S337" s="103"/>
      <c r="T337" s="103"/>
      <c r="U337" s="103"/>
    </row>
    <row r="338" customFormat="false" ht="22.5" hidden="false" customHeight="true" outlineLevel="0" collapsed="false">
      <c r="A338" s="110"/>
      <c r="B338" s="110"/>
      <c r="C338" s="110"/>
      <c r="D338" s="122"/>
      <c r="E338" s="110"/>
      <c r="F338" s="128"/>
      <c r="G338" s="122"/>
      <c r="H338" s="131" t="b">
        <f aca="false">FALSE()</f>
        <v>0</v>
      </c>
      <c r="I338" s="131" t="b">
        <f aca="false">FALSE()</f>
        <v>0</v>
      </c>
      <c r="J338" s="130"/>
      <c r="K338" s="110"/>
      <c r="L338" s="83"/>
      <c r="M338" s="103"/>
      <c r="N338" s="103"/>
      <c r="O338" s="103"/>
      <c r="P338" s="103"/>
      <c r="Q338" s="103"/>
      <c r="R338" s="83"/>
      <c r="S338" s="103"/>
      <c r="T338" s="103"/>
      <c r="U338" s="103"/>
    </row>
    <row r="339" customFormat="false" ht="22.5" hidden="false" customHeight="true" outlineLevel="0" collapsed="false">
      <c r="A339" s="99"/>
      <c r="B339" s="99"/>
      <c r="C339" s="99"/>
      <c r="D339" s="121"/>
      <c r="E339" s="99"/>
      <c r="F339" s="124"/>
      <c r="G339" s="121"/>
      <c r="H339" s="132" t="b">
        <f aca="false">FALSE()</f>
        <v>0</v>
      </c>
      <c r="I339" s="132" t="b">
        <f aca="false">FALSE()</f>
        <v>0</v>
      </c>
      <c r="J339" s="126"/>
      <c r="K339" s="99"/>
      <c r="L339" s="83"/>
      <c r="M339" s="103"/>
      <c r="N339" s="103"/>
      <c r="O339" s="103"/>
      <c r="P339" s="103"/>
      <c r="Q339" s="103"/>
      <c r="R339" s="83"/>
      <c r="S339" s="103"/>
      <c r="T339" s="103"/>
      <c r="U339" s="103"/>
    </row>
    <row r="340" customFormat="false" ht="22.5" hidden="false" customHeight="true" outlineLevel="0" collapsed="false">
      <c r="A340" s="110"/>
      <c r="B340" s="110"/>
      <c r="C340" s="110"/>
      <c r="D340" s="122"/>
      <c r="E340" s="110"/>
      <c r="F340" s="128"/>
      <c r="G340" s="122"/>
      <c r="H340" s="131" t="b">
        <f aca="false">FALSE()</f>
        <v>0</v>
      </c>
      <c r="I340" s="131" t="b">
        <f aca="false">FALSE()</f>
        <v>0</v>
      </c>
      <c r="J340" s="130"/>
      <c r="K340" s="110"/>
      <c r="L340" s="83"/>
      <c r="M340" s="103"/>
      <c r="N340" s="103"/>
      <c r="O340" s="103"/>
      <c r="P340" s="103"/>
      <c r="Q340" s="103"/>
      <c r="R340" s="83"/>
      <c r="S340" s="103"/>
      <c r="T340" s="103"/>
      <c r="U340" s="103"/>
    </row>
    <row r="341" customFormat="false" ht="22.5" hidden="false" customHeight="true" outlineLevel="0" collapsed="false">
      <c r="A341" s="99"/>
      <c r="B341" s="99"/>
      <c r="C341" s="99"/>
      <c r="D341" s="121"/>
      <c r="E341" s="99"/>
      <c r="F341" s="124"/>
      <c r="G341" s="121"/>
      <c r="H341" s="132" t="b">
        <f aca="false">FALSE()</f>
        <v>0</v>
      </c>
      <c r="I341" s="132" t="b">
        <f aca="false">FALSE()</f>
        <v>0</v>
      </c>
      <c r="J341" s="126"/>
      <c r="K341" s="99"/>
      <c r="L341" s="83"/>
      <c r="M341" s="103"/>
      <c r="N341" s="103"/>
      <c r="O341" s="103"/>
      <c r="P341" s="103"/>
      <c r="Q341" s="103"/>
      <c r="R341" s="83"/>
      <c r="S341" s="103"/>
      <c r="T341" s="103"/>
      <c r="U341" s="103"/>
    </row>
    <row r="342" customFormat="false" ht="22.5" hidden="false" customHeight="true" outlineLevel="0" collapsed="false">
      <c r="A342" s="110"/>
      <c r="B342" s="110"/>
      <c r="C342" s="110"/>
      <c r="D342" s="122"/>
      <c r="E342" s="110"/>
      <c r="F342" s="128"/>
      <c r="G342" s="122"/>
      <c r="H342" s="131" t="b">
        <f aca="false">FALSE()</f>
        <v>0</v>
      </c>
      <c r="I342" s="131" t="b">
        <f aca="false">FALSE()</f>
        <v>0</v>
      </c>
      <c r="J342" s="130"/>
      <c r="K342" s="110"/>
      <c r="L342" s="83"/>
      <c r="M342" s="103"/>
      <c r="N342" s="103"/>
      <c r="O342" s="103"/>
      <c r="P342" s="103"/>
      <c r="Q342" s="103"/>
      <c r="R342" s="83"/>
      <c r="S342" s="103"/>
      <c r="T342" s="103"/>
      <c r="U342" s="103"/>
    </row>
    <row r="343" customFormat="false" ht="22.5" hidden="false" customHeight="true" outlineLevel="0" collapsed="false">
      <c r="A343" s="99"/>
      <c r="B343" s="99"/>
      <c r="C343" s="99"/>
      <c r="D343" s="121"/>
      <c r="E343" s="99"/>
      <c r="F343" s="124"/>
      <c r="G343" s="121"/>
      <c r="H343" s="132" t="b">
        <f aca="false">FALSE()</f>
        <v>0</v>
      </c>
      <c r="I343" s="132" t="b">
        <f aca="false">FALSE()</f>
        <v>0</v>
      </c>
      <c r="J343" s="126"/>
      <c r="K343" s="99"/>
      <c r="L343" s="83"/>
      <c r="M343" s="103"/>
      <c r="N343" s="103"/>
      <c r="O343" s="103"/>
      <c r="P343" s="103"/>
      <c r="Q343" s="103"/>
      <c r="R343" s="83"/>
      <c r="S343" s="103"/>
      <c r="T343" s="103"/>
      <c r="U343" s="103"/>
    </row>
    <row r="344" customFormat="false" ht="22.5" hidden="false" customHeight="true" outlineLevel="0" collapsed="false">
      <c r="A344" s="110"/>
      <c r="B344" s="110"/>
      <c r="C344" s="110"/>
      <c r="D344" s="122"/>
      <c r="E344" s="110"/>
      <c r="F344" s="128"/>
      <c r="G344" s="122"/>
      <c r="H344" s="131" t="b">
        <f aca="false">FALSE()</f>
        <v>0</v>
      </c>
      <c r="I344" s="131" t="b">
        <f aca="false">FALSE()</f>
        <v>0</v>
      </c>
      <c r="J344" s="130"/>
      <c r="K344" s="110"/>
      <c r="L344" s="83"/>
      <c r="M344" s="103"/>
      <c r="N344" s="103"/>
      <c r="O344" s="103"/>
      <c r="P344" s="103"/>
      <c r="Q344" s="103"/>
      <c r="R344" s="83"/>
      <c r="S344" s="103"/>
      <c r="T344" s="103"/>
      <c r="U344" s="103"/>
    </row>
    <row r="345" customFormat="false" ht="22.5" hidden="false" customHeight="true" outlineLevel="0" collapsed="false">
      <c r="A345" s="99"/>
      <c r="B345" s="99"/>
      <c r="C345" s="99"/>
      <c r="D345" s="121"/>
      <c r="E345" s="99"/>
      <c r="F345" s="124"/>
      <c r="G345" s="121"/>
      <c r="H345" s="132" t="b">
        <f aca="false">FALSE()</f>
        <v>0</v>
      </c>
      <c r="I345" s="132" t="b">
        <f aca="false">FALSE()</f>
        <v>0</v>
      </c>
      <c r="J345" s="126"/>
      <c r="K345" s="99"/>
      <c r="L345" s="83"/>
      <c r="M345" s="103"/>
      <c r="N345" s="103"/>
      <c r="O345" s="103"/>
      <c r="P345" s="103"/>
      <c r="Q345" s="103"/>
      <c r="R345" s="83"/>
      <c r="S345" s="103"/>
      <c r="T345" s="103"/>
      <c r="U345" s="103"/>
    </row>
    <row r="346" customFormat="false" ht="22.5" hidden="false" customHeight="true" outlineLevel="0" collapsed="false">
      <c r="A346" s="110"/>
      <c r="B346" s="110"/>
      <c r="C346" s="110"/>
      <c r="D346" s="122"/>
      <c r="E346" s="110"/>
      <c r="F346" s="128"/>
      <c r="G346" s="122"/>
      <c r="H346" s="131" t="b">
        <f aca="false">FALSE()</f>
        <v>0</v>
      </c>
      <c r="I346" s="131" t="b">
        <f aca="false">FALSE()</f>
        <v>0</v>
      </c>
      <c r="J346" s="130"/>
      <c r="K346" s="110"/>
      <c r="L346" s="83"/>
      <c r="M346" s="103"/>
      <c r="N346" s="103"/>
      <c r="O346" s="103"/>
      <c r="P346" s="103"/>
      <c r="Q346" s="103"/>
      <c r="R346" s="83"/>
      <c r="S346" s="103"/>
      <c r="T346" s="103"/>
      <c r="U346" s="103"/>
    </row>
    <row r="347" customFormat="false" ht="22.5" hidden="false" customHeight="true" outlineLevel="0" collapsed="false">
      <c r="A347" s="99"/>
      <c r="B347" s="99"/>
      <c r="C347" s="99"/>
      <c r="D347" s="121"/>
      <c r="E347" s="99"/>
      <c r="F347" s="124"/>
      <c r="G347" s="121"/>
      <c r="H347" s="132" t="b">
        <f aca="false">FALSE()</f>
        <v>0</v>
      </c>
      <c r="I347" s="132" t="b">
        <f aca="false">FALSE()</f>
        <v>0</v>
      </c>
      <c r="J347" s="126"/>
      <c r="K347" s="99"/>
      <c r="L347" s="83"/>
      <c r="M347" s="103"/>
      <c r="N347" s="103"/>
      <c r="O347" s="103"/>
      <c r="P347" s="103"/>
      <c r="Q347" s="103"/>
      <c r="R347" s="83"/>
      <c r="S347" s="103"/>
      <c r="T347" s="103"/>
      <c r="U347" s="103"/>
    </row>
    <row r="348" customFormat="false" ht="22.5" hidden="false" customHeight="true" outlineLevel="0" collapsed="false">
      <c r="A348" s="110"/>
      <c r="B348" s="110"/>
      <c r="C348" s="110"/>
      <c r="D348" s="122"/>
      <c r="E348" s="110"/>
      <c r="F348" s="128"/>
      <c r="G348" s="122"/>
      <c r="H348" s="131" t="b">
        <f aca="false">FALSE()</f>
        <v>0</v>
      </c>
      <c r="I348" s="131" t="b">
        <f aca="false">FALSE()</f>
        <v>0</v>
      </c>
      <c r="J348" s="130"/>
      <c r="K348" s="110"/>
      <c r="L348" s="83"/>
      <c r="M348" s="103"/>
      <c r="N348" s="103"/>
      <c r="O348" s="103"/>
      <c r="P348" s="103"/>
      <c r="Q348" s="103"/>
      <c r="R348" s="83"/>
      <c r="S348" s="103"/>
      <c r="T348" s="103"/>
      <c r="U348" s="103"/>
    </row>
    <row r="349" customFormat="false" ht="22.5" hidden="false" customHeight="true" outlineLevel="0" collapsed="false">
      <c r="A349" s="99"/>
      <c r="B349" s="99"/>
      <c r="C349" s="99"/>
      <c r="D349" s="121"/>
      <c r="E349" s="99"/>
      <c r="F349" s="124"/>
      <c r="G349" s="121"/>
      <c r="H349" s="132" t="b">
        <f aca="false">FALSE()</f>
        <v>0</v>
      </c>
      <c r="I349" s="132" t="b">
        <f aca="false">FALSE()</f>
        <v>0</v>
      </c>
      <c r="J349" s="126"/>
      <c r="K349" s="99"/>
      <c r="L349" s="83"/>
      <c r="M349" s="103"/>
      <c r="N349" s="103"/>
      <c r="O349" s="103"/>
      <c r="P349" s="103"/>
      <c r="Q349" s="103"/>
      <c r="R349" s="83"/>
      <c r="S349" s="103"/>
      <c r="T349" s="103"/>
      <c r="U349" s="103"/>
    </row>
    <row r="350" customFormat="false" ht="22.5" hidden="false" customHeight="true" outlineLevel="0" collapsed="false">
      <c r="A350" s="110"/>
      <c r="B350" s="110"/>
      <c r="C350" s="110"/>
      <c r="D350" s="122"/>
      <c r="E350" s="110"/>
      <c r="F350" s="128"/>
      <c r="G350" s="122"/>
      <c r="H350" s="131" t="b">
        <f aca="false">FALSE()</f>
        <v>0</v>
      </c>
      <c r="I350" s="131" t="b">
        <f aca="false">FALSE()</f>
        <v>0</v>
      </c>
      <c r="J350" s="130"/>
      <c r="K350" s="110"/>
      <c r="L350" s="83"/>
      <c r="M350" s="103"/>
      <c r="N350" s="103"/>
      <c r="O350" s="103"/>
      <c r="P350" s="103"/>
      <c r="Q350" s="103"/>
      <c r="R350" s="83"/>
      <c r="S350" s="103"/>
      <c r="T350" s="103"/>
      <c r="U350" s="103"/>
    </row>
    <row r="351" customFormat="false" ht="22.5" hidden="false" customHeight="true" outlineLevel="0" collapsed="false">
      <c r="A351" s="99"/>
      <c r="B351" s="99"/>
      <c r="C351" s="99"/>
      <c r="D351" s="121"/>
      <c r="E351" s="99"/>
      <c r="F351" s="124"/>
      <c r="G351" s="121"/>
      <c r="H351" s="132" t="b">
        <f aca="false">FALSE()</f>
        <v>0</v>
      </c>
      <c r="I351" s="132" t="b">
        <f aca="false">FALSE()</f>
        <v>0</v>
      </c>
      <c r="J351" s="126"/>
      <c r="K351" s="99"/>
      <c r="L351" s="83"/>
      <c r="M351" s="103"/>
      <c r="N351" s="103"/>
      <c r="O351" s="103"/>
      <c r="P351" s="103"/>
      <c r="Q351" s="103"/>
      <c r="R351" s="83"/>
      <c r="S351" s="103"/>
      <c r="T351" s="103"/>
      <c r="U351" s="103"/>
    </row>
    <row r="352" customFormat="false" ht="22.5" hidden="false" customHeight="true" outlineLevel="0" collapsed="false">
      <c r="A352" s="110"/>
      <c r="B352" s="110"/>
      <c r="C352" s="110"/>
      <c r="D352" s="122"/>
      <c r="E352" s="110"/>
      <c r="F352" s="128"/>
      <c r="G352" s="122"/>
      <c r="H352" s="131" t="b">
        <f aca="false">FALSE()</f>
        <v>0</v>
      </c>
      <c r="I352" s="131" t="b">
        <f aca="false">FALSE()</f>
        <v>0</v>
      </c>
      <c r="J352" s="130"/>
      <c r="K352" s="110"/>
      <c r="L352" s="83"/>
      <c r="M352" s="103"/>
      <c r="N352" s="103"/>
      <c r="O352" s="103"/>
      <c r="P352" s="103"/>
      <c r="Q352" s="103"/>
      <c r="R352" s="83"/>
      <c r="S352" s="103"/>
      <c r="T352" s="103"/>
      <c r="U352" s="103"/>
    </row>
    <row r="353" customFormat="false" ht="22.5" hidden="false" customHeight="true" outlineLevel="0" collapsed="false">
      <c r="A353" s="99"/>
      <c r="B353" s="99"/>
      <c r="C353" s="99"/>
      <c r="D353" s="121"/>
      <c r="E353" s="99"/>
      <c r="F353" s="124"/>
      <c r="G353" s="121"/>
      <c r="H353" s="132" t="b">
        <f aca="false">FALSE()</f>
        <v>0</v>
      </c>
      <c r="I353" s="132" t="b">
        <f aca="false">FALSE()</f>
        <v>0</v>
      </c>
      <c r="J353" s="126"/>
      <c r="K353" s="99"/>
      <c r="L353" s="83"/>
      <c r="M353" s="103"/>
      <c r="N353" s="103"/>
      <c r="O353" s="103"/>
      <c r="P353" s="103"/>
      <c r="Q353" s="103"/>
      <c r="R353" s="83"/>
      <c r="S353" s="103"/>
      <c r="T353" s="103"/>
      <c r="U353" s="103"/>
    </row>
    <row r="354" customFormat="false" ht="22.5" hidden="false" customHeight="true" outlineLevel="0" collapsed="false">
      <c r="A354" s="110"/>
      <c r="B354" s="110"/>
      <c r="C354" s="110"/>
      <c r="D354" s="122"/>
      <c r="E354" s="110"/>
      <c r="F354" s="128"/>
      <c r="G354" s="122"/>
      <c r="H354" s="131" t="b">
        <f aca="false">FALSE()</f>
        <v>0</v>
      </c>
      <c r="I354" s="131" t="b">
        <f aca="false">FALSE()</f>
        <v>0</v>
      </c>
      <c r="J354" s="130"/>
      <c r="K354" s="110"/>
      <c r="L354" s="83"/>
      <c r="M354" s="103"/>
      <c r="N354" s="103"/>
      <c r="O354" s="103"/>
      <c r="P354" s="103"/>
      <c r="Q354" s="103"/>
      <c r="R354" s="83"/>
      <c r="S354" s="103"/>
      <c r="T354" s="103"/>
      <c r="U354" s="103"/>
    </row>
    <row r="355" customFormat="false" ht="22.5" hidden="false" customHeight="true" outlineLevel="0" collapsed="false">
      <c r="A355" s="99"/>
      <c r="B355" s="99"/>
      <c r="C355" s="99"/>
      <c r="D355" s="121"/>
      <c r="E355" s="99"/>
      <c r="F355" s="124"/>
      <c r="G355" s="121"/>
      <c r="H355" s="132" t="b">
        <f aca="false">FALSE()</f>
        <v>0</v>
      </c>
      <c r="I355" s="132" t="b">
        <f aca="false">FALSE()</f>
        <v>0</v>
      </c>
      <c r="J355" s="126"/>
      <c r="K355" s="99"/>
      <c r="L355" s="83"/>
      <c r="M355" s="103"/>
      <c r="N355" s="103"/>
      <c r="O355" s="103"/>
      <c r="P355" s="103"/>
      <c r="Q355" s="103"/>
      <c r="R355" s="83"/>
      <c r="S355" s="103"/>
      <c r="T355" s="103"/>
      <c r="U355" s="103"/>
    </row>
    <row r="356" customFormat="false" ht="22.5" hidden="false" customHeight="true" outlineLevel="0" collapsed="false">
      <c r="A356" s="110"/>
      <c r="B356" s="110"/>
      <c r="C356" s="110"/>
      <c r="D356" s="122"/>
      <c r="E356" s="110"/>
      <c r="F356" s="128"/>
      <c r="G356" s="122"/>
      <c r="H356" s="131" t="b">
        <f aca="false">FALSE()</f>
        <v>0</v>
      </c>
      <c r="I356" s="131" t="b">
        <f aca="false">FALSE()</f>
        <v>0</v>
      </c>
      <c r="J356" s="130"/>
      <c r="K356" s="110"/>
      <c r="L356" s="83"/>
      <c r="M356" s="103"/>
      <c r="N356" s="103"/>
      <c r="O356" s="103"/>
      <c r="P356" s="103"/>
      <c r="Q356" s="103"/>
      <c r="R356" s="83"/>
      <c r="S356" s="103"/>
      <c r="T356" s="103"/>
      <c r="U356" s="103"/>
    </row>
    <row r="357" customFormat="false" ht="22.5" hidden="false" customHeight="true" outlineLevel="0" collapsed="false">
      <c r="A357" s="99"/>
      <c r="B357" s="99"/>
      <c r="C357" s="99"/>
      <c r="D357" s="121"/>
      <c r="E357" s="99"/>
      <c r="F357" s="124"/>
      <c r="G357" s="121"/>
      <c r="H357" s="132" t="b">
        <f aca="false">FALSE()</f>
        <v>0</v>
      </c>
      <c r="I357" s="132" t="b">
        <f aca="false">FALSE()</f>
        <v>0</v>
      </c>
      <c r="J357" s="126"/>
      <c r="K357" s="99"/>
      <c r="L357" s="83"/>
      <c r="M357" s="103"/>
      <c r="N357" s="103"/>
      <c r="O357" s="103"/>
      <c r="P357" s="103"/>
      <c r="Q357" s="103"/>
      <c r="R357" s="83"/>
      <c r="S357" s="103"/>
      <c r="T357" s="103"/>
      <c r="U357" s="103"/>
    </row>
    <row r="358" customFormat="false" ht="22.5" hidden="false" customHeight="true" outlineLevel="0" collapsed="false">
      <c r="A358" s="110"/>
      <c r="B358" s="110"/>
      <c r="C358" s="110"/>
      <c r="D358" s="122"/>
      <c r="E358" s="110"/>
      <c r="F358" s="128"/>
      <c r="G358" s="122"/>
      <c r="H358" s="131" t="b">
        <f aca="false">FALSE()</f>
        <v>0</v>
      </c>
      <c r="I358" s="131" t="b">
        <f aca="false">FALSE()</f>
        <v>0</v>
      </c>
      <c r="J358" s="130"/>
      <c r="K358" s="110"/>
      <c r="L358" s="83"/>
      <c r="M358" s="103"/>
      <c r="N358" s="103"/>
      <c r="O358" s="103"/>
      <c r="P358" s="103"/>
      <c r="Q358" s="103"/>
      <c r="R358" s="83"/>
      <c r="S358" s="103"/>
      <c r="T358" s="103"/>
      <c r="U358" s="103"/>
    </row>
    <row r="359" customFormat="false" ht="22.5" hidden="false" customHeight="true" outlineLevel="0" collapsed="false">
      <c r="A359" s="99"/>
      <c r="B359" s="99"/>
      <c r="C359" s="99"/>
      <c r="D359" s="121"/>
      <c r="E359" s="99"/>
      <c r="F359" s="124"/>
      <c r="G359" s="121"/>
      <c r="H359" s="132" t="b">
        <f aca="false">FALSE()</f>
        <v>0</v>
      </c>
      <c r="I359" s="132" t="b">
        <f aca="false">FALSE()</f>
        <v>0</v>
      </c>
      <c r="J359" s="126"/>
      <c r="K359" s="99"/>
      <c r="L359" s="83"/>
      <c r="M359" s="103"/>
      <c r="N359" s="103"/>
      <c r="O359" s="103"/>
      <c r="P359" s="103"/>
      <c r="Q359" s="103"/>
      <c r="R359" s="83"/>
      <c r="S359" s="103"/>
      <c r="T359" s="103"/>
      <c r="U359" s="103"/>
    </row>
    <row r="360" customFormat="false" ht="22.5" hidden="false" customHeight="true" outlineLevel="0" collapsed="false">
      <c r="A360" s="110"/>
      <c r="B360" s="110"/>
      <c r="C360" s="110"/>
      <c r="D360" s="122"/>
      <c r="E360" s="110"/>
      <c r="F360" s="128"/>
      <c r="G360" s="122"/>
      <c r="H360" s="131" t="b">
        <f aca="false">FALSE()</f>
        <v>0</v>
      </c>
      <c r="I360" s="131" t="b">
        <f aca="false">FALSE()</f>
        <v>0</v>
      </c>
      <c r="J360" s="130"/>
      <c r="K360" s="110"/>
      <c r="L360" s="83"/>
      <c r="M360" s="103"/>
      <c r="N360" s="103"/>
      <c r="O360" s="103"/>
      <c r="P360" s="103"/>
      <c r="Q360" s="103"/>
      <c r="R360" s="83"/>
      <c r="S360" s="103"/>
      <c r="T360" s="103"/>
      <c r="U360" s="103"/>
    </row>
    <row r="361" customFormat="false" ht="22.5" hidden="false" customHeight="true" outlineLevel="0" collapsed="false">
      <c r="A361" s="99"/>
      <c r="B361" s="99"/>
      <c r="C361" s="99"/>
      <c r="D361" s="121"/>
      <c r="E361" s="99"/>
      <c r="F361" s="124"/>
      <c r="G361" s="121"/>
      <c r="H361" s="132" t="b">
        <f aca="false">FALSE()</f>
        <v>0</v>
      </c>
      <c r="I361" s="132" t="b">
        <f aca="false">FALSE()</f>
        <v>0</v>
      </c>
      <c r="J361" s="126"/>
      <c r="K361" s="99"/>
      <c r="L361" s="83"/>
      <c r="M361" s="103"/>
      <c r="N361" s="103"/>
      <c r="O361" s="103"/>
      <c r="P361" s="103"/>
      <c r="Q361" s="103"/>
      <c r="R361" s="83"/>
      <c r="S361" s="103"/>
      <c r="T361" s="103"/>
      <c r="U361" s="103"/>
    </row>
    <row r="362" customFormat="false" ht="22.5" hidden="false" customHeight="true" outlineLevel="0" collapsed="false">
      <c r="A362" s="110"/>
      <c r="B362" s="110"/>
      <c r="C362" s="110"/>
      <c r="D362" s="122"/>
      <c r="E362" s="110"/>
      <c r="F362" s="128"/>
      <c r="G362" s="122"/>
      <c r="H362" s="131" t="b">
        <f aca="false">FALSE()</f>
        <v>0</v>
      </c>
      <c r="I362" s="131" t="b">
        <f aca="false">FALSE()</f>
        <v>0</v>
      </c>
      <c r="J362" s="130"/>
      <c r="K362" s="110"/>
      <c r="L362" s="83"/>
      <c r="M362" s="103"/>
      <c r="N362" s="103"/>
      <c r="O362" s="103"/>
      <c r="P362" s="103"/>
      <c r="Q362" s="103"/>
      <c r="R362" s="83"/>
      <c r="S362" s="103"/>
      <c r="T362" s="103"/>
      <c r="U362" s="103"/>
    </row>
    <row r="363" customFormat="false" ht="22.5" hidden="false" customHeight="true" outlineLevel="0" collapsed="false">
      <c r="A363" s="99"/>
      <c r="B363" s="99"/>
      <c r="C363" s="99"/>
      <c r="D363" s="121"/>
      <c r="E363" s="99"/>
      <c r="F363" s="124"/>
      <c r="G363" s="121"/>
      <c r="H363" s="132" t="b">
        <f aca="false">FALSE()</f>
        <v>0</v>
      </c>
      <c r="I363" s="132" t="b">
        <f aca="false">FALSE()</f>
        <v>0</v>
      </c>
      <c r="J363" s="126"/>
      <c r="K363" s="99"/>
      <c r="L363" s="83"/>
      <c r="M363" s="103"/>
      <c r="N363" s="103"/>
      <c r="O363" s="103"/>
      <c r="P363" s="103"/>
      <c r="Q363" s="103"/>
      <c r="R363" s="83"/>
      <c r="S363" s="103"/>
      <c r="T363" s="103"/>
      <c r="U363" s="103"/>
    </row>
    <row r="364" customFormat="false" ht="22.5" hidden="false" customHeight="true" outlineLevel="0" collapsed="false">
      <c r="A364" s="110"/>
      <c r="B364" s="110"/>
      <c r="C364" s="110"/>
      <c r="D364" s="122"/>
      <c r="E364" s="110"/>
      <c r="F364" s="128"/>
      <c r="G364" s="122"/>
      <c r="H364" s="131" t="b">
        <f aca="false">FALSE()</f>
        <v>0</v>
      </c>
      <c r="I364" s="131" t="b">
        <f aca="false">FALSE()</f>
        <v>0</v>
      </c>
      <c r="J364" s="130"/>
      <c r="K364" s="110"/>
      <c r="L364" s="83"/>
      <c r="M364" s="103"/>
      <c r="N364" s="103"/>
      <c r="O364" s="103"/>
      <c r="P364" s="103"/>
      <c r="Q364" s="103"/>
      <c r="R364" s="83"/>
      <c r="S364" s="103"/>
      <c r="T364" s="103"/>
      <c r="U364" s="103"/>
    </row>
    <row r="365" customFormat="false" ht="22.5" hidden="false" customHeight="true" outlineLevel="0" collapsed="false">
      <c r="A365" s="99"/>
      <c r="B365" s="99"/>
      <c r="C365" s="99"/>
      <c r="D365" s="121"/>
      <c r="E365" s="99"/>
      <c r="F365" s="124"/>
      <c r="G365" s="121"/>
      <c r="H365" s="132" t="b">
        <f aca="false">FALSE()</f>
        <v>0</v>
      </c>
      <c r="I365" s="132" t="b">
        <f aca="false">FALSE()</f>
        <v>0</v>
      </c>
      <c r="J365" s="126"/>
      <c r="K365" s="99"/>
      <c r="L365" s="83"/>
      <c r="M365" s="103"/>
      <c r="N365" s="103"/>
      <c r="O365" s="103"/>
      <c r="P365" s="103"/>
      <c r="Q365" s="103"/>
      <c r="R365" s="83"/>
      <c r="S365" s="103"/>
      <c r="T365" s="103"/>
      <c r="U365" s="103"/>
    </row>
    <row r="366" customFormat="false" ht="22.5" hidden="false" customHeight="true" outlineLevel="0" collapsed="false">
      <c r="A366" s="110"/>
      <c r="B366" s="110"/>
      <c r="C366" s="110"/>
      <c r="D366" s="122"/>
      <c r="E366" s="110"/>
      <c r="F366" s="128"/>
      <c r="G366" s="122"/>
      <c r="H366" s="131" t="b">
        <f aca="false">FALSE()</f>
        <v>0</v>
      </c>
      <c r="I366" s="131" t="b">
        <f aca="false">FALSE()</f>
        <v>0</v>
      </c>
      <c r="J366" s="130"/>
      <c r="K366" s="110"/>
      <c r="L366" s="83"/>
      <c r="M366" s="103"/>
      <c r="N366" s="103"/>
      <c r="O366" s="103"/>
      <c r="P366" s="103"/>
      <c r="Q366" s="103"/>
      <c r="R366" s="83"/>
      <c r="S366" s="103"/>
      <c r="T366" s="103"/>
      <c r="U366" s="103"/>
    </row>
    <row r="367" customFormat="false" ht="22.5" hidden="false" customHeight="true" outlineLevel="0" collapsed="false">
      <c r="A367" s="99"/>
      <c r="B367" s="99"/>
      <c r="C367" s="99"/>
      <c r="D367" s="121"/>
      <c r="E367" s="99"/>
      <c r="F367" s="124"/>
      <c r="G367" s="121"/>
      <c r="H367" s="132" t="b">
        <f aca="false">FALSE()</f>
        <v>0</v>
      </c>
      <c r="I367" s="132" t="b">
        <f aca="false">FALSE()</f>
        <v>0</v>
      </c>
      <c r="J367" s="126"/>
      <c r="K367" s="99"/>
      <c r="L367" s="83"/>
      <c r="M367" s="103"/>
      <c r="N367" s="103"/>
      <c r="O367" s="103"/>
      <c r="P367" s="103"/>
      <c r="Q367" s="103"/>
      <c r="R367" s="83"/>
      <c r="S367" s="103"/>
      <c r="T367" s="103"/>
      <c r="U367" s="103"/>
    </row>
    <row r="368" customFormat="false" ht="22.5" hidden="false" customHeight="true" outlineLevel="0" collapsed="false">
      <c r="A368" s="110"/>
      <c r="B368" s="110"/>
      <c r="C368" s="110"/>
      <c r="D368" s="122"/>
      <c r="E368" s="110"/>
      <c r="F368" s="128"/>
      <c r="G368" s="122"/>
      <c r="H368" s="131" t="b">
        <f aca="false">FALSE()</f>
        <v>0</v>
      </c>
      <c r="I368" s="131" t="b">
        <f aca="false">FALSE()</f>
        <v>0</v>
      </c>
      <c r="J368" s="130"/>
      <c r="K368" s="110"/>
      <c r="L368" s="83"/>
      <c r="M368" s="103"/>
      <c r="N368" s="103"/>
      <c r="O368" s="103"/>
      <c r="P368" s="103"/>
      <c r="Q368" s="103"/>
      <c r="R368" s="83"/>
      <c r="S368" s="103"/>
      <c r="T368" s="103"/>
      <c r="U368" s="103"/>
    </row>
    <row r="369" customFormat="false" ht="22.5" hidden="false" customHeight="true" outlineLevel="0" collapsed="false">
      <c r="A369" s="99"/>
      <c r="B369" s="99"/>
      <c r="C369" s="99"/>
      <c r="D369" s="121"/>
      <c r="E369" s="99"/>
      <c r="F369" s="124"/>
      <c r="G369" s="121"/>
      <c r="H369" s="132" t="b">
        <f aca="false">FALSE()</f>
        <v>0</v>
      </c>
      <c r="I369" s="132" t="b">
        <f aca="false">FALSE()</f>
        <v>0</v>
      </c>
      <c r="J369" s="126"/>
      <c r="K369" s="99"/>
      <c r="L369" s="83"/>
      <c r="M369" s="103"/>
      <c r="N369" s="103"/>
      <c r="O369" s="103"/>
      <c r="P369" s="103"/>
      <c r="Q369" s="103"/>
      <c r="R369" s="83"/>
      <c r="S369" s="103"/>
      <c r="T369" s="103"/>
      <c r="U369" s="103"/>
    </row>
    <row r="370" customFormat="false" ht="22.5" hidden="false" customHeight="true" outlineLevel="0" collapsed="false">
      <c r="A370" s="110"/>
      <c r="B370" s="110"/>
      <c r="C370" s="110"/>
      <c r="D370" s="122"/>
      <c r="E370" s="110"/>
      <c r="F370" s="128"/>
      <c r="G370" s="122"/>
      <c r="H370" s="131" t="b">
        <f aca="false">FALSE()</f>
        <v>0</v>
      </c>
      <c r="I370" s="131" t="b">
        <f aca="false">FALSE()</f>
        <v>0</v>
      </c>
      <c r="J370" s="130"/>
      <c r="K370" s="110"/>
      <c r="L370" s="83"/>
      <c r="M370" s="103"/>
      <c r="N370" s="103"/>
      <c r="O370" s="103"/>
      <c r="P370" s="103"/>
      <c r="Q370" s="103"/>
      <c r="R370" s="83"/>
      <c r="S370" s="103"/>
      <c r="T370" s="103"/>
      <c r="U370" s="103"/>
    </row>
    <row r="371" customFormat="false" ht="22.5" hidden="false" customHeight="true" outlineLevel="0" collapsed="false">
      <c r="A371" s="99"/>
      <c r="B371" s="99"/>
      <c r="C371" s="99"/>
      <c r="D371" s="121"/>
      <c r="E371" s="99"/>
      <c r="F371" s="124"/>
      <c r="G371" s="121"/>
      <c r="H371" s="132" t="b">
        <f aca="false">FALSE()</f>
        <v>0</v>
      </c>
      <c r="I371" s="132" t="b">
        <f aca="false">FALSE()</f>
        <v>0</v>
      </c>
      <c r="J371" s="126"/>
      <c r="K371" s="99"/>
      <c r="L371" s="83"/>
      <c r="M371" s="103"/>
      <c r="N371" s="103"/>
      <c r="O371" s="103"/>
      <c r="P371" s="103"/>
      <c r="Q371" s="103"/>
      <c r="R371" s="83"/>
      <c r="S371" s="103"/>
      <c r="T371" s="103"/>
      <c r="U371" s="103"/>
    </row>
    <row r="372" customFormat="false" ht="22.5" hidden="false" customHeight="true" outlineLevel="0" collapsed="false">
      <c r="A372" s="110"/>
      <c r="B372" s="110"/>
      <c r="C372" s="110"/>
      <c r="D372" s="122"/>
      <c r="E372" s="110"/>
      <c r="F372" s="128"/>
      <c r="G372" s="122"/>
      <c r="H372" s="131" t="b">
        <f aca="false">FALSE()</f>
        <v>0</v>
      </c>
      <c r="I372" s="131" t="b">
        <f aca="false">FALSE()</f>
        <v>0</v>
      </c>
      <c r="J372" s="130"/>
      <c r="K372" s="110"/>
      <c r="L372" s="83"/>
      <c r="M372" s="103"/>
      <c r="N372" s="103"/>
      <c r="O372" s="103"/>
      <c r="P372" s="103"/>
      <c r="Q372" s="103"/>
      <c r="R372" s="83"/>
      <c r="S372" s="103"/>
      <c r="T372" s="103"/>
      <c r="U372" s="103"/>
    </row>
    <row r="373" customFormat="false" ht="22.5" hidden="false" customHeight="true" outlineLevel="0" collapsed="false">
      <c r="A373" s="99"/>
      <c r="B373" s="99"/>
      <c r="C373" s="99"/>
      <c r="D373" s="121"/>
      <c r="E373" s="99"/>
      <c r="F373" s="124"/>
      <c r="G373" s="121"/>
      <c r="H373" s="132" t="b">
        <f aca="false">FALSE()</f>
        <v>0</v>
      </c>
      <c r="I373" s="132" t="b">
        <f aca="false">FALSE()</f>
        <v>0</v>
      </c>
      <c r="J373" s="126"/>
      <c r="K373" s="99"/>
      <c r="L373" s="83"/>
      <c r="M373" s="103"/>
      <c r="N373" s="103"/>
      <c r="O373" s="103"/>
      <c r="P373" s="103"/>
      <c r="Q373" s="103"/>
      <c r="R373" s="83"/>
      <c r="S373" s="103"/>
      <c r="T373" s="103"/>
      <c r="U373" s="103"/>
    </row>
    <row r="374" customFormat="false" ht="22.5" hidden="false" customHeight="true" outlineLevel="0" collapsed="false">
      <c r="A374" s="110"/>
      <c r="B374" s="110"/>
      <c r="C374" s="110"/>
      <c r="D374" s="122"/>
      <c r="E374" s="110"/>
      <c r="F374" s="128"/>
      <c r="G374" s="122"/>
      <c r="H374" s="131" t="b">
        <f aca="false">FALSE()</f>
        <v>0</v>
      </c>
      <c r="I374" s="131" t="b">
        <f aca="false">FALSE()</f>
        <v>0</v>
      </c>
      <c r="J374" s="130"/>
      <c r="K374" s="110"/>
      <c r="L374" s="83"/>
      <c r="M374" s="103"/>
      <c r="N374" s="103"/>
      <c r="O374" s="103"/>
      <c r="P374" s="103"/>
      <c r="Q374" s="103"/>
      <c r="R374" s="83"/>
      <c r="S374" s="103"/>
      <c r="T374" s="103"/>
      <c r="U374" s="103"/>
    </row>
    <row r="375" customFormat="false" ht="22.5" hidden="false" customHeight="true" outlineLevel="0" collapsed="false">
      <c r="A375" s="99"/>
      <c r="B375" s="99"/>
      <c r="C375" s="99"/>
      <c r="D375" s="121"/>
      <c r="E375" s="99"/>
      <c r="F375" s="124"/>
      <c r="G375" s="121"/>
      <c r="H375" s="132" t="b">
        <f aca="false">FALSE()</f>
        <v>0</v>
      </c>
      <c r="I375" s="132" t="b">
        <f aca="false">FALSE()</f>
        <v>0</v>
      </c>
      <c r="J375" s="126"/>
      <c r="K375" s="99"/>
      <c r="L375" s="83"/>
      <c r="M375" s="103"/>
      <c r="N375" s="103"/>
      <c r="O375" s="103"/>
      <c r="P375" s="103"/>
      <c r="Q375" s="103"/>
      <c r="R375" s="83"/>
      <c r="S375" s="103"/>
      <c r="T375" s="103"/>
      <c r="U375" s="103"/>
    </row>
    <row r="376" customFormat="false" ht="22.5" hidden="false" customHeight="true" outlineLevel="0" collapsed="false">
      <c r="A376" s="110"/>
      <c r="B376" s="110"/>
      <c r="C376" s="110"/>
      <c r="D376" s="122"/>
      <c r="E376" s="110"/>
      <c r="F376" s="128"/>
      <c r="G376" s="122"/>
      <c r="H376" s="131" t="b">
        <f aca="false">FALSE()</f>
        <v>0</v>
      </c>
      <c r="I376" s="131" t="b">
        <f aca="false">FALSE()</f>
        <v>0</v>
      </c>
      <c r="J376" s="130"/>
      <c r="K376" s="110"/>
      <c r="L376" s="83"/>
      <c r="M376" s="103"/>
      <c r="N376" s="103"/>
      <c r="O376" s="103"/>
      <c r="P376" s="103"/>
      <c r="Q376" s="103"/>
      <c r="R376" s="83"/>
      <c r="S376" s="103"/>
      <c r="T376" s="103"/>
      <c r="U376" s="103"/>
    </row>
    <row r="377" customFormat="false" ht="22.5" hidden="false" customHeight="true" outlineLevel="0" collapsed="false">
      <c r="A377" s="99"/>
      <c r="B377" s="99"/>
      <c r="C377" s="99"/>
      <c r="D377" s="121"/>
      <c r="E377" s="99"/>
      <c r="F377" s="124"/>
      <c r="G377" s="121"/>
      <c r="H377" s="132" t="b">
        <f aca="false">FALSE()</f>
        <v>0</v>
      </c>
      <c r="I377" s="132" t="b">
        <f aca="false">FALSE()</f>
        <v>0</v>
      </c>
      <c r="J377" s="126"/>
      <c r="K377" s="99"/>
      <c r="L377" s="83"/>
      <c r="M377" s="103"/>
      <c r="N377" s="103"/>
      <c r="O377" s="103"/>
      <c r="P377" s="103"/>
      <c r="Q377" s="103"/>
      <c r="R377" s="83"/>
      <c r="S377" s="103"/>
      <c r="T377" s="103"/>
      <c r="U377" s="103"/>
    </row>
    <row r="378" customFormat="false" ht="22.5" hidden="false" customHeight="true" outlineLevel="0" collapsed="false">
      <c r="A378" s="110"/>
      <c r="B378" s="110"/>
      <c r="C378" s="110"/>
      <c r="D378" s="122"/>
      <c r="E378" s="110"/>
      <c r="F378" s="128"/>
      <c r="G378" s="122"/>
      <c r="H378" s="131" t="b">
        <f aca="false">FALSE()</f>
        <v>0</v>
      </c>
      <c r="I378" s="131" t="b">
        <f aca="false">FALSE()</f>
        <v>0</v>
      </c>
      <c r="J378" s="130"/>
      <c r="K378" s="110"/>
      <c r="L378" s="83"/>
      <c r="M378" s="103"/>
      <c r="N378" s="103"/>
      <c r="O378" s="103"/>
      <c r="P378" s="103"/>
      <c r="Q378" s="103"/>
      <c r="R378" s="83"/>
      <c r="S378" s="103"/>
      <c r="T378" s="103"/>
      <c r="U378" s="103"/>
    </row>
    <row r="379" customFormat="false" ht="22.5" hidden="false" customHeight="true" outlineLevel="0" collapsed="false">
      <c r="A379" s="99"/>
      <c r="B379" s="99"/>
      <c r="C379" s="99"/>
      <c r="D379" s="121"/>
      <c r="E379" s="99"/>
      <c r="F379" s="124"/>
      <c r="G379" s="121"/>
      <c r="H379" s="132" t="b">
        <f aca="false">FALSE()</f>
        <v>0</v>
      </c>
      <c r="I379" s="132" t="b">
        <f aca="false">FALSE()</f>
        <v>0</v>
      </c>
      <c r="J379" s="126"/>
      <c r="K379" s="99"/>
      <c r="L379" s="83"/>
      <c r="M379" s="103"/>
      <c r="N379" s="103"/>
      <c r="O379" s="103"/>
      <c r="P379" s="103"/>
      <c r="Q379" s="103"/>
      <c r="R379" s="83"/>
      <c r="S379" s="103"/>
      <c r="T379" s="103"/>
      <c r="U379" s="103"/>
    </row>
    <row r="380" customFormat="false" ht="22.5" hidden="false" customHeight="true" outlineLevel="0" collapsed="false">
      <c r="A380" s="110"/>
      <c r="B380" s="110"/>
      <c r="C380" s="110"/>
      <c r="D380" s="122"/>
      <c r="E380" s="110"/>
      <c r="F380" s="128"/>
      <c r="G380" s="122"/>
      <c r="H380" s="131" t="b">
        <f aca="false">FALSE()</f>
        <v>0</v>
      </c>
      <c r="I380" s="131" t="b">
        <f aca="false">FALSE()</f>
        <v>0</v>
      </c>
      <c r="J380" s="130"/>
      <c r="K380" s="110"/>
      <c r="L380" s="83"/>
      <c r="M380" s="103"/>
      <c r="N380" s="103"/>
      <c r="O380" s="103"/>
      <c r="P380" s="103"/>
      <c r="Q380" s="103"/>
      <c r="R380" s="83"/>
      <c r="S380" s="103"/>
      <c r="T380" s="103"/>
      <c r="U380" s="103"/>
    </row>
    <row r="381" customFormat="false" ht="22.5" hidden="false" customHeight="true" outlineLevel="0" collapsed="false">
      <c r="A381" s="99"/>
      <c r="B381" s="99"/>
      <c r="C381" s="99"/>
      <c r="D381" s="121"/>
      <c r="E381" s="99"/>
      <c r="F381" s="124"/>
      <c r="G381" s="121"/>
      <c r="H381" s="132" t="b">
        <f aca="false">FALSE()</f>
        <v>0</v>
      </c>
      <c r="I381" s="132" t="b">
        <f aca="false">FALSE()</f>
        <v>0</v>
      </c>
      <c r="J381" s="126"/>
      <c r="K381" s="99"/>
      <c r="L381" s="83"/>
      <c r="M381" s="103"/>
      <c r="N381" s="103"/>
      <c r="O381" s="103"/>
      <c r="P381" s="103"/>
      <c r="Q381" s="103"/>
      <c r="R381" s="83"/>
      <c r="S381" s="103"/>
      <c r="T381" s="103"/>
      <c r="U381" s="103"/>
    </row>
    <row r="382" customFormat="false" ht="22.5" hidden="false" customHeight="true" outlineLevel="0" collapsed="false">
      <c r="A382" s="110"/>
      <c r="B382" s="110"/>
      <c r="C382" s="110"/>
      <c r="D382" s="122"/>
      <c r="E382" s="110"/>
      <c r="F382" s="128"/>
      <c r="G382" s="122"/>
      <c r="H382" s="131" t="b">
        <f aca="false">FALSE()</f>
        <v>0</v>
      </c>
      <c r="I382" s="131" t="b">
        <f aca="false">FALSE()</f>
        <v>0</v>
      </c>
      <c r="J382" s="130"/>
      <c r="K382" s="110"/>
      <c r="L382" s="83"/>
      <c r="M382" s="103"/>
      <c r="N382" s="103"/>
      <c r="O382" s="103"/>
      <c r="P382" s="103"/>
      <c r="Q382" s="103"/>
      <c r="R382" s="83"/>
      <c r="S382" s="103"/>
      <c r="T382" s="103"/>
      <c r="U382" s="103"/>
    </row>
    <row r="383" customFormat="false" ht="22.5" hidden="false" customHeight="true" outlineLevel="0" collapsed="false">
      <c r="A383" s="99"/>
      <c r="B383" s="99"/>
      <c r="C383" s="99"/>
      <c r="D383" s="121"/>
      <c r="E383" s="99"/>
      <c r="F383" s="124"/>
      <c r="G383" s="121"/>
      <c r="H383" s="132" t="b">
        <f aca="false">FALSE()</f>
        <v>0</v>
      </c>
      <c r="I383" s="132" t="b">
        <f aca="false">FALSE()</f>
        <v>0</v>
      </c>
      <c r="J383" s="126"/>
      <c r="K383" s="99"/>
      <c r="L383" s="83"/>
      <c r="M383" s="103"/>
      <c r="N383" s="103"/>
      <c r="O383" s="103"/>
      <c r="P383" s="103"/>
      <c r="Q383" s="103"/>
      <c r="R383" s="83"/>
      <c r="S383" s="103"/>
      <c r="T383" s="103"/>
      <c r="U383" s="103"/>
    </row>
    <row r="384" customFormat="false" ht="22.5" hidden="false" customHeight="true" outlineLevel="0" collapsed="false">
      <c r="A384" s="110"/>
      <c r="B384" s="110"/>
      <c r="C384" s="110"/>
      <c r="D384" s="122"/>
      <c r="E384" s="110"/>
      <c r="F384" s="128"/>
      <c r="G384" s="122"/>
      <c r="H384" s="131" t="b">
        <f aca="false">FALSE()</f>
        <v>0</v>
      </c>
      <c r="I384" s="131" t="b">
        <f aca="false">FALSE()</f>
        <v>0</v>
      </c>
      <c r="J384" s="130"/>
      <c r="K384" s="110"/>
      <c r="L384" s="83"/>
      <c r="M384" s="103"/>
      <c r="N384" s="103"/>
      <c r="O384" s="103"/>
      <c r="P384" s="103"/>
      <c r="Q384" s="103"/>
      <c r="R384" s="83"/>
      <c r="S384" s="103"/>
      <c r="T384" s="103"/>
      <c r="U384" s="103"/>
    </row>
    <row r="385" customFormat="false" ht="22.5" hidden="false" customHeight="true" outlineLevel="0" collapsed="false">
      <c r="A385" s="99"/>
      <c r="B385" s="99"/>
      <c r="C385" s="99"/>
      <c r="D385" s="121"/>
      <c r="E385" s="99"/>
      <c r="F385" s="124"/>
      <c r="G385" s="121"/>
      <c r="H385" s="132" t="b">
        <f aca="false">FALSE()</f>
        <v>0</v>
      </c>
      <c r="I385" s="132" t="b">
        <f aca="false">FALSE()</f>
        <v>0</v>
      </c>
      <c r="J385" s="126"/>
      <c r="K385" s="99"/>
      <c r="L385" s="83"/>
      <c r="M385" s="103"/>
      <c r="N385" s="103"/>
      <c r="O385" s="103"/>
      <c r="P385" s="103"/>
      <c r="Q385" s="103"/>
      <c r="R385" s="83"/>
      <c r="S385" s="103"/>
      <c r="T385" s="103"/>
      <c r="U385" s="103"/>
    </row>
    <row r="386" customFormat="false" ht="22.5" hidden="false" customHeight="true" outlineLevel="0" collapsed="false">
      <c r="A386" s="110"/>
      <c r="B386" s="110"/>
      <c r="C386" s="110"/>
      <c r="D386" s="122"/>
      <c r="E386" s="110"/>
      <c r="F386" s="128"/>
      <c r="G386" s="122"/>
      <c r="H386" s="131" t="b">
        <f aca="false">FALSE()</f>
        <v>0</v>
      </c>
      <c r="I386" s="131" t="b">
        <f aca="false">FALSE()</f>
        <v>0</v>
      </c>
      <c r="J386" s="130"/>
      <c r="K386" s="110"/>
      <c r="L386" s="83"/>
      <c r="M386" s="103"/>
      <c r="N386" s="103"/>
      <c r="O386" s="103"/>
      <c r="P386" s="103"/>
      <c r="Q386" s="103"/>
      <c r="R386" s="83"/>
      <c r="S386" s="103"/>
      <c r="T386" s="103"/>
      <c r="U386" s="103"/>
    </row>
    <row r="387" customFormat="false" ht="22.5" hidden="false" customHeight="true" outlineLevel="0" collapsed="false">
      <c r="A387" s="99"/>
      <c r="B387" s="99"/>
      <c r="C387" s="99"/>
      <c r="D387" s="121"/>
      <c r="E387" s="99"/>
      <c r="F387" s="124"/>
      <c r="G387" s="121"/>
      <c r="H387" s="132" t="b">
        <f aca="false">FALSE()</f>
        <v>0</v>
      </c>
      <c r="I387" s="132" t="b">
        <f aca="false">FALSE()</f>
        <v>0</v>
      </c>
      <c r="J387" s="126"/>
      <c r="K387" s="99"/>
      <c r="L387" s="83"/>
      <c r="M387" s="103"/>
      <c r="N387" s="103"/>
      <c r="O387" s="103"/>
      <c r="P387" s="103"/>
      <c r="Q387" s="103"/>
      <c r="R387" s="83"/>
      <c r="S387" s="103"/>
      <c r="T387" s="103"/>
      <c r="U387" s="103"/>
    </row>
    <row r="388" customFormat="false" ht="22.5" hidden="false" customHeight="true" outlineLevel="0" collapsed="false">
      <c r="A388" s="110"/>
      <c r="B388" s="110"/>
      <c r="C388" s="110"/>
      <c r="D388" s="122"/>
      <c r="E388" s="110"/>
      <c r="F388" s="128"/>
      <c r="G388" s="122"/>
      <c r="H388" s="131" t="b">
        <f aca="false">FALSE()</f>
        <v>0</v>
      </c>
      <c r="I388" s="131" t="b">
        <f aca="false">FALSE()</f>
        <v>0</v>
      </c>
      <c r="J388" s="130"/>
      <c r="K388" s="110"/>
      <c r="L388" s="83"/>
      <c r="M388" s="103"/>
      <c r="N388" s="103"/>
      <c r="O388" s="103"/>
      <c r="P388" s="103"/>
      <c r="Q388" s="103"/>
      <c r="R388" s="83"/>
      <c r="S388" s="103"/>
      <c r="T388" s="103"/>
      <c r="U388" s="103"/>
    </row>
    <row r="389" customFormat="false" ht="22.5" hidden="false" customHeight="true" outlineLevel="0" collapsed="false">
      <c r="A389" s="99"/>
      <c r="B389" s="99"/>
      <c r="C389" s="99"/>
      <c r="D389" s="121"/>
      <c r="E389" s="99"/>
      <c r="F389" s="124"/>
      <c r="G389" s="121"/>
      <c r="H389" s="132" t="b">
        <f aca="false">FALSE()</f>
        <v>0</v>
      </c>
      <c r="I389" s="132" t="b">
        <f aca="false">FALSE()</f>
        <v>0</v>
      </c>
      <c r="J389" s="126"/>
      <c r="K389" s="99"/>
      <c r="L389" s="83"/>
      <c r="M389" s="103"/>
      <c r="N389" s="103"/>
      <c r="O389" s="103"/>
      <c r="P389" s="103"/>
      <c r="Q389" s="103"/>
      <c r="R389" s="83"/>
      <c r="S389" s="103"/>
      <c r="T389" s="103"/>
      <c r="U389" s="103"/>
    </row>
    <row r="390" customFormat="false" ht="22.5" hidden="false" customHeight="true" outlineLevel="0" collapsed="false">
      <c r="A390" s="110"/>
      <c r="B390" s="110"/>
      <c r="C390" s="110"/>
      <c r="D390" s="122"/>
      <c r="E390" s="110"/>
      <c r="F390" s="128"/>
      <c r="G390" s="122"/>
      <c r="H390" s="131" t="b">
        <f aca="false">FALSE()</f>
        <v>0</v>
      </c>
      <c r="I390" s="131" t="b">
        <f aca="false">FALSE()</f>
        <v>0</v>
      </c>
      <c r="J390" s="130"/>
      <c r="K390" s="110"/>
      <c r="L390" s="83"/>
      <c r="M390" s="103"/>
      <c r="N390" s="103"/>
      <c r="O390" s="103"/>
      <c r="P390" s="103"/>
      <c r="Q390" s="103"/>
      <c r="R390" s="83"/>
      <c r="S390" s="103"/>
      <c r="T390" s="103"/>
      <c r="U390" s="103"/>
    </row>
    <row r="391" customFormat="false" ht="22.5" hidden="false" customHeight="true" outlineLevel="0" collapsed="false">
      <c r="A391" s="99"/>
      <c r="B391" s="99"/>
      <c r="C391" s="99"/>
      <c r="D391" s="121"/>
      <c r="E391" s="99"/>
      <c r="F391" s="124"/>
      <c r="G391" s="121"/>
      <c r="H391" s="132" t="b">
        <f aca="false">FALSE()</f>
        <v>0</v>
      </c>
      <c r="I391" s="132" t="b">
        <f aca="false">FALSE()</f>
        <v>0</v>
      </c>
      <c r="J391" s="126"/>
      <c r="K391" s="99"/>
      <c r="L391" s="83"/>
      <c r="M391" s="103"/>
      <c r="N391" s="103"/>
      <c r="O391" s="103"/>
      <c r="P391" s="103"/>
      <c r="Q391" s="103"/>
      <c r="R391" s="83"/>
      <c r="S391" s="103"/>
      <c r="T391" s="103"/>
      <c r="U391" s="103"/>
    </row>
    <row r="392" customFormat="false" ht="22.5" hidden="false" customHeight="true" outlineLevel="0" collapsed="false">
      <c r="A392" s="110"/>
      <c r="B392" s="110"/>
      <c r="C392" s="110"/>
      <c r="D392" s="122"/>
      <c r="E392" s="110"/>
      <c r="F392" s="128"/>
      <c r="G392" s="122"/>
      <c r="H392" s="131" t="b">
        <f aca="false">FALSE()</f>
        <v>0</v>
      </c>
      <c r="I392" s="131" t="b">
        <f aca="false">FALSE()</f>
        <v>0</v>
      </c>
      <c r="J392" s="130"/>
      <c r="K392" s="110"/>
      <c r="L392" s="83"/>
      <c r="M392" s="103"/>
      <c r="N392" s="103"/>
      <c r="O392" s="103"/>
      <c r="P392" s="103"/>
      <c r="Q392" s="103"/>
      <c r="R392" s="83"/>
      <c r="S392" s="103"/>
      <c r="T392" s="103"/>
      <c r="U392" s="103"/>
    </row>
    <row r="393" customFormat="false" ht="22.5" hidden="false" customHeight="true" outlineLevel="0" collapsed="false">
      <c r="A393" s="99"/>
      <c r="B393" s="99"/>
      <c r="C393" s="99"/>
      <c r="D393" s="121"/>
      <c r="E393" s="99"/>
      <c r="F393" s="124"/>
      <c r="G393" s="121"/>
      <c r="H393" s="132" t="b">
        <f aca="false">FALSE()</f>
        <v>0</v>
      </c>
      <c r="I393" s="132" t="b">
        <f aca="false">FALSE()</f>
        <v>0</v>
      </c>
      <c r="J393" s="126"/>
      <c r="K393" s="99"/>
      <c r="L393" s="83"/>
      <c r="M393" s="103"/>
      <c r="N393" s="103"/>
      <c r="O393" s="103"/>
      <c r="P393" s="103"/>
      <c r="Q393" s="103"/>
      <c r="R393" s="83"/>
      <c r="S393" s="103"/>
      <c r="T393" s="103"/>
      <c r="U393" s="103"/>
    </row>
    <row r="394" customFormat="false" ht="22.5" hidden="false" customHeight="true" outlineLevel="0" collapsed="false">
      <c r="A394" s="110"/>
      <c r="B394" s="110"/>
      <c r="C394" s="110"/>
      <c r="D394" s="122"/>
      <c r="E394" s="110"/>
      <c r="F394" s="128"/>
      <c r="G394" s="122"/>
      <c r="H394" s="131" t="b">
        <f aca="false">FALSE()</f>
        <v>0</v>
      </c>
      <c r="I394" s="131" t="b">
        <f aca="false">FALSE()</f>
        <v>0</v>
      </c>
      <c r="J394" s="130"/>
      <c r="K394" s="110"/>
      <c r="L394" s="83"/>
      <c r="M394" s="103"/>
      <c r="N394" s="103"/>
      <c r="O394" s="103"/>
      <c r="P394" s="103"/>
      <c r="Q394" s="103"/>
      <c r="R394" s="83"/>
      <c r="S394" s="103"/>
      <c r="T394" s="103"/>
      <c r="U394" s="103"/>
    </row>
    <row r="395" customFormat="false" ht="22.5" hidden="false" customHeight="true" outlineLevel="0" collapsed="false">
      <c r="A395" s="99"/>
      <c r="B395" s="99"/>
      <c r="C395" s="99"/>
      <c r="D395" s="121"/>
      <c r="E395" s="99"/>
      <c r="F395" s="124"/>
      <c r="G395" s="121"/>
      <c r="H395" s="132" t="b">
        <f aca="false">FALSE()</f>
        <v>0</v>
      </c>
      <c r="I395" s="132" t="b">
        <f aca="false">FALSE()</f>
        <v>0</v>
      </c>
      <c r="J395" s="126"/>
      <c r="K395" s="99"/>
      <c r="L395" s="83"/>
      <c r="M395" s="103"/>
      <c r="N395" s="103"/>
      <c r="O395" s="103"/>
      <c r="P395" s="103"/>
      <c r="Q395" s="103"/>
      <c r="R395" s="83"/>
      <c r="S395" s="103"/>
      <c r="T395" s="103"/>
      <c r="U395" s="103"/>
    </row>
    <row r="396" customFormat="false" ht="22.5" hidden="false" customHeight="true" outlineLevel="0" collapsed="false">
      <c r="A396" s="110"/>
      <c r="B396" s="110"/>
      <c r="C396" s="110"/>
      <c r="D396" s="122"/>
      <c r="E396" s="110"/>
      <c r="F396" s="128"/>
      <c r="G396" s="122"/>
      <c r="H396" s="131" t="b">
        <f aca="false">FALSE()</f>
        <v>0</v>
      </c>
      <c r="I396" s="131" t="b">
        <f aca="false">FALSE()</f>
        <v>0</v>
      </c>
      <c r="J396" s="130"/>
      <c r="K396" s="110"/>
      <c r="L396" s="83"/>
      <c r="M396" s="103"/>
      <c r="N396" s="103"/>
      <c r="O396" s="103"/>
      <c r="P396" s="103"/>
      <c r="Q396" s="103"/>
      <c r="R396" s="83"/>
      <c r="S396" s="103"/>
      <c r="T396" s="103"/>
      <c r="U396" s="103"/>
    </row>
    <row r="397" customFormat="false" ht="22.5" hidden="false" customHeight="true" outlineLevel="0" collapsed="false">
      <c r="A397" s="99"/>
      <c r="B397" s="99"/>
      <c r="C397" s="99"/>
      <c r="D397" s="121"/>
      <c r="E397" s="99"/>
      <c r="F397" s="124"/>
      <c r="G397" s="121"/>
      <c r="H397" s="132" t="b">
        <f aca="false">FALSE()</f>
        <v>0</v>
      </c>
      <c r="I397" s="132" t="b">
        <f aca="false">FALSE()</f>
        <v>0</v>
      </c>
      <c r="J397" s="126"/>
      <c r="K397" s="99"/>
      <c r="L397" s="83"/>
      <c r="M397" s="103"/>
      <c r="N397" s="103"/>
      <c r="O397" s="103"/>
      <c r="P397" s="103"/>
      <c r="Q397" s="103"/>
      <c r="R397" s="83"/>
      <c r="S397" s="103"/>
      <c r="T397" s="103"/>
      <c r="U397" s="103"/>
    </row>
    <row r="398" customFormat="false" ht="22.5" hidden="false" customHeight="true" outlineLevel="0" collapsed="false">
      <c r="A398" s="110"/>
      <c r="B398" s="110"/>
      <c r="C398" s="110"/>
      <c r="D398" s="122"/>
      <c r="E398" s="110"/>
      <c r="F398" s="128"/>
      <c r="G398" s="122"/>
      <c r="H398" s="131" t="b">
        <f aca="false">FALSE()</f>
        <v>0</v>
      </c>
      <c r="I398" s="131" t="b">
        <f aca="false">FALSE()</f>
        <v>0</v>
      </c>
      <c r="J398" s="130"/>
      <c r="K398" s="110"/>
      <c r="L398" s="83"/>
      <c r="M398" s="103"/>
      <c r="N398" s="103"/>
      <c r="O398" s="103"/>
      <c r="P398" s="103"/>
      <c r="Q398" s="103"/>
      <c r="R398" s="83"/>
      <c r="S398" s="103"/>
      <c r="T398" s="103"/>
      <c r="U398" s="103"/>
    </row>
    <row r="399" customFormat="false" ht="22.5" hidden="false" customHeight="true" outlineLevel="0" collapsed="false">
      <c r="A399" s="99"/>
      <c r="B399" s="99"/>
      <c r="C399" s="99"/>
      <c r="D399" s="121"/>
      <c r="E399" s="99"/>
      <c r="F399" s="124"/>
      <c r="G399" s="121"/>
      <c r="H399" s="132" t="b">
        <f aca="false">FALSE()</f>
        <v>0</v>
      </c>
      <c r="I399" s="132" t="b">
        <f aca="false">FALSE()</f>
        <v>0</v>
      </c>
      <c r="J399" s="126"/>
      <c r="K399" s="99"/>
      <c r="L399" s="83"/>
      <c r="M399" s="103"/>
      <c r="N399" s="103"/>
      <c r="O399" s="103"/>
      <c r="P399" s="103"/>
      <c r="Q399" s="103"/>
      <c r="R399" s="83"/>
      <c r="S399" s="103"/>
      <c r="T399" s="103"/>
      <c r="U399" s="103"/>
    </row>
    <row r="400" customFormat="false" ht="22.5" hidden="false" customHeight="true" outlineLevel="0" collapsed="false">
      <c r="A400" s="110"/>
      <c r="B400" s="110"/>
      <c r="C400" s="110"/>
      <c r="D400" s="122"/>
      <c r="E400" s="110"/>
      <c r="F400" s="128"/>
      <c r="G400" s="122"/>
      <c r="H400" s="131" t="b">
        <f aca="false">FALSE()</f>
        <v>0</v>
      </c>
      <c r="I400" s="131" t="b">
        <f aca="false">FALSE()</f>
        <v>0</v>
      </c>
      <c r="J400" s="130"/>
      <c r="K400" s="110"/>
      <c r="L400" s="83"/>
      <c r="M400" s="103"/>
      <c r="N400" s="103"/>
      <c r="O400" s="103"/>
      <c r="P400" s="103"/>
      <c r="Q400" s="103"/>
      <c r="R400" s="83"/>
      <c r="S400" s="103"/>
      <c r="T400" s="103"/>
      <c r="U400" s="103"/>
    </row>
    <row r="401" customFormat="false" ht="22.5" hidden="false" customHeight="true" outlineLevel="0" collapsed="false">
      <c r="A401" s="99"/>
      <c r="B401" s="99"/>
      <c r="C401" s="99"/>
      <c r="D401" s="121"/>
      <c r="E401" s="99"/>
      <c r="F401" s="124"/>
      <c r="G401" s="121"/>
      <c r="H401" s="132" t="b">
        <f aca="false">FALSE()</f>
        <v>0</v>
      </c>
      <c r="I401" s="132" t="b">
        <f aca="false">FALSE()</f>
        <v>0</v>
      </c>
      <c r="J401" s="126"/>
      <c r="K401" s="99"/>
      <c r="L401" s="83"/>
      <c r="M401" s="103"/>
      <c r="N401" s="103"/>
      <c r="O401" s="103"/>
      <c r="P401" s="103"/>
      <c r="Q401" s="103"/>
      <c r="R401" s="83"/>
      <c r="S401" s="103"/>
      <c r="T401" s="103"/>
      <c r="U401" s="103"/>
    </row>
    <row r="402" customFormat="false" ht="22.5" hidden="false" customHeight="true" outlineLevel="0" collapsed="false">
      <c r="A402" s="110"/>
      <c r="B402" s="110"/>
      <c r="C402" s="110"/>
      <c r="D402" s="122"/>
      <c r="E402" s="110"/>
      <c r="F402" s="128"/>
      <c r="G402" s="122"/>
      <c r="H402" s="131" t="b">
        <f aca="false">FALSE()</f>
        <v>0</v>
      </c>
      <c r="I402" s="131" t="b">
        <f aca="false">FALSE()</f>
        <v>0</v>
      </c>
      <c r="J402" s="130"/>
      <c r="K402" s="110"/>
      <c r="L402" s="83"/>
      <c r="M402" s="103"/>
      <c r="N402" s="103"/>
      <c r="O402" s="103"/>
      <c r="P402" s="103"/>
      <c r="Q402" s="103"/>
      <c r="R402" s="83"/>
      <c r="S402" s="103"/>
      <c r="T402" s="103"/>
      <c r="U402" s="103"/>
    </row>
    <row r="403" customFormat="false" ht="22.5" hidden="false" customHeight="true" outlineLevel="0" collapsed="false">
      <c r="A403" s="99"/>
      <c r="B403" s="99"/>
      <c r="C403" s="99"/>
      <c r="D403" s="121"/>
      <c r="E403" s="99"/>
      <c r="F403" s="124"/>
      <c r="G403" s="121"/>
      <c r="H403" s="132" t="b">
        <f aca="false">FALSE()</f>
        <v>0</v>
      </c>
      <c r="I403" s="132" t="b">
        <f aca="false">FALSE()</f>
        <v>0</v>
      </c>
      <c r="J403" s="126"/>
      <c r="K403" s="99"/>
      <c r="L403" s="83"/>
      <c r="M403" s="103"/>
      <c r="N403" s="103"/>
      <c r="O403" s="103"/>
      <c r="P403" s="103"/>
      <c r="Q403" s="103"/>
      <c r="R403" s="83"/>
      <c r="S403" s="103"/>
      <c r="T403" s="103"/>
      <c r="U403" s="103"/>
    </row>
    <row r="404" customFormat="false" ht="22.5" hidden="false" customHeight="true" outlineLevel="0" collapsed="false">
      <c r="A404" s="110"/>
      <c r="B404" s="110"/>
      <c r="C404" s="110"/>
      <c r="D404" s="122"/>
      <c r="E404" s="110"/>
      <c r="F404" s="128"/>
      <c r="G404" s="122"/>
      <c r="H404" s="131" t="b">
        <f aca="false">FALSE()</f>
        <v>0</v>
      </c>
      <c r="I404" s="131" t="b">
        <f aca="false">FALSE()</f>
        <v>0</v>
      </c>
      <c r="J404" s="130"/>
      <c r="K404" s="110"/>
      <c r="L404" s="83"/>
      <c r="M404" s="103"/>
      <c r="N404" s="103"/>
      <c r="O404" s="103"/>
      <c r="P404" s="103"/>
      <c r="Q404" s="103"/>
      <c r="R404" s="83"/>
      <c r="S404" s="103"/>
      <c r="T404" s="103"/>
      <c r="U404" s="103"/>
    </row>
    <row r="405" customFormat="false" ht="22.5" hidden="false" customHeight="true" outlineLevel="0" collapsed="false">
      <c r="A405" s="99"/>
      <c r="B405" s="99"/>
      <c r="C405" s="99"/>
      <c r="D405" s="121"/>
      <c r="E405" s="99"/>
      <c r="F405" s="124"/>
      <c r="G405" s="121"/>
      <c r="H405" s="132" t="b">
        <f aca="false">FALSE()</f>
        <v>0</v>
      </c>
      <c r="I405" s="132" t="b">
        <f aca="false">FALSE()</f>
        <v>0</v>
      </c>
      <c r="J405" s="126"/>
      <c r="K405" s="99"/>
      <c r="L405" s="83"/>
      <c r="M405" s="103"/>
      <c r="N405" s="103"/>
      <c r="O405" s="103"/>
      <c r="P405" s="103"/>
      <c r="Q405" s="103"/>
      <c r="R405" s="83"/>
      <c r="S405" s="103"/>
      <c r="T405" s="103"/>
      <c r="U405" s="103"/>
    </row>
    <row r="406" customFormat="false" ht="22.5" hidden="false" customHeight="true" outlineLevel="0" collapsed="false">
      <c r="A406" s="110"/>
      <c r="B406" s="110"/>
      <c r="C406" s="110"/>
      <c r="D406" s="122"/>
      <c r="E406" s="110"/>
      <c r="F406" s="128"/>
      <c r="G406" s="122"/>
      <c r="H406" s="131" t="b">
        <f aca="false">FALSE()</f>
        <v>0</v>
      </c>
      <c r="I406" s="131" t="b">
        <f aca="false">FALSE()</f>
        <v>0</v>
      </c>
      <c r="J406" s="130"/>
      <c r="K406" s="110"/>
      <c r="L406" s="83"/>
      <c r="M406" s="103"/>
      <c r="N406" s="103"/>
      <c r="O406" s="103"/>
      <c r="P406" s="103"/>
      <c r="Q406" s="103"/>
      <c r="R406" s="83"/>
      <c r="S406" s="103"/>
      <c r="T406" s="103"/>
      <c r="U406" s="103"/>
    </row>
    <row r="407" customFormat="false" ht="22.5" hidden="false" customHeight="true" outlineLevel="0" collapsed="false">
      <c r="A407" s="99"/>
      <c r="B407" s="99"/>
      <c r="C407" s="99"/>
      <c r="D407" s="121"/>
      <c r="E407" s="99"/>
      <c r="F407" s="124"/>
      <c r="G407" s="121"/>
      <c r="H407" s="132" t="b">
        <f aca="false">FALSE()</f>
        <v>0</v>
      </c>
      <c r="I407" s="132" t="b">
        <f aca="false">FALSE()</f>
        <v>0</v>
      </c>
      <c r="J407" s="126"/>
      <c r="K407" s="99"/>
      <c r="L407" s="83"/>
      <c r="M407" s="103"/>
      <c r="N407" s="103"/>
      <c r="O407" s="103"/>
      <c r="P407" s="103"/>
      <c r="Q407" s="103"/>
      <c r="R407" s="83"/>
      <c r="S407" s="103"/>
      <c r="T407" s="103"/>
      <c r="U407" s="103"/>
    </row>
    <row r="408" customFormat="false" ht="22.5" hidden="false" customHeight="true" outlineLevel="0" collapsed="false">
      <c r="A408" s="110"/>
      <c r="B408" s="110"/>
      <c r="C408" s="110"/>
      <c r="D408" s="122"/>
      <c r="E408" s="110"/>
      <c r="F408" s="128"/>
      <c r="G408" s="122"/>
      <c r="H408" s="131" t="b">
        <f aca="false">FALSE()</f>
        <v>0</v>
      </c>
      <c r="I408" s="131" t="b">
        <f aca="false">FALSE()</f>
        <v>0</v>
      </c>
      <c r="J408" s="130"/>
      <c r="K408" s="110"/>
      <c r="L408" s="83"/>
      <c r="M408" s="103"/>
      <c r="N408" s="103"/>
      <c r="O408" s="103"/>
      <c r="P408" s="103"/>
      <c r="Q408" s="103"/>
      <c r="R408" s="83"/>
      <c r="S408" s="103"/>
      <c r="T408" s="103"/>
      <c r="U408" s="103"/>
    </row>
    <row r="409" customFormat="false" ht="22.5" hidden="false" customHeight="true" outlineLevel="0" collapsed="false">
      <c r="A409" s="99"/>
      <c r="B409" s="99"/>
      <c r="C409" s="99"/>
      <c r="D409" s="121"/>
      <c r="E409" s="99"/>
      <c r="F409" s="124"/>
      <c r="G409" s="121"/>
      <c r="H409" s="132" t="b">
        <f aca="false">FALSE()</f>
        <v>0</v>
      </c>
      <c r="I409" s="132" t="b">
        <f aca="false">FALSE()</f>
        <v>0</v>
      </c>
      <c r="J409" s="126"/>
      <c r="K409" s="99"/>
      <c r="L409" s="83"/>
      <c r="M409" s="103"/>
      <c r="N409" s="103"/>
      <c r="O409" s="103"/>
      <c r="P409" s="103"/>
      <c r="Q409" s="103"/>
      <c r="R409" s="83"/>
      <c r="S409" s="103"/>
      <c r="T409" s="103"/>
      <c r="U409" s="103"/>
    </row>
    <row r="410" customFormat="false" ht="22.5" hidden="false" customHeight="true" outlineLevel="0" collapsed="false">
      <c r="A410" s="110"/>
      <c r="B410" s="110"/>
      <c r="C410" s="110"/>
      <c r="D410" s="122"/>
      <c r="E410" s="110"/>
      <c r="F410" s="128"/>
      <c r="G410" s="122"/>
      <c r="H410" s="131" t="b">
        <f aca="false">FALSE()</f>
        <v>0</v>
      </c>
      <c r="I410" s="131" t="b">
        <f aca="false">FALSE()</f>
        <v>0</v>
      </c>
      <c r="J410" s="130"/>
      <c r="K410" s="110"/>
      <c r="L410" s="83"/>
      <c r="M410" s="103"/>
      <c r="N410" s="103"/>
      <c r="O410" s="103"/>
      <c r="P410" s="103"/>
      <c r="Q410" s="103"/>
      <c r="R410" s="83"/>
      <c r="S410" s="103"/>
      <c r="T410" s="103"/>
      <c r="U410" s="103"/>
    </row>
    <row r="411" customFormat="false" ht="22.5" hidden="false" customHeight="true" outlineLevel="0" collapsed="false">
      <c r="A411" s="99"/>
      <c r="B411" s="99"/>
      <c r="C411" s="99"/>
      <c r="D411" s="121"/>
      <c r="E411" s="99"/>
      <c r="F411" s="124"/>
      <c r="G411" s="121"/>
      <c r="H411" s="132" t="b">
        <f aca="false">FALSE()</f>
        <v>0</v>
      </c>
      <c r="I411" s="132" t="b">
        <f aca="false">FALSE()</f>
        <v>0</v>
      </c>
      <c r="J411" s="126"/>
      <c r="K411" s="99"/>
      <c r="L411" s="83"/>
      <c r="M411" s="103"/>
      <c r="N411" s="103"/>
      <c r="O411" s="103"/>
      <c r="P411" s="103"/>
      <c r="Q411" s="103"/>
      <c r="R411" s="83"/>
      <c r="S411" s="103"/>
      <c r="T411" s="103"/>
      <c r="U411" s="103"/>
    </row>
    <row r="412" customFormat="false" ht="22.5" hidden="false" customHeight="true" outlineLevel="0" collapsed="false">
      <c r="A412" s="110"/>
      <c r="B412" s="110"/>
      <c r="C412" s="110"/>
      <c r="D412" s="122"/>
      <c r="E412" s="110"/>
      <c r="F412" s="128"/>
      <c r="G412" s="122"/>
      <c r="H412" s="131" t="b">
        <f aca="false">FALSE()</f>
        <v>0</v>
      </c>
      <c r="I412" s="131" t="b">
        <f aca="false">FALSE()</f>
        <v>0</v>
      </c>
      <c r="J412" s="130"/>
      <c r="K412" s="110"/>
      <c r="L412" s="83"/>
      <c r="M412" s="103"/>
      <c r="N412" s="103"/>
      <c r="O412" s="103"/>
      <c r="P412" s="103"/>
      <c r="Q412" s="103"/>
      <c r="R412" s="83"/>
      <c r="S412" s="103"/>
      <c r="T412" s="103"/>
      <c r="U412" s="103"/>
    </row>
    <row r="413" customFormat="false" ht="22.5" hidden="false" customHeight="true" outlineLevel="0" collapsed="false">
      <c r="A413" s="99"/>
      <c r="B413" s="99"/>
      <c r="C413" s="99"/>
      <c r="D413" s="121"/>
      <c r="E413" s="99"/>
      <c r="F413" s="124"/>
      <c r="G413" s="121"/>
      <c r="H413" s="132" t="b">
        <f aca="false">FALSE()</f>
        <v>0</v>
      </c>
      <c r="I413" s="132" t="b">
        <f aca="false">FALSE()</f>
        <v>0</v>
      </c>
      <c r="J413" s="126"/>
      <c r="K413" s="99"/>
      <c r="L413" s="83"/>
      <c r="M413" s="103"/>
      <c r="N413" s="103"/>
      <c r="O413" s="103"/>
      <c r="P413" s="103"/>
      <c r="Q413" s="103"/>
      <c r="R413" s="83"/>
      <c r="S413" s="103"/>
      <c r="T413" s="103"/>
      <c r="U413" s="103"/>
    </row>
    <row r="414" customFormat="false" ht="22.5" hidden="false" customHeight="true" outlineLevel="0" collapsed="false">
      <c r="A414" s="110"/>
      <c r="B414" s="110"/>
      <c r="C414" s="110"/>
      <c r="D414" s="122"/>
      <c r="E414" s="110"/>
      <c r="F414" s="128"/>
      <c r="G414" s="122"/>
      <c r="H414" s="131" t="b">
        <f aca="false">FALSE()</f>
        <v>0</v>
      </c>
      <c r="I414" s="131" t="b">
        <f aca="false">FALSE()</f>
        <v>0</v>
      </c>
      <c r="J414" s="130"/>
      <c r="K414" s="110"/>
      <c r="L414" s="83"/>
      <c r="M414" s="103"/>
      <c r="N414" s="103"/>
      <c r="O414" s="103"/>
      <c r="P414" s="103"/>
      <c r="Q414" s="103"/>
      <c r="R414" s="83"/>
      <c r="S414" s="103"/>
      <c r="T414" s="103"/>
      <c r="U414" s="103"/>
    </row>
    <row r="415" customFormat="false" ht="22.5" hidden="false" customHeight="true" outlineLevel="0" collapsed="false">
      <c r="A415" s="99"/>
      <c r="B415" s="99"/>
      <c r="C415" s="99"/>
      <c r="D415" s="121"/>
      <c r="E415" s="99"/>
      <c r="F415" s="124"/>
      <c r="G415" s="121"/>
      <c r="H415" s="132" t="b">
        <f aca="false">FALSE()</f>
        <v>0</v>
      </c>
      <c r="I415" s="132" t="b">
        <f aca="false">FALSE()</f>
        <v>0</v>
      </c>
      <c r="J415" s="126"/>
      <c r="K415" s="99"/>
      <c r="L415" s="83"/>
      <c r="M415" s="103"/>
      <c r="N415" s="103"/>
      <c r="O415" s="103"/>
      <c r="P415" s="103"/>
      <c r="Q415" s="103"/>
      <c r="R415" s="83"/>
      <c r="S415" s="103"/>
      <c r="T415" s="103"/>
      <c r="U415" s="103"/>
    </row>
    <row r="416" customFormat="false" ht="22.5" hidden="false" customHeight="true" outlineLevel="0" collapsed="false">
      <c r="A416" s="110"/>
      <c r="B416" s="110"/>
      <c r="C416" s="110"/>
      <c r="D416" s="122"/>
      <c r="E416" s="110"/>
      <c r="F416" s="128"/>
      <c r="G416" s="122"/>
      <c r="H416" s="131" t="b">
        <f aca="false">FALSE()</f>
        <v>0</v>
      </c>
      <c r="I416" s="131" t="b">
        <f aca="false">FALSE()</f>
        <v>0</v>
      </c>
      <c r="J416" s="130"/>
      <c r="K416" s="110"/>
      <c r="L416" s="83"/>
      <c r="M416" s="103"/>
      <c r="N416" s="103"/>
      <c r="O416" s="103"/>
      <c r="P416" s="103"/>
      <c r="Q416" s="103"/>
      <c r="R416" s="83"/>
      <c r="S416" s="103"/>
      <c r="T416" s="103"/>
      <c r="U416" s="103"/>
    </row>
    <row r="417" customFormat="false" ht="22.5" hidden="false" customHeight="true" outlineLevel="0" collapsed="false">
      <c r="A417" s="99"/>
      <c r="B417" s="99"/>
      <c r="C417" s="99"/>
      <c r="D417" s="121"/>
      <c r="E417" s="99"/>
      <c r="F417" s="124"/>
      <c r="G417" s="121"/>
      <c r="H417" s="132" t="b">
        <f aca="false">FALSE()</f>
        <v>0</v>
      </c>
      <c r="I417" s="132" t="b">
        <f aca="false">FALSE()</f>
        <v>0</v>
      </c>
      <c r="J417" s="126"/>
      <c r="K417" s="99"/>
      <c r="L417" s="83"/>
      <c r="M417" s="103"/>
      <c r="N417" s="103"/>
      <c r="O417" s="103"/>
      <c r="P417" s="103"/>
      <c r="Q417" s="103"/>
      <c r="R417" s="83"/>
      <c r="S417" s="103"/>
      <c r="T417" s="103"/>
      <c r="U417" s="103"/>
    </row>
    <row r="418" customFormat="false" ht="22.5" hidden="false" customHeight="true" outlineLevel="0" collapsed="false">
      <c r="A418" s="110"/>
      <c r="B418" s="110"/>
      <c r="C418" s="110"/>
      <c r="D418" s="122"/>
      <c r="E418" s="110"/>
      <c r="F418" s="128"/>
      <c r="G418" s="122"/>
      <c r="H418" s="131" t="b">
        <f aca="false">FALSE()</f>
        <v>0</v>
      </c>
      <c r="I418" s="131" t="b">
        <f aca="false">FALSE()</f>
        <v>0</v>
      </c>
      <c r="J418" s="130"/>
      <c r="K418" s="110"/>
      <c r="L418" s="83"/>
      <c r="M418" s="103"/>
      <c r="N418" s="103"/>
      <c r="O418" s="103"/>
      <c r="P418" s="103"/>
      <c r="Q418" s="103"/>
      <c r="R418" s="83"/>
      <c r="S418" s="103"/>
      <c r="T418" s="103"/>
      <c r="U418" s="103"/>
    </row>
    <row r="419" customFormat="false" ht="22.5" hidden="false" customHeight="true" outlineLevel="0" collapsed="false">
      <c r="A419" s="99"/>
      <c r="B419" s="99"/>
      <c r="C419" s="99"/>
      <c r="D419" s="121"/>
      <c r="E419" s="99"/>
      <c r="F419" s="124"/>
      <c r="G419" s="121"/>
      <c r="H419" s="132" t="b">
        <f aca="false">FALSE()</f>
        <v>0</v>
      </c>
      <c r="I419" s="132" t="b">
        <f aca="false">FALSE()</f>
        <v>0</v>
      </c>
      <c r="J419" s="126"/>
      <c r="K419" s="99"/>
      <c r="L419" s="83"/>
      <c r="M419" s="103"/>
      <c r="N419" s="103"/>
      <c r="O419" s="103"/>
      <c r="P419" s="103"/>
      <c r="Q419" s="103"/>
      <c r="R419" s="83"/>
      <c r="S419" s="103"/>
      <c r="T419" s="103"/>
      <c r="U419" s="103"/>
    </row>
    <row r="420" customFormat="false" ht="22.5" hidden="false" customHeight="true" outlineLevel="0" collapsed="false">
      <c r="A420" s="110"/>
      <c r="B420" s="110"/>
      <c r="C420" s="110"/>
      <c r="D420" s="122"/>
      <c r="E420" s="110"/>
      <c r="F420" s="128"/>
      <c r="G420" s="122"/>
      <c r="H420" s="131" t="b">
        <f aca="false">FALSE()</f>
        <v>0</v>
      </c>
      <c r="I420" s="131" t="b">
        <f aca="false">FALSE()</f>
        <v>0</v>
      </c>
      <c r="J420" s="130"/>
      <c r="K420" s="110"/>
      <c r="L420" s="83"/>
      <c r="M420" s="103"/>
      <c r="N420" s="103"/>
      <c r="O420" s="103"/>
      <c r="P420" s="103"/>
      <c r="Q420" s="103"/>
      <c r="R420" s="83"/>
      <c r="S420" s="103"/>
      <c r="T420" s="103"/>
      <c r="U420" s="103"/>
    </row>
    <row r="421" customFormat="false" ht="22.5" hidden="false" customHeight="true" outlineLevel="0" collapsed="false">
      <c r="A421" s="99"/>
      <c r="B421" s="99"/>
      <c r="C421" s="99"/>
      <c r="D421" s="121"/>
      <c r="E421" s="99"/>
      <c r="F421" s="124"/>
      <c r="G421" s="121"/>
      <c r="H421" s="132" t="b">
        <f aca="false">FALSE()</f>
        <v>0</v>
      </c>
      <c r="I421" s="132" t="b">
        <f aca="false">FALSE()</f>
        <v>0</v>
      </c>
      <c r="J421" s="126"/>
      <c r="K421" s="99"/>
      <c r="L421" s="83"/>
      <c r="M421" s="103"/>
      <c r="N421" s="103"/>
      <c r="O421" s="103"/>
      <c r="P421" s="103"/>
      <c r="Q421" s="103"/>
      <c r="R421" s="83"/>
      <c r="S421" s="103"/>
      <c r="T421" s="103"/>
      <c r="U421" s="103"/>
    </row>
    <row r="422" customFormat="false" ht="22.5" hidden="false" customHeight="true" outlineLevel="0" collapsed="false">
      <c r="A422" s="110"/>
      <c r="B422" s="110"/>
      <c r="C422" s="110"/>
      <c r="D422" s="122"/>
      <c r="E422" s="110"/>
      <c r="F422" s="128"/>
      <c r="G422" s="122"/>
      <c r="H422" s="131" t="b">
        <f aca="false">FALSE()</f>
        <v>0</v>
      </c>
      <c r="I422" s="131" t="b">
        <f aca="false">FALSE()</f>
        <v>0</v>
      </c>
      <c r="J422" s="130"/>
      <c r="K422" s="110"/>
      <c r="L422" s="83"/>
      <c r="M422" s="103"/>
      <c r="N422" s="103"/>
      <c r="O422" s="103"/>
      <c r="P422" s="103"/>
      <c r="Q422" s="103"/>
      <c r="R422" s="83"/>
      <c r="S422" s="103"/>
      <c r="T422" s="103"/>
      <c r="U422" s="103"/>
    </row>
    <row r="423" customFormat="false" ht="22.5" hidden="false" customHeight="true" outlineLevel="0" collapsed="false">
      <c r="A423" s="99"/>
      <c r="B423" s="99"/>
      <c r="C423" s="99"/>
      <c r="D423" s="121"/>
      <c r="E423" s="99"/>
      <c r="F423" s="124"/>
      <c r="G423" s="121"/>
      <c r="H423" s="132" t="b">
        <f aca="false">FALSE()</f>
        <v>0</v>
      </c>
      <c r="I423" s="132" t="b">
        <f aca="false">FALSE()</f>
        <v>0</v>
      </c>
      <c r="J423" s="126"/>
      <c r="K423" s="99"/>
      <c r="L423" s="83"/>
      <c r="M423" s="103"/>
      <c r="N423" s="103"/>
      <c r="O423" s="103"/>
      <c r="P423" s="103"/>
      <c r="Q423" s="103"/>
      <c r="R423" s="83"/>
      <c r="S423" s="103"/>
      <c r="T423" s="103"/>
      <c r="U423" s="103"/>
    </row>
    <row r="424" customFormat="false" ht="22.5" hidden="false" customHeight="true" outlineLevel="0" collapsed="false">
      <c r="A424" s="110"/>
      <c r="B424" s="110"/>
      <c r="C424" s="110"/>
      <c r="D424" s="122"/>
      <c r="E424" s="110"/>
      <c r="F424" s="128"/>
      <c r="G424" s="122"/>
      <c r="H424" s="131" t="b">
        <f aca="false">FALSE()</f>
        <v>0</v>
      </c>
      <c r="I424" s="131" t="b">
        <f aca="false">FALSE()</f>
        <v>0</v>
      </c>
      <c r="J424" s="130"/>
      <c r="K424" s="110"/>
      <c r="L424" s="83"/>
      <c r="M424" s="103"/>
      <c r="N424" s="103"/>
      <c r="O424" s="103"/>
      <c r="P424" s="103"/>
      <c r="Q424" s="103"/>
      <c r="R424" s="83"/>
      <c r="S424" s="103"/>
      <c r="T424" s="103"/>
      <c r="U424" s="103"/>
    </row>
    <row r="425" customFormat="false" ht="22.5" hidden="false" customHeight="true" outlineLevel="0" collapsed="false">
      <c r="A425" s="99"/>
      <c r="B425" s="99"/>
      <c r="C425" s="99"/>
      <c r="D425" s="121"/>
      <c r="E425" s="99"/>
      <c r="F425" s="124"/>
      <c r="G425" s="121"/>
      <c r="H425" s="132" t="b">
        <f aca="false">FALSE()</f>
        <v>0</v>
      </c>
      <c r="I425" s="132" t="b">
        <f aca="false">FALSE()</f>
        <v>0</v>
      </c>
      <c r="J425" s="126"/>
      <c r="K425" s="99"/>
      <c r="L425" s="83"/>
      <c r="M425" s="103"/>
      <c r="N425" s="103"/>
      <c r="O425" s="103"/>
      <c r="P425" s="103"/>
      <c r="Q425" s="103"/>
      <c r="R425" s="83"/>
      <c r="S425" s="103"/>
      <c r="T425" s="103"/>
      <c r="U425" s="103"/>
    </row>
    <row r="426" customFormat="false" ht="22.5" hidden="false" customHeight="true" outlineLevel="0" collapsed="false">
      <c r="A426" s="110"/>
      <c r="B426" s="110"/>
      <c r="C426" s="110"/>
      <c r="D426" s="122"/>
      <c r="E426" s="110"/>
      <c r="F426" s="128"/>
      <c r="G426" s="122"/>
      <c r="H426" s="131" t="b">
        <f aca="false">FALSE()</f>
        <v>0</v>
      </c>
      <c r="I426" s="131" t="b">
        <f aca="false">FALSE()</f>
        <v>0</v>
      </c>
      <c r="J426" s="130"/>
      <c r="K426" s="110"/>
      <c r="L426" s="83"/>
      <c r="M426" s="103"/>
      <c r="N426" s="103"/>
      <c r="O426" s="103"/>
      <c r="P426" s="103"/>
      <c r="Q426" s="103"/>
      <c r="R426" s="83"/>
      <c r="S426" s="103"/>
      <c r="T426" s="103"/>
      <c r="U426" s="103"/>
    </row>
    <row r="427" customFormat="false" ht="22.5" hidden="false" customHeight="true" outlineLevel="0" collapsed="false">
      <c r="A427" s="99"/>
      <c r="B427" s="99"/>
      <c r="C427" s="99"/>
      <c r="D427" s="121"/>
      <c r="E427" s="99"/>
      <c r="F427" s="124"/>
      <c r="G427" s="121"/>
      <c r="H427" s="132" t="b">
        <f aca="false">FALSE()</f>
        <v>0</v>
      </c>
      <c r="I427" s="132" t="b">
        <f aca="false">FALSE()</f>
        <v>0</v>
      </c>
      <c r="J427" s="126"/>
      <c r="K427" s="99"/>
      <c r="L427" s="83"/>
      <c r="M427" s="103"/>
      <c r="N427" s="103"/>
      <c r="O427" s="103"/>
      <c r="P427" s="103"/>
      <c r="Q427" s="103"/>
      <c r="R427" s="83"/>
      <c r="S427" s="103"/>
      <c r="T427" s="103"/>
      <c r="U427" s="103"/>
    </row>
    <row r="428" customFormat="false" ht="22.5" hidden="false" customHeight="true" outlineLevel="0" collapsed="false">
      <c r="A428" s="110"/>
      <c r="B428" s="110"/>
      <c r="C428" s="110"/>
      <c r="D428" s="122"/>
      <c r="E428" s="110"/>
      <c r="F428" s="128"/>
      <c r="G428" s="122"/>
      <c r="H428" s="131" t="b">
        <f aca="false">FALSE()</f>
        <v>0</v>
      </c>
      <c r="I428" s="131" t="b">
        <f aca="false">FALSE()</f>
        <v>0</v>
      </c>
      <c r="J428" s="130"/>
      <c r="K428" s="110"/>
      <c r="L428" s="83"/>
      <c r="M428" s="103"/>
      <c r="N428" s="103"/>
      <c r="O428" s="103"/>
      <c r="P428" s="103"/>
      <c r="Q428" s="103"/>
      <c r="R428" s="83"/>
      <c r="S428" s="103"/>
      <c r="T428" s="103"/>
      <c r="U428" s="103"/>
    </row>
    <row r="429" customFormat="false" ht="22.5" hidden="false" customHeight="true" outlineLevel="0" collapsed="false">
      <c r="A429" s="99"/>
      <c r="B429" s="99"/>
      <c r="C429" s="99"/>
      <c r="D429" s="121"/>
      <c r="E429" s="99"/>
      <c r="F429" s="124"/>
      <c r="G429" s="121"/>
      <c r="H429" s="132" t="b">
        <f aca="false">FALSE()</f>
        <v>0</v>
      </c>
      <c r="I429" s="132" t="b">
        <f aca="false">FALSE()</f>
        <v>0</v>
      </c>
      <c r="J429" s="126"/>
      <c r="K429" s="99"/>
      <c r="L429" s="83"/>
      <c r="M429" s="103"/>
      <c r="N429" s="103"/>
      <c r="O429" s="103"/>
      <c r="P429" s="103"/>
      <c r="Q429" s="103"/>
      <c r="R429" s="83"/>
      <c r="S429" s="103"/>
      <c r="T429" s="103"/>
      <c r="U429" s="103"/>
    </row>
    <row r="430" customFormat="false" ht="22.5" hidden="false" customHeight="true" outlineLevel="0" collapsed="false">
      <c r="A430" s="110"/>
      <c r="B430" s="110"/>
      <c r="C430" s="110"/>
      <c r="D430" s="122"/>
      <c r="E430" s="110"/>
      <c r="F430" s="128"/>
      <c r="G430" s="122"/>
      <c r="H430" s="131" t="b">
        <f aca="false">FALSE()</f>
        <v>0</v>
      </c>
      <c r="I430" s="131" t="b">
        <f aca="false">FALSE()</f>
        <v>0</v>
      </c>
      <c r="J430" s="130"/>
      <c r="K430" s="110"/>
      <c r="L430" s="83"/>
      <c r="M430" s="103"/>
      <c r="N430" s="103"/>
      <c r="O430" s="103"/>
      <c r="P430" s="103"/>
      <c r="Q430" s="103"/>
      <c r="R430" s="83"/>
      <c r="S430" s="103"/>
      <c r="T430" s="103"/>
      <c r="U430" s="103"/>
    </row>
    <row r="431" customFormat="false" ht="22.5" hidden="false" customHeight="true" outlineLevel="0" collapsed="false">
      <c r="A431" s="99"/>
      <c r="B431" s="99"/>
      <c r="C431" s="99"/>
      <c r="D431" s="121"/>
      <c r="E431" s="99"/>
      <c r="F431" s="124"/>
      <c r="G431" s="121"/>
      <c r="H431" s="132" t="b">
        <f aca="false">FALSE()</f>
        <v>0</v>
      </c>
      <c r="I431" s="132" t="b">
        <f aca="false">FALSE()</f>
        <v>0</v>
      </c>
      <c r="J431" s="126"/>
      <c r="K431" s="99"/>
      <c r="L431" s="83"/>
      <c r="M431" s="103"/>
      <c r="N431" s="103"/>
      <c r="O431" s="103"/>
      <c r="P431" s="103"/>
      <c r="Q431" s="103"/>
      <c r="R431" s="83"/>
      <c r="S431" s="103"/>
      <c r="T431" s="103"/>
      <c r="U431" s="103"/>
    </row>
    <row r="432" customFormat="false" ht="22.5" hidden="false" customHeight="true" outlineLevel="0" collapsed="false">
      <c r="A432" s="110"/>
      <c r="B432" s="110"/>
      <c r="C432" s="110"/>
      <c r="D432" s="122"/>
      <c r="E432" s="110"/>
      <c r="F432" s="128"/>
      <c r="G432" s="122"/>
      <c r="H432" s="131" t="b">
        <f aca="false">FALSE()</f>
        <v>0</v>
      </c>
      <c r="I432" s="131" t="b">
        <f aca="false">FALSE()</f>
        <v>0</v>
      </c>
      <c r="J432" s="130"/>
      <c r="K432" s="110"/>
      <c r="L432" s="83"/>
      <c r="M432" s="103"/>
      <c r="N432" s="103"/>
      <c r="O432" s="103"/>
      <c r="P432" s="103"/>
      <c r="Q432" s="103"/>
      <c r="R432" s="83"/>
      <c r="S432" s="103"/>
      <c r="T432" s="103"/>
      <c r="U432" s="103"/>
    </row>
    <row r="433" customFormat="false" ht="22.5" hidden="false" customHeight="true" outlineLevel="0" collapsed="false">
      <c r="A433" s="99"/>
      <c r="B433" s="99"/>
      <c r="C433" s="99"/>
      <c r="D433" s="121"/>
      <c r="E433" s="99"/>
      <c r="F433" s="124"/>
      <c r="G433" s="121"/>
      <c r="H433" s="132" t="b">
        <f aca="false">FALSE()</f>
        <v>0</v>
      </c>
      <c r="I433" s="132" t="b">
        <f aca="false">FALSE()</f>
        <v>0</v>
      </c>
      <c r="J433" s="126"/>
      <c r="K433" s="99"/>
      <c r="L433" s="83"/>
      <c r="M433" s="103"/>
      <c r="N433" s="103"/>
      <c r="O433" s="103"/>
      <c r="P433" s="103"/>
      <c r="Q433" s="103"/>
      <c r="R433" s="83"/>
      <c r="S433" s="103"/>
      <c r="T433" s="103"/>
      <c r="U433" s="103"/>
    </row>
    <row r="434" customFormat="false" ht="22.5" hidden="false" customHeight="true" outlineLevel="0" collapsed="false">
      <c r="A434" s="110"/>
      <c r="B434" s="110"/>
      <c r="C434" s="110"/>
      <c r="D434" s="122"/>
      <c r="E434" s="110"/>
      <c r="F434" s="128"/>
      <c r="G434" s="122"/>
      <c r="H434" s="131" t="b">
        <f aca="false">FALSE()</f>
        <v>0</v>
      </c>
      <c r="I434" s="131" t="b">
        <f aca="false">FALSE()</f>
        <v>0</v>
      </c>
      <c r="J434" s="130"/>
      <c r="K434" s="110"/>
      <c r="L434" s="83"/>
      <c r="M434" s="103"/>
      <c r="N434" s="103"/>
      <c r="O434" s="103"/>
      <c r="P434" s="103"/>
      <c r="Q434" s="103"/>
      <c r="R434" s="83"/>
      <c r="S434" s="103"/>
      <c r="T434" s="103"/>
      <c r="U434" s="103"/>
    </row>
    <row r="435" customFormat="false" ht="22.5" hidden="false" customHeight="true" outlineLevel="0" collapsed="false">
      <c r="A435" s="99"/>
      <c r="B435" s="99"/>
      <c r="C435" s="99"/>
      <c r="D435" s="121"/>
      <c r="E435" s="99"/>
      <c r="F435" s="124"/>
      <c r="G435" s="121"/>
      <c r="H435" s="132" t="b">
        <f aca="false">FALSE()</f>
        <v>0</v>
      </c>
      <c r="I435" s="132" t="b">
        <f aca="false">FALSE()</f>
        <v>0</v>
      </c>
      <c r="J435" s="126"/>
      <c r="K435" s="99"/>
      <c r="L435" s="83"/>
      <c r="M435" s="103"/>
      <c r="N435" s="103"/>
      <c r="O435" s="103"/>
      <c r="P435" s="103"/>
      <c r="Q435" s="103"/>
      <c r="R435" s="83"/>
      <c r="S435" s="103"/>
      <c r="T435" s="103"/>
      <c r="U435" s="103"/>
    </row>
    <row r="436" customFormat="false" ht="22.5" hidden="false" customHeight="true" outlineLevel="0" collapsed="false">
      <c r="A436" s="110"/>
      <c r="B436" s="110"/>
      <c r="C436" s="110"/>
      <c r="D436" s="122"/>
      <c r="E436" s="110"/>
      <c r="F436" s="128"/>
      <c r="G436" s="122"/>
      <c r="H436" s="131" t="b">
        <f aca="false">FALSE()</f>
        <v>0</v>
      </c>
      <c r="I436" s="131" t="b">
        <f aca="false">FALSE()</f>
        <v>0</v>
      </c>
      <c r="J436" s="130"/>
      <c r="K436" s="110"/>
      <c r="L436" s="83"/>
      <c r="M436" s="103"/>
      <c r="N436" s="103"/>
      <c r="O436" s="103"/>
      <c r="P436" s="103"/>
      <c r="Q436" s="103"/>
      <c r="R436" s="83"/>
      <c r="S436" s="103"/>
      <c r="T436" s="103"/>
      <c r="U436" s="103"/>
    </row>
    <row r="437" customFormat="false" ht="22.5" hidden="false" customHeight="true" outlineLevel="0" collapsed="false">
      <c r="A437" s="99"/>
      <c r="B437" s="99"/>
      <c r="C437" s="99"/>
      <c r="D437" s="121"/>
      <c r="E437" s="99"/>
      <c r="F437" s="124"/>
      <c r="G437" s="121"/>
      <c r="H437" s="132" t="b">
        <f aca="false">FALSE()</f>
        <v>0</v>
      </c>
      <c r="I437" s="132" t="b">
        <f aca="false">FALSE()</f>
        <v>0</v>
      </c>
      <c r="J437" s="126"/>
      <c r="K437" s="99"/>
      <c r="L437" s="83"/>
      <c r="M437" s="103"/>
      <c r="N437" s="103"/>
      <c r="O437" s="103"/>
      <c r="P437" s="103"/>
      <c r="Q437" s="103"/>
      <c r="R437" s="83"/>
      <c r="S437" s="103"/>
      <c r="T437" s="103"/>
      <c r="U437" s="103"/>
    </row>
    <row r="438" customFormat="false" ht="22.5" hidden="false" customHeight="true" outlineLevel="0" collapsed="false">
      <c r="A438" s="110"/>
      <c r="B438" s="110"/>
      <c r="C438" s="110"/>
      <c r="D438" s="122"/>
      <c r="E438" s="110"/>
      <c r="F438" s="128"/>
      <c r="G438" s="122"/>
      <c r="H438" s="131" t="b">
        <f aca="false">FALSE()</f>
        <v>0</v>
      </c>
      <c r="I438" s="131" t="b">
        <f aca="false">FALSE()</f>
        <v>0</v>
      </c>
      <c r="J438" s="130"/>
      <c r="K438" s="110"/>
      <c r="L438" s="83"/>
      <c r="M438" s="103"/>
      <c r="N438" s="103"/>
      <c r="O438" s="103"/>
      <c r="P438" s="103"/>
      <c r="Q438" s="103"/>
      <c r="R438" s="83"/>
      <c r="S438" s="103"/>
      <c r="T438" s="103"/>
      <c r="U438" s="103"/>
    </row>
    <row r="439" customFormat="false" ht="22.5" hidden="false" customHeight="true" outlineLevel="0" collapsed="false">
      <c r="A439" s="99"/>
      <c r="B439" s="99"/>
      <c r="C439" s="99"/>
      <c r="D439" s="121"/>
      <c r="E439" s="99"/>
      <c r="F439" s="124"/>
      <c r="G439" s="121"/>
      <c r="H439" s="132" t="b">
        <f aca="false">FALSE()</f>
        <v>0</v>
      </c>
      <c r="I439" s="132" t="b">
        <f aca="false">FALSE()</f>
        <v>0</v>
      </c>
      <c r="J439" s="126"/>
      <c r="K439" s="99"/>
      <c r="L439" s="83"/>
      <c r="M439" s="103"/>
      <c r="N439" s="103"/>
      <c r="O439" s="103"/>
      <c r="P439" s="103"/>
      <c r="Q439" s="103"/>
      <c r="R439" s="83"/>
      <c r="S439" s="103"/>
      <c r="T439" s="103"/>
      <c r="U439" s="103"/>
    </row>
    <row r="440" customFormat="false" ht="22.5" hidden="false" customHeight="true" outlineLevel="0" collapsed="false">
      <c r="A440" s="110"/>
      <c r="B440" s="110"/>
      <c r="C440" s="110"/>
      <c r="D440" s="122"/>
      <c r="E440" s="110"/>
      <c r="F440" s="128"/>
      <c r="G440" s="122"/>
      <c r="H440" s="131" t="b">
        <f aca="false">FALSE()</f>
        <v>0</v>
      </c>
      <c r="I440" s="131" t="b">
        <f aca="false">FALSE()</f>
        <v>0</v>
      </c>
      <c r="J440" s="130"/>
      <c r="K440" s="110"/>
      <c r="L440" s="83"/>
      <c r="M440" s="103"/>
      <c r="N440" s="103"/>
      <c r="O440" s="103"/>
      <c r="P440" s="103"/>
      <c r="Q440" s="103"/>
      <c r="R440" s="83"/>
      <c r="S440" s="103"/>
      <c r="T440" s="103"/>
      <c r="U440" s="103"/>
    </row>
    <row r="441" customFormat="false" ht="22.5" hidden="false" customHeight="true" outlineLevel="0" collapsed="false">
      <c r="A441" s="99"/>
      <c r="B441" s="99"/>
      <c r="C441" s="99"/>
      <c r="D441" s="121"/>
      <c r="E441" s="99"/>
      <c r="F441" s="124"/>
      <c r="G441" s="121"/>
      <c r="H441" s="132" t="b">
        <f aca="false">FALSE()</f>
        <v>0</v>
      </c>
      <c r="I441" s="132" t="b">
        <f aca="false">FALSE()</f>
        <v>0</v>
      </c>
      <c r="J441" s="126"/>
      <c r="K441" s="99"/>
      <c r="L441" s="83"/>
      <c r="M441" s="103"/>
      <c r="N441" s="103"/>
      <c r="O441" s="103"/>
      <c r="P441" s="103"/>
      <c r="Q441" s="103"/>
      <c r="R441" s="83"/>
      <c r="S441" s="103"/>
      <c r="T441" s="103"/>
      <c r="U441" s="103"/>
    </row>
    <row r="442" customFormat="false" ht="22.5" hidden="false" customHeight="true" outlineLevel="0" collapsed="false">
      <c r="A442" s="110"/>
      <c r="B442" s="110"/>
      <c r="C442" s="110"/>
      <c r="D442" s="122"/>
      <c r="E442" s="110"/>
      <c r="F442" s="128"/>
      <c r="G442" s="122"/>
      <c r="H442" s="131" t="b">
        <f aca="false">FALSE()</f>
        <v>0</v>
      </c>
      <c r="I442" s="131" t="b">
        <f aca="false">FALSE()</f>
        <v>0</v>
      </c>
      <c r="J442" s="130"/>
      <c r="K442" s="110"/>
      <c r="L442" s="83"/>
      <c r="M442" s="103"/>
      <c r="N442" s="103"/>
      <c r="O442" s="103"/>
      <c r="P442" s="103"/>
      <c r="Q442" s="103"/>
      <c r="R442" s="83"/>
      <c r="S442" s="103"/>
      <c r="T442" s="103"/>
      <c r="U442" s="103"/>
    </row>
    <row r="443" customFormat="false" ht="22.5" hidden="false" customHeight="true" outlineLevel="0" collapsed="false">
      <c r="A443" s="99"/>
      <c r="B443" s="99"/>
      <c r="C443" s="99"/>
      <c r="D443" s="121"/>
      <c r="E443" s="99"/>
      <c r="F443" s="124"/>
      <c r="G443" s="121"/>
      <c r="H443" s="132" t="b">
        <f aca="false">FALSE()</f>
        <v>0</v>
      </c>
      <c r="I443" s="132" t="b">
        <f aca="false">FALSE()</f>
        <v>0</v>
      </c>
      <c r="J443" s="126"/>
      <c r="K443" s="99"/>
      <c r="L443" s="83"/>
      <c r="M443" s="103"/>
      <c r="N443" s="103"/>
      <c r="O443" s="103"/>
      <c r="P443" s="103"/>
      <c r="Q443" s="103"/>
      <c r="R443" s="83"/>
      <c r="S443" s="103"/>
      <c r="T443" s="103"/>
      <c r="U443" s="103"/>
    </row>
    <row r="444" customFormat="false" ht="22.5" hidden="false" customHeight="true" outlineLevel="0" collapsed="false">
      <c r="A444" s="110"/>
      <c r="B444" s="110"/>
      <c r="C444" s="110"/>
      <c r="D444" s="122"/>
      <c r="E444" s="110"/>
      <c r="F444" s="128"/>
      <c r="G444" s="122"/>
      <c r="H444" s="131" t="b">
        <f aca="false">FALSE()</f>
        <v>0</v>
      </c>
      <c r="I444" s="131" t="b">
        <f aca="false">FALSE()</f>
        <v>0</v>
      </c>
      <c r="J444" s="130"/>
      <c r="K444" s="110"/>
      <c r="L444" s="83"/>
      <c r="M444" s="103"/>
      <c r="N444" s="103"/>
      <c r="O444" s="103"/>
      <c r="P444" s="103"/>
      <c r="Q444" s="103"/>
      <c r="R444" s="83"/>
      <c r="S444" s="103"/>
      <c r="T444" s="103"/>
      <c r="U444" s="103"/>
    </row>
    <row r="445" customFormat="false" ht="22.5" hidden="false" customHeight="true" outlineLevel="0" collapsed="false">
      <c r="A445" s="99"/>
      <c r="B445" s="99"/>
      <c r="C445" s="99"/>
      <c r="D445" s="121"/>
      <c r="E445" s="99"/>
      <c r="F445" s="124"/>
      <c r="G445" s="121"/>
      <c r="H445" s="132" t="b">
        <f aca="false">FALSE()</f>
        <v>0</v>
      </c>
      <c r="I445" s="132" t="b">
        <f aca="false">FALSE()</f>
        <v>0</v>
      </c>
      <c r="J445" s="126"/>
      <c r="K445" s="99"/>
      <c r="L445" s="83"/>
      <c r="M445" s="103"/>
      <c r="N445" s="103"/>
      <c r="O445" s="103"/>
      <c r="P445" s="103"/>
      <c r="Q445" s="103"/>
      <c r="R445" s="83"/>
      <c r="S445" s="103"/>
      <c r="T445" s="103"/>
      <c r="U445" s="103"/>
    </row>
    <row r="446" customFormat="false" ht="22.5" hidden="false" customHeight="true" outlineLevel="0" collapsed="false">
      <c r="A446" s="110"/>
      <c r="B446" s="110"/>
      <c r="C446" s="110"/>
      <c r="D446" s="122"/>
      <c r="E446" s="110"/>
      <c r="F446" s="128"/>
      <c r="G446" s="122"/>
      <c r="H446" s="131" t="b">
        <f aca="false">FALSE()</f>
        <v>0</v>
      </c>
      <c r="I446" s="131" t="b">
        <f aca="false">FALSE()</f>
        <v>0</v>
      </c>
      <c r="J446" s="130"/>
      <c r="K446" s="110"/>
      <c r="L446" s="83"/>
      <c r="M446" s="103"/>
      <c r="N446" s="103"/>
      <c r="O446" s="103"/>
      <c r="P446" s="103"/>
      <c r="Q446" s="103"/>
      <c r="R446" s="83"/>
      <c r="S446" s="103"/>
      <c r="T446" s="103"/>
      <c r="U446" s="103"/>
    </row>
    <row r="447" customFormat="false" ht="22.5" hidden="false" customHeight="true" outlineLevel="0" collapsed="false">
      <c r="A447" s="99"/>
      <c r="B447" s="99"/>
      <c r="C447" s="99"/>
      <c r="D447" s="121"/>
      <c r="E447" s="99"/>
      <c r="F447" s="124"/>
      <c r="G447" s="121"/>
      <c r="H447" s="132" t="b">
        <f aca="false">FALSE()</f>
        <v>0</v>
      </c>
      <c r="I447" s="132" t="b">
        <f aca="false">FALSE()</f>
        <v>0</v>
      </c>
      <c r="J447" s="126"/>
      <c r="K447" s="99"/>
      <c r="L447" s="83"/>
      <c r="M447" s="103"/>
      <c r="N447" s="103"/>
      <c r="O447" s="103"/>
      <c r="P447" s="103"/>
      <c r="Q447" s="103"/>
      <c r="R447" s="83"/>
      <c r="S447" s="103"/>
      <c r="T447" s="103"/>
      <c r="U447" s="103"/>
    </row>
    <row r="448" customFormat="false" ht="22.5" hidden="false" customHeight="true" outlineLevel="0" collapsed="false">
      <c r="A448" s="110"/>
      <c r="B448" s="110"/>
      <c r="C448" s="110"/>
      <c r="D448" s="122"/>
      <c r="E448" s="110"/>
      <c r="F448" s="128"/>
      <c r="G448" s="122"/>
      <c r="H448" s="131" t="b">
        <f aca="false">FALSE()</f>
        <v>0</v>
      </c>
      <c r="I448" s="131" t="b">
        <f aca="false">FALSE()</f>
        <v>0</v>
      </c>
      <c r="J448" s="130"/>
      <c r="K448" s="110"/>
      <c r="L448" s="83"/>
      <c r="M448" s="103"/>
      <c r="N448" s="103"/>
      <c r="O448" s="103"/>
      <c r="P448" s="103"/>
      <c r="Q448" s="103"/>
      <c r="R448" s="83"/>
      <c r="S448" s="103"/>
      <c r="T448" s="103"/>
      <c r="U448" s="103"/>
    </row>
    <row r="449" customFormat="false" ht="22.5" hidden="false" customHeight="true" outlineLevel="0" collapsed="false">
      <c r="A449" s="99"/>
      <c r="B449" s="99"/>
      <c r="C449" s="99"/>
      <c r="D449" s="121"/>
      <c r="E449" s="99"/>
      <c r="F449" s="124"/>
      <c r="G449" s="121"/>
      <c r="H449" s="132" t="b">
        <f aca="false">FALSE()</f>
        <v>0</v>
      </c>
      <c r="I449" s="132" t="b">
        <f aca="false">FALSE()</f>
        <v>0</v>
      </c>
      <c r="J449" s="126"/>
      <c r="K449" s="99"/>
      <c r="L449" s="83"/>
      <c r="M449" s="103"/>
      <c r="N449" s="103"/>
      <c r="O449" s="103"/>
      <c r="P449" s="103"/>
      <c r="Q449" s="103"/>
      <c r="R449" s="83"/>
      <c r="S449" s="103"/>
      <c r="T449" s="103"/>
      <c r="U449" s="103"/>
    </row>
    <row r="450" customFormat="false" ht="22.5" hidden="false" customHeight="true" outlineLevel="0" collapsed="false">
      <c r="A450" s="110"/>
      <c r="B450" s="110"/>
      <c r="C450" s="110"/>
      <c r="D450" s="122"/>
      <c r="E450" s="110"/>
      <c r="F450" s="128"/>
      <c r="G450" s="122"/>
      <c r="H450" s="131" t="b">
        <f aca="false">FALSE()</f>
        <v>0</v>
      </c>
      <c r="I450" s="131" t="b">
        <f aca="false">FALSE()</f>
        <v>0</v>
      </c>
      <c r="J450" s="130"/>
      <c r="K450" s="110"/>
      <c r="L450" s="83"/>
      <c r="M450" s="103"/>
      <c r="N450" s="103"/>
      <c r="O450" s="103"/>
      <c r="P450" s="103"/>
      <c r="Q450" s="103"/>
      <c r="R450" s="83"/>
      <c r="S450" s="103"/>
      <c r="T450" s="103"/>
      <c r="U450" s="103"/>
    </row>
    <row r="451" customFormat="false" ht="22.5" hidden="false" customHeight="true" outlineLevel="0" collapsed="false">
      <c r="A451" s="99"/>
      <c r="B451" s="99"/>
      <c r="C451" s="99"/>
      <c r="D451" s="121"/>
      <c r="E451" s="99"/>
      <c r="F451" s="124"/>
      <c r="G451" s="121"/>
      <c r="H451" s="132" t="b">
        <f aca="false">FALSE()</f>
        <v>0</v>
      </c>
      <c r="I451" s="132" t="b">
        <f aca="false">FALSE()</f>
        <v>0</v>
      </c>
      <c r="J451" s="126"/>
      <c r="K451" s="99"/>
      <c r="L451" s="83"/>
      <c r="M451" s="103"/>
      <c r="N451" s="103"/>
      <c r="O451" s="103"/>
      <c r="P451" s="103"/>
      <c r="Q451" s="103"/>
      <c r="R451" s="83"/>
      <c r="S451" s="103"/>
      <c r="T451" s="103"/>
      <c r="U451" s="103"/>
    </row>
    <row r="452" customFormat="false" ht="22.5" hidden="false" customHeight="true" outlineLevel="0" collapsed="false">
      <c r="A452" s="110"/>
      <c r="B452" s="110"/>
      <c r="C452" s="110"/>
      <c r="D452" s="122"/>
      <c r="E452" s="110"/>
      <c r="F452" s="128"/>
      <c r="G452" s="122"/>
      <c r="H452" s="131" t="b">
        <f aca="false">FALSE()</f>
        <v>0</v>
      </c>
      <c r="I452" s="131" t="b">
        <f aca="false">FALSE()</f>
        <v>0</v>
      </c>
      <c r="J452" s="130"/>
      <c r="K452" s="110"/>
      <c r="L452" s="83"/>
      <c r="M452" s="103"/>
      <c r="N452" s="103"/>
      <c r="O452" s="103"/>
      <c r="P452" s="103"/>
      <c r="Q452" s="103"/>
      <c r="R452" s="83"/>
      <c r="S452" s="103"/>
      <c r="T452" s="103"/>
      <c r="U452" s="103"/>
    </row>
    <row r="453" customFormat="false" ht="22.5" hidden="false" customHeight="true" outlineLevel="0" collapsed="false">
      <c r="A453" s="99"/>
      <c r="B453" s="99"/>
      <c r="C453" s="99"/>
      <c r="D453" s="121"/>
      <c r="E453" s="99"/>
      <c r="F453" s="124"/>
      <c r="G453" s="121"/>
      <c r="H453" s="132" t="b">
        <f aca="false">FALSE()</f>
        <v>0</v>
      </c>
      <c r="I453" s="132" t="b">
        <f aca="false">FALSE()</f>
        <v>0</v>
      </c>
      <c r="J453" s="126"/>
      <c r="K453" s="99"/>
      <c r="L453" s="83"/>
      <c r="M453" s="103"/>
      <c r="N453" s="103"/>
      <c r="O453" s="103"/>
      <c r="P453" s="103"/>
      <c r="Q453" s="103"/>
      <c r="R453" s="83"/>
      <c r="S453" s="103"/>
      <c r="T453" s="103"/>
      <c r="U453" s="103"/>
    </row>
    <row r="454" customFormat="false" ht="22.5" hidden="false" customHeight="true" outlineLevel="0" collapsed="false">
      <c r="A454" s="110"/>
      <c r="B454" s="110"/>
      <c r="C454" s="110"/>
      <c r="D454" s="122"/>
      <c r="E454" s="110"/>
      <c r="F454" s="128"/>
      <c r="G454" s="122"/>
      <c r="H454" s="131" t="b">
        <f aca="false">FALSE()</f>
        <v>0</v>
      </c>
      <c r="I454" s="131" t="b">
        <f aca="false">FALSE()</f>
        <v>0</v>
      </c>
      <c r="J454" s="130"/>
      <c r="K454" s="110"/>
      <c r="L454" s="83"/>
      <c r="M454" s="103"/>
      <c r="N454" s="103"/>
      <c r="O454" s="103"/>
      <c r="P454" s="103"/>
      <c r="Q454" s="103"/>
      <c r="R454" s="83"/>
      <c r="S454" s="103"/>
      <c r="T454" s="103"/>
      <c r="U454" s="103"/>
    </row>
    <row r="455" customFormat="false" ht="22.5" hidden="false" customHeight="true" outlineLevel="0" collapsed="false">
      <c r="A455" s="99"/>
      <c r="B455" s="99"/>
      <c r="C455" s="99"/>
      <c r="D455" s="121"/>
      <c r="E455" s="99"/>
      <c r="F455" s="124"/>
      <c r="G455" s="121"/>
      <c r="H455" s="132" t="b">
        <f aca="false">FALSE()</f>
        <v>0</v>
      </c>
      <c r="I455" s="132" t="b">
        <f aca="false">FALSE()</f>
        <v>0</v>
      </c>
      <c r="J455" s="126"/>
      <c r="K455" s="99"/>
      <c r="L455" s="83"/>
      <c r="M455" s="103"/>
      <c r="N455" s="103"/>
      <c r="O455" s="103"/>
      <c r="P455" s="103"/>
      <c r="Q455" s="103"/>
      <c r="R455" s="83"/>
      <c r="S455" s="103"/>
      <c r="T455" s="103"/>
      <c r="U455" s="103"/>
    </row>
    <row r="456" customFormat="false" ht="22.5" hidden="false" customHeight="true" outlineLevel="0" collapsed="false">
      <c r="A456" s="110"/>
      <c r="B456" s="110"/>
      <c r="C456" s="110"/>
      <c r="D456" s="122"/>
      <c r="E456" s="110"/>
      <c r="F456" s="128"/>
      <c r="G456" s="122"/>
      <c r="H456" s="131" t="b">
        <f aca="false">FALSE()</f>
        <v>0</v>
      </c>
      <c r="I456" s="131" t="b">
        <f aca="false">FALSE()</f>
        <v>0</v>
      </c>
      <c r="J456" s="130"/>
      <c r="K456" s="110"/>
      <c r="L456" s="83"/>
      <c r="M456" s="103"/>
      <c r="N456" s="103"/>
      <c r="O456" s="103"/>
      <c r="P456" s="103"/>
      <c r="Q456" s="103"/>
      <c r="R456" s="83"/>
      <c r="S456" s="103"/>
      <c r="T456" s="103"/>
      <c r="U456" s="103"/>
    </row>
    <row r="457" customFormat="false" ht="22.5" hidden="false" customHeight="true" outlineLevel="0" collapsed="false">
      <c r="A457" s="99"/>
      <c r="B457" s="99"/>
      <c r="C457" s="99"/>
      <c r="D457" s="121"/>
      <c r="E457" s="99"/>
      <c r="F457" s="124"/>
      <c r="G457" s="121"/>
      <c r="H457" s="132" t="b">
        <f aca="false">FALSE()</f>
        <v>0</v>
      </c>
      <c r="I457" s="132" t="b">
        <f aca="false">FALSE()</f>
        <v>0</v>
      </c>
      <c r="J457" s="126"/>
      <c r="K457" s="99"/>
      <c r="L457" s="83"/>
      <c r="M457" s="103"/>
      <c r="N457" s="103"/>
      <c r="O457" s="103"/>
      <c r="P457" s="103"/>
      <c r="Q457" s="103"/>
      <c r="R457" s="83"/>
      <c r="S457" s="103"/>
      <c r="T457" s="103"/>
      <c r="U457" s="103"/>
    </row>
    <row r="458" customFormat="false" ht="22.5" hidden="false" customHeight="true" outlineLevel="0" collapsed="false">
      <c r="A458" s="110"/>
      <c r="B458" s="110"/>
      <c r="C458" s="110"/>
      <c r="D458" s="122"/>
      <c r="E458" s="110"/>
      <c r="F458" s="128"/>
      <c r="G458" s="122"/>
      <c r="H458" s="131" t="b">
        <f aca="false">FALSE()</f>
        <v>0</v>
      </c>
      <c r="I458" s="131" t="b">
        <f aca="false">FALSE()</f>
        <v>0</v>
      </c>
      <c r="J458" s="130"/>
      <c r="K458" s="110"/>
      <c r="L458" s="83"/>
      <c r="M458" s="103"/>
      <c r="N458" s="103"/>
      <c r="O458" s="103"/>
      <c r="P458" s="103"/>
      <c r="Q458" s="103"/>
      <c r="R458" s="83"/>
      <c r="S458" s="103"/>
      <c r="T458" s="103"/>
      <c r="U458" s="103"/>
    </row>
    <row r="459" customFormat="false" ht="22.5" hidden="false" customHeight="true" outlineLevel="0" collapsed="false">
      <c r="A459" s="99"/>
      <c r="B459" s="99"/>
      <c r="C459" s="99"/>
      <c r="D459" s="121"/>
      <c r="E459" s="99"/>
      <c r="F459" s="124"/>
      <c r="G459" s="121"/>
      <c r="H459" s="132" t="b">
        <f aca="false">FALSE()</f>
        <v>0</v>
      </c>
      <c r="I459" s="132" t="b">
        <f aca="false">FALSE()</f>
        <v>0</v>
      </c>
      <c r="J459" s="126"/>
      <c r="K459" s="99"/>
      <c r="L459" s="83"/>
      <c r="M459" s="103"/>
      <c r="N459" s="103"/>
      <c r="O459" s="103"/>
      <c r="P459" s="103"/>
      <c r="Q459" s="103"/>
      <c r="R459" s="83"/>
      <c r="S459" s="103"/>
      <c r="T459" s="103"/>
      <c r="U459" s="103"/>
    </row>
    <row r="460" customFormat="false" ht="22.5" hidden="false" customHeight="true" outlineLevel="0" collapsed="false">
      <c r="A460" s="110"/>
      <c r="B460" s="110"/>
      <c r="C460" s="110"/>
      <c r="D460" s="122"/>
      <c r="E460" s="110"/>
      <c r="F460" s="128"/>
      <c r="G460" s="122"/>
      <c r="H460" s="131" t="b">
        <f aca="false">FALSE()</f>
        <v>0</v>
      </c>
      <c r="I460" s="131" t="b">
        <f aca="false">FALSE()</f>
        <v>0</v>
      </c>
      <c r="J460" s="130"/>
      <c r="K460" s="110"/>
      <c r="L460" s="83"/>
      <c r="M460" s="103"/>
      <c r="N460" s="103"/>
      <c r="O460" s="103"/>
      <c r="P460" s="103"/>
      <c r="Q460" s="103"/>
      <c r="R460" s="83"/>
      <c r="S460" s="103"/>
      <c r="T460" s="103"/>
      <c r="U460" s="103"/>
    </row>
    <row r="461" customFormat="false" ht="22.5" hidden="false" customHeight="true" outlineLevel="0" collapsed="false">
      <c r="A461" s="99"/>
      <c r="B461" s="99"/>
      <c r="C461" s="99"/>
      <c r="D461" s="121"/>
      <c r="E461" s="99"/>
      <c r="F461" s="124"/>
      <c r="G461" s="121"/>
      <c r="H461" s="132" t="b">
        <f aca="false">FALSE()</f>
        <v>0</v>
      </c>
      <c r="I461" s="132" t="b">
        <f aca="false">FALSE()</f>
        <v>0</v>
      </c>
      <c r="J461" s="126"/>
      <c r="K461" s="99"/>
      <c r="L461" s="83"/>
      <c r="M461" s="103"/>
      <c r="N461" s="103"/>
      <c r="O461" s="103"/>
      <c r="P461" s="103"/>
      <c r="Q461" s="103"/>
      <c r="R461" s="83"/>
      <c r="S461" s="103"/>
      <c r="T461" s="103"/>
      <c r="U461" s="103"/>
    </row>
    <row r="462" customFormat="false" ht="22.5" hidden="false" customHeight="true" outlineLevel="0" collapsed="false">
      <c r="A462" s="110"/>
      <c r="B462" s="110"/>
      <c r="C462" s="110"/>
      <c r="D462" s="122"/>
      <c r="E462" s="110"/>
      <c r="F462" s="128"/>
      <c r="G462" s="122"/>
      <c r="H462" s="131" t="b">
        <f aca="false">FALSE()</f>
        <v>0</v>
      </c>
      <c r="I462" s="131" t="b">
        <f aca="false">FALSE()</f>
        <v>0</v>
      </c>
      <c r="J462" s="130"/>
      <c r="K462" s="110"/>
      <c r="L462" s="83"/>
      <c r="M462" s="103"/>
      <c r="N462" s="103"/>
      <c r="O462" s="103"/>
      <c r="P462" s="103"/>
      <c r="Q462" s="103"/>
      <c r="R462" s="83"/>
      <c r="S462" s="103"/>
      <c r="T462" s="103"/>
      <c r="U462" s="103"/>
    </row>
    <row r="463" customFormat="false" ht="22.5" hidden="false" customHeight="true" outlineLevel="0" collapsed="false">
      <c r="A463" s="99"/>
      <c r="B463" s="99"/>
      <c r="C463" s="99"/>
      <c r="D463" s="121"/>
      <c r="E463" s="99"/>
      <c r="F463" s="124"/>
      <c r="G463" s="121"/>
      <c r="H463" s="132" t="b">
        <f aca="false">FALSE()</f>
        <v>0</v>
      </c>
      <c r="I463" s="132" t="b">
        <f aca="false">FALSE()</f>
        <v>0</v>
      </c>
      <c r="J463" s="126"/>
      <c r="K463" s="99"/>
      <c r="L463" s="83"/>
      <c r="M463" s="103"/>
      <c r="N463" s="103"/>
      <c r="O463" s="103"/>
      <c r="P463" s="103"/>
      <c r="Q463" s="103"/>
      <c r="R463" s="83"/>
      <c r="S463" s="103"/>
      <c r="T463" s="103"/>
      <c r="U463" s="103"/>
    </row>
    <row r="464" customFormat="false" ht="22.5" hidden="false" customHeight="true" outlineLevel="0" collapsed="false">
      <c r="A464" s="110"/>
      <c r="B464" s="110"/>
      <c r="C464" s="110"/>
      <c r="D464" s="122"/>
      <c r="E464" s="110"/>
      <c r="F464" s="128"/>
      <c r="G464" s="122"/>
      <c r="H464" s="131" t="b">
        <f aca="false">FALSE()</f>
        <v>0</v>
      </c>
      <c r="I464" s="131" t="b">
        <f aca="false">FALSE()</f>
        <v>0</v>
      </c>
      <c r="J464" s="130"/>
      <c r="K464" s="110"/>
      <c r="L464" s="83"/>
      <c r="M464" s="103"/>
      <c r="N464" s="103"/>
      <c r="O464" s="103"/>
      <c r="P464" s="103"/>
      <c r="Q464" s="103"/>
      <c r="R464" s="83"/>
      <c r="S464" s="103"/>
      <c r="T464" s="103"/>
      <c r="U464" s="103"/>
    </row>
    <row r="465" customFormat="false" ht="22.5" hidden="false" customHeight="true" outlineLevel="0" collapsed="false">
      <c r="A465" s="99"/>
      <c r="B465" s="99"/>
      <c r="C465" s="99"/>
      <c r="D465" s="121"/>
      <c r="E465" s="99"/>
      <c r="F465" s="124"/>
      <c r="G465" s="121"/>
      <c r="H465" s="132" t="b">
        <f aca="false">FALSE()</f>
        <v>0</v>
      </c>
      <c r="I465" s="132" t="b">
        <f aca="false">FALSE()</f>
        <v>0</v>
      </c>
      <c r="J465" s="126"/>
      <c r="K465" s="99"/>
      <c r="L465" s="83"/>
      <c r="M465" s="103"/>
      <c r="N465" s="103"/>
      <c r="O465" s="103"/>
      <c r="P465" s="103"/>
      <c r="Q465" s="103"/>
      <c r="R465" s="83"/>
      <c r="S465" s="103"/>
      <c r="T465" s="103"/>
      <c r="U465" s="103"/>
    </row>
    <row r="466" customFormat="false" ht="22.5" hidden="false" customHeight="true" outlineLevel="0" collapsed="false">
      <c r="A466" s="110"/>
      <c r="B466" s="110"/>
      <c r="C466" s="110"/>
      <c r="D466" s="122"/>
      <c r="E466" s="110"/>
      <c r="F466" s="128"/>
      <c r="G466" s="122"/>
      <c r="H466" s="131" t="b">
        <f aca="false">FALSE()</f>
        <v>0</v>
      </c>
      <c r="I466" s="131" t="b">
        <f aca="false">FALSE()</f>
        <v>0</v>
      </c>
      <c r="J466" s="130"/>
      <c r="K466" s="110"/>
      <c r="L466" s="83"/>
      <c r="M466" s="103"/>
      <c r="N466" s="103"/>
      <c r="O466" s="103"/>
      <c r="P466" s="103"/>
      <c r="Q466" s="103"/>
      <c r="R466" s="83"/>
      <c r="S466" s="103"/>
      <c r="T466" s="103"/>
      <c r="U466" s="103"/>
    </row>
    <row r="467" customFormat="false" ht="22.5" hidden="false" customHeight="true" outlineLevel="0" collapsed="false">
      <c r="A467" s="99"/>
      <c r="B467" s="99"/>
      <c r="C467" s="99"/>
      <c r="D467" s="121"/>
      <c r="E467" s="99"/>
      <c r="F467" s="124"/>
      <c r="G467" s="121"/>
      <c r="H467" s="132" t="b">
        <f aca="false">FALSE()</f>
        <v>0</v>
      </c>
      <c r="I467" s="132" t="b">
        <f aca="false">FALSE()</f>
        <v>0</v>
      </c>
      <c r="J467" s="126"/>
      <c r="K467" s="99"/>
      <c r="L467" s="83"/>
      <c r="M467" s="103"/>
      <c r="N467" s="103"/>
      <c r="O467" s="103"/>
      <c r="P467" s="103"/>
      <c r="Q467" s="103"/>
      <c r="R467" s="83"/>
      <c r="S467" s="103"/>
      <c r="T467" s="103"/>
      <c r="U467" s="103"/>
    </row>
    <row r="468" customFormat="false" ht="22.5" hidden="false" customHeight="true" outlineLevel="0" collapsed="false">
      <c r="A468" s="110"/>
      <c r="B468" s="110"/>
      <c r="C468" s="110"/>
      <c r="D468" s="122"/>
      <c r="E468" s="110"/>
      <c r="F468" s="128"/>
      <c r="G468" s="122"/>
      <c r="H468" s="131" t="b">
        <f aca="false">FALSE()</f>
        <v>0</v>
      </c>
      <c r="I468" s="131" t="b">
        <f aca="false">FALSE()</f>
        <v>0</v>
      </c>
      <c r="J468" s="130"/>
      <c r="K468" s="110"/>
      <c r="L468" s="83"/>
      <c r="M468" s="103"/>
      <c r="N468" s="103"/>
      <c r="O468" s="103"/>
      <c r="P468" s="103"/>
      <c r="Q468" s="103"/>
      <c r="R468" s="83"/>
      <c r="S468" s="103"/>
      <c r="T468" s="103"/>
      <c r="U468" s="103"/>
    </row>
    <row r="469" customFormat="false" ht="22.5" hidden="false" customHeight="true" outlineLevel="0" collapsed="false">
      <c r="A469" s="99"/>
      <c r="B469" s="99"/>
      <c r="C469" s="99"/>
      <c r="D469" s="121"/>
      <c r="E469" s="99"/>
      <c r="F469" s="124"/>
      <c r="G469" s="121"/>
      <c r="H469" s="132" t="b">
        <f aca="false">FALSE()</f>
        <v>0</v>
      </c>
      <c r="I469" s="132" t="b">
        <f aca="false">FALSE()</f>
        <v>0</v>
      </c>
      <c r="J469" s="126"/>
      <c r="K469" s="99"/>
      <c r="L469" s="83"/>
      <c r="M469" s="103"/>
      <c r="N469" s="103"/>
      <c r="O469" s="103"/>
      <c r="P469" s="103"/>
      <c r="Q469" s="103"/>
      <c r="R469" s="83"/>
      <c r="S469" s="103"/>
      <c r="T469" s="103"/>
      <c r="U469" s="103"/>
    </row>
    <row r="470" customFormat="false" ht="22.5" hidden="false" customHeight="true" outlineLevel="0" collapsed="false">
      <c r="A470" s="110"/>
      <c r="B470" s="110"/>
      <c r="C470" s="110"/>
      <c r="D470" s="122"/>
      <c r="E470" s="110"/>
      <c r="F470" s="128"/>
      <c r="G470" s="122"/>
      <c r="H470" s="131" t="b">
        <f aca="false">FALSE()</f>
        <v>0</v>
      </c>
      <c r="I470" s="131" t="b">
        <f aca="false">FALSE()</f>
        <v>0</v>
      </c>
      <c r="J470" s="130"/>
      <c r="K470" s="110"/>
      <c r="L470" s="83"/>
      <c r="M470" s="103"/>
      <c r="N470" s="103"/>
      <c r="O470" s="103"/>
      <c r="P470" s="103"/>
      <c r="Q470" s="103"/>
      <c r="R470" s="83"/>
      <c r="S470" s="103"/>
      <c r="T470" s="103"/>
      <c r="U470" s="103"/>
    </row>
    <row r="471" customFormat="false" ht="22.5" hidden="false" customHeight="true" outlineLevel="0" collapsed="false">
      <c r="A471" s="99"/>
      <c r="B471" s="99"/>
      <c r="C471" s="99"/>
      <c r="D471" s="121"/>
      <c r="E471" s="99"/>
      <c r="F471" s="124"/>
      <c r="G471" s="121"/>
      <c r="H471" s="132" t="b">
        <f aca="false">FALSE()</f>
        <v>0</v>
      </c>
      <c r="I471" s="132" t="b">
        <f aca="false">FALSE()</f>
        <v>0</v>
      </c>
      <c r="J471" s="126"/>
      <c r="K471" s="99"/>
      <c r="L471" s="83"/>
      <c r="M471" s="103"/>
      <c r="N471" s="103"/>
      <c r="O471" s="103"/>
      <c r="P471" s="103"/>
      <c r="Q471" s="103"/>
      <c r="R471" s="83"/>
      <c r="S471" s="103"/>
      <c r="T471" s="103"/>
      <c r="U471" s="103"/>
    </row>
    <row r="472" customFormat="false" ht="22.5" hidden="false" customHeight="true" outlineLevel="0" collapsed="false">
      <c r="A472" s="110"/>
      <c r="B472" s="110"/>
      <c r="C472" s="110"/>
      <c r="D472" s="122"/>
      <c r="E472" s="110"/>
      <c r="F472" s="128"/>
      <c r="G472" s="122"/>
      <c r="H472" s="131" t="b">
        <f aca="false">FALSE()</f>
        <v>0</v>
      </c>
      <c r="I472" s="131" t="b">
        <f aca="false">FALSE()</f>
        <v>0</v>
      </c>
      <c r="J472" s="130"/>
      <c r="K472" s="110"/>
      <c r="L472" s="83"/>
      <c r="M472" s="103"/>
      <c r="N472" s="103"/>
      <c r="O472" s="103"/>
      <c r="P472" s="103"/>
      <c r="Q472" s="103"/>
      <c r="R472" s="83"/>
      <c r="S472" s="103"/>
      <c r="T472" s="103"/>
      <c r="U472" s="103"/>
    </row>
    <row r="473" customFormat="false" ht="22.5" hidden="false" customHeight="true" outlineLevel="0" collapsed="false">
      <c r="A473" s="99"/>
      <c r="B473" s="99"/>
      <c r="C473" s="99"/>
      <c r="D473" s="121"/>
      <c r="E473" s="99"/>
      <c r="F473" s="124"/>
      <c r="G473" s="121"/>
      <c r="H473" s="132" t="b">
        <f aca="false">FALSE()</f>
        <v>0</v>
      </c>
      <c r="I473" s="132" t="b">
        <f aca="false">FALSE()</f>
        <v>0</v>
      </c>
      <c r="J473" s="126"/>
      <c r="K473" s="99"/>
      <c r="L473" s="83"/>
      <c r="M473" s="103"/>
      <c r="N473" s="103"/>
      <c r="O473" s="103"/>
      <c r="P473" s="103"/>
      <c r="Q473" s="103"/>
      <c r="R473" s="83"/>
      <c r="S473" s="103"/>
      <c r="T473" s="103"/>
      <c r="U473" s="103"/>
    </row>
    <row r="474" customFormat="false" ht="22.5" hidden="false" customHeight="true" outlineLevel="0" collapsed="false">
      <c r="A474" s="110"/>
      <c r="B474" s="110"/>
      <c r="C474" s="110"/>
      <c r="D474" s="122"/>
      <c r="E474" s="110"/>
      <c r="F474" s="128"/>
      <c r="G474" s="122"/>
      <c r="H474" s="131" t="b">
        <f aca="false">FALSE()</f>
        <v>0</v>
      </c>
      <c r="I474" s="131" t="b">
        <f aca="false">FALSE()</f>
        <v>0</v>
      </c>
      <c r="J474" s="130"/>
      <c r="K474" s="110"/>
      <c r="L474" s="83"/>
      <c r="M474" s="103"/>
      <c r="N474" s="103"/>
      <c r="O474" s="103"/>
      <c r="P474" s="103"/>
      <c r="Q474" s="103"/>
      <c r="R474" s="83"/>
      <c r="S474" s="103"/>
      <c r="T474" s="103"/>
      <c r="U474" s="103"/>
    </row>
    <row r="475" customFormat="false" ht="22.5" hidden="false" customHeight="true" outlineLevel="0" collapsed="false">
      <c r="A475" s="99"/>
      <c r="B475" s="99"/>
      <c r="C475" s="99"/>
      <c r="D475" s="121"/>
      <c r="E475" s="99"/>
      <c r="F475" s="124"/>
      <c r="G475" s="121"/>
      <c r="H475" s="132" t="b">
        <f aca="false">FALSE()</f>
        <v>0</v>
      </c>
      <c r="I475" s="132" t="b">
        <f aca="false">FALSE()</f>
        <v>0</v>
      </c>
      <c r="J475" s="126"/>
      <c r="K475" s="99"/>
      <c r="L475" s="83"/>
      <c r="M475" s="103"/>
      <c r="N475" s="103"/>
      <c r="O475" s="103"/>
      <c r="P475" s="103"/>
      <c r="Q475" s="103"/>
      <c r="R475" s="83"/>
      <c r="S475" s="103"/>
      <c r="T475" s="103"/>
      <c r="U475" s="103"/>
    </row>
    <row r="476" customFormat="false" ht="22.5" hidden="false" customHeight="true" outlineLevel="0" collapsed="false">
      <c r="A476" s="110"/>
      <c r="B476" s="110"/>
      <c r="C476" s="110"/>
      <c r="D476" s="122"/>
      <c r="E476" s="110"/>
      <c r="F476" s="128"/>
      <c r="G476" s="122"/>
      <c r="H476" s="131" t="b">
        <f aca="false">FALSE()</f>
        <v>0</v>
      </c>
      <c r="I476" s="131" t="b">
        <f aca="false">FALSE()</f>
        <v>0</v>
      </c>
      <c r="J476" s="130"/>
      <c r="K476" s="110"/>
      <c r="L476" s="83"/>
      <c r="M476" s="103"/>
      <c r="N476" s="103"/>
      <c r="O476" s="103"/>
      <c r="P476" s="103"/>
      <c r="Q476" s="103"/>
      <c r="R476" s="83"/>
      <c r="S476" s="103"/>
      <c r="T476" s="103"/>
      <c r="U476" s="103"/>
    </row>
    <row r="477" customFormat="false" ht="22.5" hidden="false" customHeight="true" outlineLevel="0" collapsed="false">
      <c r="A477" s="99"/>
      <c r="B477" s="99"/>
      <c r="C477" s="99"/>
      <c r="D477" s="121"/>
      <c r="E477" s="99"/>
      <c r="F477" s="124"/>
      <c r="G477" s="121"/>
      <c r="H477" s="132" t="b">
        <f aca="false">FALSE()</f>
        <v>0</v>
      </c>
      <c r="I477" s="132" t="b">
        <f aca="false">FALSE()</f>
        <v>0</v>
      </c>
      <c r="J477" s="126"/>
      <c r="K477" s="99"/>
      <c r="L477" s="83"/>
      <c r="M477" s="103"/>
      <c r="N477" s="103"/>
      <c r="O477" s="103"/>
      <c r="P477" s="103"/>
      <c r="Q477" s="103"/>
      <c r="R477" s="83"/>
      <c r="S477" s="103"/>
      <c r="T477" s="103"/>
      <c r="U477" s="103"/>
    </row>
    <row r="478" customFormat="false" ht="22.5" hidden="false" customHeight="true" outlineLevel="0" collapsed="false">
      <c r="A478" s="110"/>
      <c r="B478" s="110"/>
      <c r="C478" s="110"/>
      <c r="D478" s="122"/>
      <c r="E478" s="110"/>
      <c r="F478" s="128"/>
      <c r="G478" s="122"/>
      <c r="H478" s="131" t="b">
        <f aca="false">FALSE()</f>
        <v>0</v>
      </c>
      <c r="I478" s="131" t="b">
        <f aca="false">FALSE()</f>
        <v>0</v>
      </c>
      <c r="J478" s="130"/>
      <c r="K478" s="110"/>
      <c r="L478" s="83"/>
      <c r="M478" s="103"/>
      <c r="N478" s="103"/>
      <c r="O478" s="103"/>
      <c r="P478" s="103"/>
      <c r="Q478" s="103"/>
      <c r="R478" s="83"/>
      <c r="S478" s="103"/>
      <c r="T478" s="103"/>
      <c r="U478" s="103"/>
    </row>
    <row r="479" customFormat="false" ht="22.5" hidden="false" customHeight="true" outlineLevel="0" collapsed="false">
      <c r="A479" s="99"/>
      <c r="B479" s="99"/>
      <c r="C479" s="99"/>
      <c r="D479" s="121"/>
      <c r="E479" s="99"/>
      <c r="F479" s="124"/>
      <c r="G479" s="121"/>
      <c r="H479" s="132" t="b">
        <f aca="false">FALSE()</f>
        <v>0</v>
      </c>
      <c r="I479" s="132" t="b">
        <f aca="false">FALSE()</f>
        <v>0</v>
      </c>
      <c r="J479" s="126"/>
      <c r="K479" s="99"/>
      <c r="L479" s="83"/>
      <c r="M479" s="103"/>
      <c r="N479" s="103"/>
      <c r="O479" s="103"/>
      <c r="P479" s="103"/>
      <c r="Q479" s="103"/>
      <c r="R479" s="83"/>
      <c r="S479" s="103"/>
      <c r="T479" s="103"/>
      <c r="U479" s="103"/>
    </row>
    <row r="480" customFormat="false" ht="22.5" hidden="false" customHeight="true" outlineLevel="0" collapsed="false">
      <c r="A480" s="110"/>
      <c r="B480" s="110"/>
      <c r="C480" s="110"/>
      <c r="D480" s="122"/>
      <c r="E480" s="110"/>
      <c r="F480" s="128"/>
      <c r="G480" s="122"/>
      <c r="H480" s="131" t="b">
        <f aca="false">FALSE()</f>
        <v>0</v>
      </c>
      <c r="I480" s="131" t="b">
        <f aca="false">FALSE()</f>
        <v>0</v>
      </c>
      <c r="J480" s="130"/>
      <c r="K480" s="110"/>
      <c r="L480" s="83"/>
      <c r="M480" s="103"/>
      <c r="N480" s="103"/>
      <c r="O480" s="103"/>
      <c r="P480" s="103"/>
      <c r="Q480" s="103"/>
      <c r="R480" s="83"/>
      <c r="S480" s="103"/>
      <c r="T480" s="103"/>
      <c r="U480" s="103"/>
    </row>
    <row r="481" customFormat="false" ht="22.5" hidden="false" customHeight="true" outlineLevel="0" collapsed="false">
      <c r="A481" s="99"/>
      <c r="B481" s="99"/>
      <c r="C481" s="99"/>
      <c r="D481" s="121"/>
      <c r="E481" s="99"/>
      <c r="F481" s="124"/>
      <c r="G481" s="121"/>
      <c r="H481" s="132" t="b">
        <f aca="false">FALSE()</f>
        <v>0</v>
      </c>
      <c r="I481" s="132" t="b">
        <f aca="false">FALSE()</f>
        <v>0</v>
      </c>
      <c r="J481" s="126"/>
      <c r="K481" s="99"/>
      <c r="L481" s="83"/>
      <c r="M481" s="103"/>
      <c r="N481" s="103"/>
      <c r="O481" s="103"/>
      <c r="P481" s="103"/>
      <c r="Q481" s="103"/>
      <c r="R481" s="83"/>
      <c r="S481" s="103"/>
      <c r="T481" s="103"/>
      <c r="U481" s="103"/>
    </row>
    <row r="482" customFormat="false" ht="22.5" hidden="false" customHeight="true" outlineLevel="0" collapsed="false">
      <c r="A482" s="110"/>
      <c r="B482" s="110"/>
      <c r="C482" s="110"/>
      <c r="D482" s="122"/>
      <c r="E482" s="110"/>
      <c r="F482" s="128"/>
      <c r="G482" s="122"/>
      <c r="H482" s="131" t="b">
        <f aca="false">FALSE()</f>
        <v>0</v>
      </c>
      <c r="I482" s="131" t="b">
        <f aca="false">FALSE()</f>
        <v>0</v>
      </c>
      <c r="J482" s="130"/>
      <c r="K482" s="110"/>
      <c r="L482" s="83"/>
      <c r="M482" s="103"/>
      <c r="N482" s="103"/>
      <c r="O482" s="103"/>
      <c r="P482" s="103"/>
      <c r="Q482" s="103"/>
      <c r="R482" s="83"/>
      <c r="S482" s="103"/>
      <c r="T482" s="103"/>
      <c r="U482" s="103"/>
    </row>
    <row r="483" customFormat="false" ht="22.5" hidden="false" customHeight="true" outlineLevel="0" collapsed="false">
      <c r="A483" s="99"/>
      <c r="B483" s="99"/>
      <c r="C483" s="99"/>
      <c r="D483" s="121"/>
      <c r="E483" s="99"/>
      <c r="F483" s="124"/>
      <c r="G483" s="121"/>
      <c r="H483" s="132" t="b">
        <f aca="false">FALSE()</f>
        <v>0</v>
      </c>
      <c r="I483" s="132" t="b">
        <f aca="false">FALSE()</f>
        <v>0</v>
      </c>
      <c r="J483" s="126"/>
      <c r="K483" s="99"/>
      <c r="L483" s="83"/>
      <c r="M483" s="103"/>
      <c r="N483" s="103"/>
      <c r="O483" s="103"/>
      <c r="P483" s="103"/>
      <c r="Q483" s="103"/>
      <c r="R483" s="83"/>
      <c r="S483" s="103"/>
      <c r="T483" s="103"/>
      <c r="U483" s="103"/>
    </row>
    <row r="484" customFormat="false" ht="22.5" hidden="false" customHeight="true" outlineLevel="0" collapsed="false">
      <c r="A484" s="110"/>
      <c r="B484" s="110"/>
      <c r="C484" s="110"/>
      <c r="D484" s="122"/>
      <c r="E484" s="110"/>
      <c r="F484" s="128"/>
      <c r="G484" s="122"/>
      <c r="H484" s="131" t="b">
        <f aca="false">FALSE()</f>
        <v>0</v>
      </c>
      <c r="I484" s="131" t="b">
        <f aca="false">FALSE()</f>
        <v>0</v>
      </c>
      <c r="J484" s="130"/>
      <c r="K484" s="110"/>
      <c r="L484" s="83"/>
      <c r="M484" s="103"/>
      <c r="N484" s="103"/>
      <c r="O484" s="103"/>
      <c r="P484" s="103"/>
      <c r="Q484" s="103"/>
      <c r="R484" s="83"/>
      <c r="S484" s="103"/>
      <c r="T484" s="103"/>
      <c r="U484" s="103"/>
    </row>
    <row r="485" customFormat="false" ht="22.5" hidden="false" customHeight="true" outlineLevel="0" collapsed="false">
      <c r="A485" s="99"/>
      <c r="B485" s="99"/>
      <c r="C485" s="99"/>
      <c r="D485" s="121"/>
      <c r="E485" s="99"/>
      <c r="F485" s="124"/>
      <c r="G485" s="121"/>
      <c r="H485" s="132" t="b">
        <f aca="false">FALSE()</f>
        <v>0</v>
      </c>
      <c r="I485" s="132" t="b">
        <f aca="false">FALSE()</f>
        <v>0</v>
      </c>
      <c r="J485" s="126"/>
      <c r="K485" s="99"/>
      <c r="L485" s="83"/>
      <c r="M485" s="103"/>
      <c r="N485" s="103"/>
      <c r="O485" s="103"/>
      <c r="P485" s="103"/>
      <c r="Q485" s="103"/>
      <c r="R485" s="83"/>
      <c r="S485" s="103"/>
      <c r="T485" s="103"/>
      <c r="U485" s="103"/>
    </row>
    <row r="486" customFormat="false" ht="22.5" hidden="false" customHeight="true" outlineLevel="0" collapsed="false">
      <c r="A486" s="110"/>
      <c r="B486" s="110"/>
      <c r="C486" s="110"/>
      <c r="D486" s="122"/>
      <c r="E486" s="110"/>
      <c r="F486" s="128"/>
      <c r="G486" s="122"/>
      <c r="H486" s="131" t="b">
        <f aca="false">FALSE()</f>
        <v>0</v>
      </c>
      <c r="I486" s="131" t="b">
        <f aca="false">FALSE()</f>
        <v>0</v>
      </c>
      <c r="J486" s="130"/>
      <c r="K486" s="110"/>
      <c r="L486" s="83"/>
      <c r="M486" s="103"/>
      <c r="N486" s="103"/>
      <c r="O486" s="103"/>
      <c r="P486" s="103"/>
      <c r="Q486" s="103"/>
      <c r="R486" s="83"/>
      <c r="S486" s="103"/>
      <c r="T486" s="103"/>
      <c r="U486" s="103"/>
    </row>
    <row r="487" customFormat="false" ht="22.5" hidden="false" customHeight="true" outlineLevel="0" collapsed="false">
      <c r="A487" s="99"/>
      <c r="B487" s="99"/>
      <c r="C487" s="99"/>
      <c r="D487" s="121"/>
      <c r="E487" s="99"/>
      <c r="F487" s="124"/>
      <c r="G487" s="121"/>
      <c r="H487" s="132" t="b">
        <f aca="false">FALSE()</f>
        <v>0</v>
      </c>
      <c r="I487" s="132" t="b">
        <f aca="false">FALSE()</f>
        <v>0</v>
      </c>
      <c r="J487" s="126"/>
      <c r="K487" s="99"/>
      <c r="L487" s="83"/>
      <c r="M487" s="103"/>
      <c r="N487" s="103"/>
      <c r="O487" s="103"/>
      <c r="P487" s="103"/>
      <c r="Q487" s="103"/>
      <c r="R487" s="83"/>
      <c r="S487" s="103"/>
      <c r="T487" s="103"/>
      <c r="U487" s="103"/>
    </row>
    <row r="488" customFormat="false" ht="22.5" hidden="false" customHeight="true" outlineLevel="0" collapsed="false">
      <c r="A488" s="110"/>
      <c r="B488" s="110"/>
      <c r="C488" s="110"/>
      <c r="D488" s="122"/>
      <c r="E488" s="110"/>
      <c r="F488" s="128"/>
      <c r="G488" s="122"/>
      <c r="H488" s="131" t="b">
        <f aca="false">FALSE()</f>
        <v>0</v>
      </c>
      <c r="I488" s="131" t="b">
        <f aca="false">FALSE()</f>
        <v>0</v>
      </c>
      <c r="J488" s="130"/>
      <c r="K488" s="110"/>
      <c r="L488" s="83"/>
      <c r="M488" s="103"/>
      <c r="N488" s="103"/>
      <c r="O488" s="103"/>
      <c r="P488" s="103"/>
      <c r="Q488" s="103"/>
      <c r="R488" s="83"/>
      <c r="S488" s="103"/>
      <c r="T488" s="103"/>
      <c r="U488" s="103"/>
    </row>
    <row r="489" customFormat="false" ht="22.5" hidden="false" customHeight="true" outlineLevel="0" collapsed="false">
      <c r="A489" s="99"/>
      <c r="B489" s="99"/>
      <c r="C489" s="99"/>
      <c r="D489" s="121"/>
      <c r="E489" s="99"/>
      <c r="F489" s="124"/>
      <c r="G489" s="121"/>
      <c r="H489" s="132" t="b">
        <f aca="false">FALSE()</f>
        <v>0</v>
      </c>
      <c r="I489" s="132" t="b">
        <f aca="false">FALSE()</f>
        <v>0</v>
      </c>
      <c r="J489" s="126"/>
      <c r="K489" s="99"/>
      <c r="L489" s="83"/>
      <c r="M489" s="103"/>
      <c r="N489" s="103"/>
      <c r="O489" s="103"/>
      <c r="P489" s="103"/>
      <c r="Q489" s="103"/>
      <c r="R489" s="83"/>
      <c r="S489" s="103"/>
      <c r="T489" s="103"/>
      <c r="U489" s="103"/>
    </row>
    <row r="490" customFormat="false" ht="22.5" hidden="false" customHeight="true" outlineLevel="0" collapsed="false">
      <c r="A490" s="110"/>
      <c r="B490" s="110"/>
      <c r="C490" s="110"/>
      <c r="D490" s="122"/>
      <c r="E490" s="110"/>
      <c r="F490" s="128"/>
      <c r="G490" s="122"/>
      <c r="H490" s="131" t="b">
        <f aca="false">FALSE()</f>
        <v>0</v>
      </c>
      <c r="I490" s="131" t="b">
        <f aca="false">FALSE()</f>
        <v>0</v>
      </c>
      <c r="J490" s="130"/>
      <c r="K490" s="110"/>
      <c r="L490" s="83"/>
      <c r="M490" s="103"/>
      <c r="N490" s="103"/>
      <c r="O490" s="103"/>
      <c r="P490" s="103"/>
      <c r="Q490" s="103"/>
      <c r="R490" s="83"/>
      <c r="S490" s="103"/>
      <c r="T490" s="103"/>
      <c r="U490" s="103"/>
    </row>
    <row r="491" customFormat="false" ht="22.5" hidden="false" customHeight="true" outlineLevel="0" collapsed="false">
      <c r="A491" s="99"/>
      <c r="B491" s="99"/>
      <c r="C491" s="99"/>
      <c r="D491" s="121"/>
      <c r="E491" s="99"/>
      <c r="F491" s="124"/>
      <c r="G491" s="121"/>
      <c r="H491" s="132" t="b">
        <f aca="false">FALSE()</f>
        <v>0</v>
      </c>
      <c r="I491" s="132" t="b">
        <f aca="false">FALSE()</f>
        <v>0</v>
      </c>
      <c r="J491" s="126"/>
      <c r="K491" s="99"/>
      <c r="L491" s="83"/>
      <c r="M491" s="103"/>
      <c r="N491" s="103"/>
      <c r="O491" s="103"/>
      <c r="P491" s="103"/>
      <c r="Q491" s="103"/>
      <c r="R491" s="83"/>
      <c r="S491" s="103"/>
      <c r="T491" s="103"/>
      <c r="U491" s="103"/>
    </row>
    <row r="492" customFormat="false" ht="22.5" hidden="false" customHeight="true" outlineLevel="0" collapsed="false">
      <c r="A492" s="110"/>
      <c r="B492" s="110"/>
      <c r="C492" s="110"/>
      <c r="D492" s="122"/>
      <c r="E492" s="110"/>
      <c r="F492" s="128"/>
      <c r="G492" s="122"/>
      <c r="H492" s="131" t="b">
        <f aca="false">FALSE()</f>
        <v>0</v>
      </c>
      <c r="I492" s="131" t="b">
        <f aca="false">FALSE()</f>
        <v>0</v>
      </c>
      <c r="J492" s="130"/>
      <c r="K492" s="110"/>
      <c r="L492" s="83"/>
      <c r="M492" s="103"/>
      <c r="N492" s="103"/>
      <c r="O492" s="103"/>
      <c r="P492" s="103"/>
      <c r="Q492" s="103"/>
      <c r="R492" s="83"/>
      <c r="S492" s="103"/>
      <c r="T492" s="103"/>
      <c r="U492" s="103"/>
    </row>
    <row r="493" customFormat="false" ht="22.5" hidden="false" customHeight="true" outlineLevel="0" collapsed="false">
      <c r="A493" s="99"/>
      <c r="B493" s="99"/>
      <c r="C493" s="99"/>
      <c r="D493" s="121"/>
      <c r="E493" s="99"/>
      <c r="F493" s="124"/>
      <c r="G493" s="121"/>
      <c r="H493" s="132" t="b">
        <f aca="false">FALSE()</f>
        <v>0</v>
      </c>
      <c r="I493" s="132" t="b">
        <f aca="false">FALSE()</f>
        <v>0</v>
      </c>
      <c r="J493" s="126"/>
      <c r="K493" s="99"/>
      <c r="L493" s="83"/>
      <c r="M493" s="103"/>
      <c r="N493" s="103"/>
      <c r="O493" s="103"/>
      <c r="P493" s="103"/>
      <c r="Q493" s="103"/>
      <c r="R493" s="83"/>
      <c r="S493" s="103"/>
      <c r="T493" s="103"/>
      <c r="U493" s="103"/>
    </row>
    <row r="494" customFormat="false" ht="22.5" hidden="false" customHeight="true" outlineLevel="0" collapsed="false">
      <c r="A494" s="110"/>
      <c r="B494" s="110"/>
      <c r="C494" s="110"/>
      <c r="D494" s="122"/>
      <c r="E494" s="110"/>
      <c r="F494" s="128"/>
      <c r="G494" s="122"/>
      <c r="H494" s="131" t="b">
        <f aca="false">FALSE()</f>
        <v>0</v>
      </c>
      <c r="I494" s="131" t="b">
        <f aca="false">FALSE()</f>
        <v>0</v>
      </c>
      <c r="J494" s="130"/>
      <c r="K494" s="110"/>
      <c r="L494" s="83"/>
      <c r="M494" s="103"/>
      <c r="N494" s="103"/>
      <c r="O494" s="103"/>
      <c r="P494" s="103"/>
      <c r="Q494" s="103"/>
      <c r="R494" s="83"/>
      <c r="S494" s="103"/>
      <c r="T494" s="103"/>
      <c r="U494" s="103"/>
    </row>
    <row r="495" customFormat="false" ht="22.5" hidden="false" customHeight="true" outlineLevel="0" collapsed="false">
      <c r="A495" s="99"/>
      <c r="B495" s="99"/>
      <c r="C495" s="99"/>
      <c r="D495" s="121"/>
      <c r="E495" s="99"/>
      <c r="F495" s="124"/>
      <c r="G495" s="121"/>
      <c r="H495" s="132" t="b">
        <f aca="false">FALSE()</f>
        <v>0</v>
      </c>
      <c r="I495" s="132" t="b">
        <f aca="false">FALSE()</f>
        <v>0</v>
      </c>
      <c r="J495" s="126"/>
      <c r="K495" s="99"/>
      <c r="L495" s="83"/>
      <c r="M495" s="103"/>
      <c r="N495" s="103"/>
      <c r="O495" s="103"/>
      <c r="P495" s="103"/>
      <c r="Q495" s="103"/>
      <c r="R495" s="83"/>
      <c r="S495" s="103"/>
      <c r="T495" s="103"/>
      <c r="U495" s="103"/>
    </row>
    <row r="496" customFormat="false" ht="22.5" hidden="false" customHeight="true" outlineLevel="0" collapsed="false">
      <c r="A496" s="110"/>
      <c r="B496" s="110"/>
      <c r="C496" s="110"/>
      <c r="D496" s="122"/>
      <c r="E496" s="110"/>
      <c r="F496" s="128"/>
      <c r="G496" s="122"/>
      <c r="H496" s="131" t="b">
        <f aca="false">FALSE()</f>
        <v>0</v>
      </c>
      <c r="I496" s="131" t="b">
        <f aca="false">FALSE()</f>
        <v>0</v>
      </c>
      <c r="J496" s="130"/>
      <c r="K496" s="110"/>
      <c r="L496" s="83"/>
      <c r="M496" s="103"/>
      <c r="N496" s="103"/>
      <c r="O496" s="103"/>
      <c r="P496" s="103"/>
      <c r="Q496" s="103"/>
      <c r="R496" s="83"/>
      <c r="S496" s="103"/>
      <c r="T496" s="103"/>
      <c r="U496" s="103"/>
    </row>
    <row r="497" customFormat="false" ht="22.5" hidden="false" customHeight="true" outlineLevel="0" collapsed="false">
      <c r="A497" s="99"/>
      <c r="B497" s="99"/>
      <c r="C497" s="99"/>
      <c r="D497" s="121"/>
      <c r="E497" s="99"/>
      <c r="F497" s="124"/>
      <c r="G497" s="121"/>
      <c r="H497" s="132" t="b">
        <f aca="false">FALSE()</f>
        <v>0</v>
      </c>
      <c r="I497" s="132" t="b">
        <f aca="false">FALSE()</f>
        <v>0</v>
      </c>
      <c r="J497" s="126"/>
      <c r="K497" s="99"/>
      <c r="L497" s="83"/>
      <c r="M497" s="103"/>
      <c r="N497" s="103"/>
      <c r="O497" s="103"/>
      <c r="P497" s="103"/>
      <c r="Q497" s="103"/>
      <c r="R497" s="83"/>
      <c r="S497" s="103"/>
      <c r="T497" s="103"/>
      <c r="U497" s="103"/>
    </row>
    <row r="498" customFormat="false" ht="22.5" hidden="false" customHeight="true" outlineLevel="0" collapsed="false">
      <c r="A498" s="110"/>
      <c r="B498" s="110"/>
      <c r="C498" s="110"/>
      <c r="D498" s="122"/>
      <c r="E498" s="110"/>
      <c r="F498" s="128"/>
      <c r="G498" s="122"/>
      <c r="H498" s="131" t="b">
        <f aca="false">FALSE()</f>
        <v>0</v>
      </c>
      <c r="I498" s="131" t="b">
        <f aca="false">FALSE()</f>
        <v>0</v>
      </c>
      <c r="J498" s="130"/>
      <c r="K498" s="110"/>
      <c r="L498" s="83"/>
      <c r="M498" s="103"/>
      <c r="N498" s="103"/>
      <c r="O498" s="103"/>
      <c r="P498" s="103"/>
      <c r="Q498" s="103"/>
      <c r="R498" s="83"/>
      <c r="S498" s="103"/>
      <c r="T498" s="103"/>
      <c r="U498" s="103"/>
    </row>
    <row r="499" customFormat="false" ht="22.5" hidden="false" customHeight="true" outlineLevel="0" collapsed="false">
      <c r="A499" s="99"/>
      <c r="B499" s="99"/>
      <c r="C499" s="99"/>
      <c r="D499" s="121"/>
      <c r="E499" s="99"/>
      <c r="F499" s="124"/>
      <c r="G499" s="121"/>
      <c r="H499" s="132" t="b">
        <f aca="false">FALSE()</f>
        <v>0</v>
      </c>
      <c r="I499" s="132" t="b">
        <f aca="false">FALSE()</f>
        <v>0</v>
      </c>
      <c r="J499" s="126"/>
      <c r="K499" s="99"/>
      <c r="L499" s="83"/>
      <c r="M499" s="103"/>
      <c r="N499" s="103"/>
      <c r="O499" s="103"/>
      <c r="P499" s="103"/>
      <c r="Q499" s="103"/>
      <c r="R499" s="83"/>
      <c r="S499" s="103"/>
      <c r="T499" s="103"/>
      <c r="U499" s="103"/>
    </row>
    <row r="500" customFormat="false" ht="22.5" hidden="false" customHeight="true" outlineLevel="0" collapsed="false">
      <c r="A500" s="110"/>
      <c r="B500" s="110"/>
      <c r="C500" s="110"/>
      <c r="D500" s="122"/>
      <c r="E500" s="110"/>
      <c r="F500" s="128"/>
      <c r="G500" s="122"/>
      <c r="H500" s="131" t="b">
        <f aca="false">FALSE()</f>
        <v>0</v>
      </c>
      <c r="I500" s="131" t="b">
        <f aca="false">FALSE()</f>
        <v>0</v>
      </c>
      <c r="J500" s="130"/>
      <c r="K500" s="110"/>
      <c r="L500" s="83"/>
      <c r="M500" s="103"/>
      <c r="N500" s="103"/>
      <c r="O500" s="103"/>
      <c r="P500" s="103"/>
      <c r="Q500" s="103"/>
      <c r="R500" s="83"/>
      <c r="S500" s="103"/>
      <c r="T500" s="103"/>
      <c r="U500" s="103"/>
    </row>
    <row r="501" customFormat="false" ht="22.5" hidden="false" customHeight="true" outlineLevel="0" collapsed="false">
      <c r="A501" s="99"/>
      <c r="B501" s="99"/>
      <c r="C501" s="99"/>
      <c r="D501" s="121"/>
      <c r="E501" s="99"/>
      <c r="F501" s="124"/>
      <c r="G501" s="121"/>
      <c r="H501" s="132" t="b">
        <f aca="false">FALSE()</f>
        <v>0</v>
      </c>
      <c r="I501" s="132" t="b">
        <f aca="false">FALSE()</f>
        <v>0</v>
      </c>
      <c r="J501" s="126"/>
      <c r="K501" s="99"/>
      <c r="L501" s="83"/>
      <c r="M501" s="103"/>
      <c r="N501" s="103"/>
      <c r="O501" s="103"/>
      <c r="P501" s="103"/>
      <c r="Q501" s="103"/>
      <c r="R501" s="83"/>
      <c r="S501" s="103"/>
      <c r="T501" s="103"/>
      <c r="U501" s="103"/>
    </row>
    <row r="502" customFormat="false" ht="22.5" hidden="false" customHeight="true" outlineLevel="0" collapsed="false">
      <c r="A502" s="110"/>
      <c r="B502" s="110"/>
      <c r="C502" s="110"/>
      <c r="D502" s="122"/>
      <c r="E502" s="110"/>
      <c r="F502" s="128"/>
      <c r="G502" s="122"/>
      <c r="H502" s="131" t="b">
        <f aca="false">FALSE()</f>
        <v>0</v>
      </c>
      <c r="I502" s="131" t="b">
        <f aca="false">FALSE()</f>
        <v>0</v>
      </c>
      <c r="J502" s="130"/>
      <c r="K502" s="110"/>
      <c r="L502" s="83"/>
      <c r="M502" s="103"/>
      <c r="N502" s="103"/>
      <c r="O502" s="103"/>
      <c r="P502" s="103"/>
      <c r="Q502" s="103"/>
      <c r="R502" s="83"/>
      <c r="S502" s="103"/>
      <c r="T502" s="103"/>
      <c r="U502" s="103"/>
    </row>
    <row r="503" customFormat="false" ht="22.5" hidden="false" customHeight="true" outlineLevel="0" collapsed="false">
      <c r="A503" s="99"/>
      <c r="B503" s="99"/>
      <c r="C503" s="99"/>
      <c r="D503" s="121"/>
      <c r="E503" s="99"/>
      <c r="F503" s="124"/>
      <c r="G503" s="121"/>
      <c r="H503" s="132" t="b">
        <f aca="false">FALSE()</f>
        <v>0</v>
      </c>
      <c r="I503" s="132" t="b">
        <f aca="false">FALSE()</f>
        <v>0</v>
      </c>
      <c r="J503" s="126"/>
      <c r="K503" s="99"/>
      <c r="L503" s="83"/>
      <c r="M503" s="103"/>
      <c r="N503" s="103"/>
      <c r="O503" s="103"/>
      <c r="P503" s="103"/>
      <c r="Q503" s="103"/>
      <c r="R503" s="83"/>
      <c r="S503" s="103"/>
      <c r="T503" s="103"/>
      <c r="U503" s="103"/>
    </row>
    <row r="504" customFormat="false" ht="22.5" hidden="false" customHeight="true" outlineLevel="0" collapsed="false">
      <c r="A504" s="110"/>
      <c r="B504" s="110"/>
      <c r="C504" s="110"/>
      <c r="D504" s="122"/>
      <c r="E504" s="110"/>
      <c r="F504" s="128"/>
      <c r="G504" s="122"/>
      <c r="H504" s="131" t="b">
        <f aca="false">FALSE()</f>
        <v>0</v>
      </c>
      <c r="I504" s="131" t="b">
        <f aca="false">FALSE()</f>
        <v>0</v>
      </c>
      <c r="J504" s="130"/>
      <c r="K504" s="110"/>
      <c r="L504" s="83"/>
      <c r="M504" s="103"/>
      <c r="N504" s="103"/>
      <c r="O504" s="103"/>
      <c r="P504" s="103"/>
      <c r="Q504" s="103"/>
      <c r="R504" s="83"/>
      <c r="S504" s="103"/>
      <c r="T504" s="103"/>
      <c r="U504" s="103"/>
    </row>
    <row r="505" customFormat="false" ht="22.5" hidden="false" customHeight="true" outlineLevel="0" collapsed="false">
      <c r="A505" s="99"/>
      <c r="B505" s="99"/>
      <c r="C505" s="99"/>
      <c r="D505" s="121"/>
      <c r="E505" s="99"/>
      <c r="F505" s="124"/>
      <c r="G505" s="121"/>
      <c r="H505" s="132" t="b">
        <f aca="false">FALSE()</f>
        <v>0</v>
      </c>
      <c r="I505" s="132" t="b">
        <f aca="false">FALSE()</f>
        <v>0</v>
      </c>
      <c r="J505" s="126"/>
      <c r="K505" s="99"/>
      <c r="L505" s="83"/>
      <c r="M505" s="103"/>
      <c r="N505" s="103"/>
      <c r="O505" s="103"/>
      <c r="P505" s="103"/>
      <c r="Q505" s="103"/>
      <c r="R505" s="83"/>
      <c r="S505" s="103"/>
      <c r="T505" s="103"/>
      <c r="U505" s="103"/>
    </row>
    <row r="506" customFormat="false" ht="22.5" hidden="false" customHeight="true" outlineLevel="0" collapsed="false">
      <c r="A506" s="110"/>
      <c r="B506" s="110"/>
      <c r="C506" s="110"/>
      <c r="D506" s="122"/>
      <c r="E506" s="110"/>
      <c r="F506" s="128"/>
      <c r="G506" s="122"/>
      <c r="H506" s="131" t="b">
        <f aca="false">FALSE()</f>
        <v>0</v>
      </c>
      <c r="I506" s="131" t="b">
        <f aca="false">FALSE()</f>
        <v>0</v>
      </c>
      <c r="J506" s="130"/>
      <c r="K506" s="110"/>
      <c r="L506" s="83"/>
      <c r="M506" s="103"/>
      <c r="N506" s="103"/>
      <c r="O506" s="103"/>
      <c r="P506" s="103"/>
      <c r="Q506" s="103"/>
      <c r="R506" s="83"/>
      <c r="S506" s="103"/>
      <c r="T506" s="103"/>
      <c r="U506" s="103"/>
    </row>
    <row r="507" customFormat="false" ht="22.5" hidden="false" customHeight="true" outlineLevel="0" collapsed="false">
      <c r="A507" s="99"/>
      <c r="B507" s="99"/>
      <c r="C507" s="99"/>
      <c r="D507" s="121"/>
      <c r="E507" s="99"/>
      <c r="F507" s="124"/>
      <c r="G507" s="121"/>
      <c r="H507" s="132" t="b">
        <f aca="false">FALSE()</f>
        <v>0</v>
      </c>
      <c r="I507" s="132" t="b">
        <f aca="false">FALSE()</f>
        <v>0</v>
      </c>
      <c r="J507" s="126"/>
      <c r="K507" s="99"/>
      <c r="L507" s="83"/>
      <c r="M507" s="103"/>
      <c r="N507" s="103"/>
      <c r="O507" s="103"/>
      <c r="P507" s="103"/>
      <c r="Q507" s="103"/>
      <c r="R507" s="83"/>
      <c r="S507" s="103"/>
      <c r="T507" s="103"/>
      <c r="U507" s="103"/>
    </row>
    <row r="508" customFormat="false" ht="22.5" hidden="false" customHeight="true" outlineLevel="0" collapsed="false">
      <c r="A508" s="110"/>
      <c r="B508" s="110"/>
      <c r="C508" s="110"/>
      <c r="D508" s="122"/>
      <c r="E508" s="110"/>
      <c r="F508" s="128"/>
      <c r="G508" s="122"/>
      <c r="H508" s="131" t="b">
        <f aca="false">FALSE()</f>
        <v>0</v>
      </c>
      <c r="I508" s="131" t="b">
        <f aca="false">FALSE()</f>
        <v>0</v>
      </c>
      <c r="J508" s="130"/>
      <c r="K508" s="110"/>
      <c r="L508" s="83"/>
      <c r="M508" s="103"/>
      <c r="N508" s="103"/>
      <c r="O508" s="103"/>
      <c r="P508" s="103"/>
      <c r="Q508" s="103"/>
      <c r="R508" s="83"/>
      <c r="S508" s="103"/>
      <c r="T508" s="103"/>
      <c r="U508" s="103"/>
    </row>
    <row r="509" customFormat="false" ht="22.5" hidden="false" customHeight="true" outlineLevel="0" collapsed="false">
      <c r="A509" s="99"/>
      <c r="B509" s="99"/>
      <c r="C509" s="99"/>
      <c r="D509" s="121"/>
      <c r="E509" s="99"/>
      <c r="F509" s="124"/>
      <c r="G509" s="121"/>
      <c r="H509" s="132" t="b">
        <f aca="false">FALSE()</f>
        <v>0</v>
      </c>
      <c r="I509" s="132" t="b">
        <f aca="false">FALSE()</f>
        <v>0</v>
      </c>
      <c r="J509" s="126"/>
      <c r="K509" s="99"/>
      <c r="L509" s="83"/>
      <c r="M509" s="103"/>
      <c r="N509" s="103"/>
      <c r="O509" s="103"/>
      <c r="P509" s="103"/>
      <c r="Q509" s="103"/>
      <c r="R509" s="83"/>
      <c r="S509" s="103"/>
      <c r="T509" s="103"/>
      <c r="U509" s="103"/>
    </row>
    <row r="510" customFormat="false" ht="22.5" hidden="false" customHeight="true" outlineLevel="0" collapsed="false">
      <c r="A510" s="110"/>
      <c r="B510" s="110"/>
      <c r="C510" s="110"/>
      <c r="D510" s="122"/>
      <c r="E510" s="110"/>
      <c r="F510" s="128"/>
      <c r="G510" s="122"/>
      <c r="H510" s="131" t="b">
        <f aca="false">FALSE()</f>
        <v>0</v>
      </c>
      <c r="I510" s="131" t="b">
        <f aca="false">FALSE()</f>
        <v>0</v>
      </c>
      <c r="J510" s="130"/>
      <c r="K510" s="110"/>
      <c r="L510" s="83"/>
      <c r="M510" s="103"/>
      <c r="N510" s="103"/>
      <c r="O510" s="103"/>
      <c r="P510" s="103"/>
      <c r="Q510" s="103"/>
      <c r="R510" s="83"/>
      <c r="S510" s="103"/>
      <c r="T510" s="103"/>
      <c r="U510" s="103"/>
    </row>
    <row r="511" customFormat="false" ht="22.5" hidden="false" customHeight="true" outlineLevel="0" collapsed="false">
      <c r="A511" s="99"/>
      <c r="B511" s="99"/>
      <c r="C511" s="99"/>
      <c r="D511" s="121"/>
      <c r="E511" s="99"/>
      <c r="F511" s="124"/>
      <c r="G511" s="121"/>
      <c r="H511" s="132" t="b">
        <f aca="false">FALSE()</f>
        <v>0</v>
      </c>
      <c r="I511" s="132" t="b">
        <f aca="false">FALSE()</f>
        <v>0</v>
      </c>
      <c r="J511" s="126"/>
      <c r="K511" s="99"/>
      <c r="L511" s="83"/>
      <c r="M511" s="103"/>
      <c r="N511" s="103"/>
      <c r="O511" s="103"/>
      <c r="P511" s="103"/>
      <c r="Q511" s="103"/>
      <c r="R511" s="83"/>
      <c r="S511" s="103"/>
      <c r="T511" s="103"/>
      <c r="U511" s="103"/>
    </row>
    <row r="512" customFormat="false" ht="22.5" hidden="false" customHeight="true" outlineLevel="0" collapsed="false">
      <c r="A512" s="110"/>
      <c r="B512" s="110"/>
      <c r="C512" s="110"/>
      <c r="D512" s="122"/>
      <c r="E512" s="110"/>
      <c r="F512" s="128"/>
      <c r="G512" s="122"/>
      <c r="H512" s="131" t="b">
        <f aca="false">FALSE()</f>
        <v>0</v>
      </c>
      <c r="I512" s="131" t="b">
        <f aca="false">FALSE()</f>
        <v>0</v>
      </c>
      <c r="J512" s="130"/>
      <c r="K512" s="110"/>
      <c r="L512" s="83"/>
      <c r="M512" s="103"/>
      <c r="N512" s="103"/>
      <c r="O512" s="103"/>
      <c r="P512" s="103"/>
      <c r="Q512" s="103"/>
      <c r="R512" s="83"/>
      <c r="S512" s="103"/>
      <c r="T512" s="103"/>
      <c r="U512" s="103"/>
    </row>
    <row r="513" customFormat="false" ht="22.5" hidden="false" customHeight="true" outlineLevel="0" collapsed="false">
      <c r="A513" s="99"/>
      <c r="B513" s="99"/>
      <c r="C513" s="99"/>
      <c r="D513" s="121"/>
      <c r="E513" s="99"/>
      <c r="F513" s="124"/>
      <c r="G513" s="121"/>
      <c r="H513" s="132" t="b">
        <f aca="false">FALSE()</f>
        <v>0</v>
      </c>
      <c r="I513" s="132" t="b">
        <f aca="false">FALSE()</f>
        <v>0</v>
      </c>
      <c r="J513" s="126"/>
      <c r="K513" s="99"/>
      <c r="L513" s="83"/>
      <c r="M513" s="103"/>
      <c r="N513" s="103"/>
      <c r="O513" s="103"/>
      <c r="P513" s="103"/>
      <c r="Q513" s="103"/>
      <c r="R513" s="83"/>
      <c r="S513" s="103"/>
      <c r="T513" s="103"/>
      <c r="U513" s="103"/>
    </row>
    <row r="514" customFormat="false" ht="22.5" hidden="false" customHeight="true" outlineLevel="0" collapsed="false">
      <c r="A514" s="110"/>
      <c r="B514" s="110"/>
      <c r="C514" s="110"/>
      <c r="D514" s="122"/>
      <c r="E514" s="110"/>
      <c r="F514" s="128"/>
      <c r="G514" s="122"/>
      <c r="H514" s="131" t="b">
        <f aca="false">FALSE()</f>
        <v>0</v>
      </c>
      <c r="I514" s="131" t="b">
        <f aca="false">FALSE()</f>
        <v>0</v>
      </c>
      <c r="J514" s="130"/>
      <c r="K514" s="110"/>
      <c r="L514" s="83"/>
      <c r="M514" s="103"/>
      <c r="N514" s="103"/>
      <c r="O514" s="103"/>
      <c r="P514" s="103"/>
      <c r="Q514" s="103"/>
      <c r="R514" s="83"/>
      <c r="S514" s="103"/>
      <c r="T514" s="103"/>
      <c r="U514" s="103"/>
    </row>
    <row r="515" customFormat="false" ht="22.5" hidden="false" customHeight="true" outlineLevel="0" collapsed="false">
      <c r="A515" s="99"/>
      <c r="B515" s="99"/>
      <c r="C515" s="99"/>
      <c r="D515" s="121"/>
      <c r="E515" s="99"/>
      <c r="F515" s="124"/>
      <c r="G515" s="121"/>
      <c r="H515" s="132" t="b">
        <f aca="false">FALSE()</f>
        <v>0</v>
      </c>
      <c r="I515" s="132" t="b">
        <f aca="false">FALSE()</f>
        <v>0</v>
      </c>
      <c r="J515" s="126"/>
      <c r="K515" s="99"/>
      <c r="L515" s="83"/>
      <c r="M515" s="103"/>
      <c r="N515" s="103"/>
      <c r="O515" s="103"/>
      <c r="P515" s="103"/>
      <c r="Q515" s="103"/>
      <c r="R515" s="83"/>
      <c r="S515" s="103"/>
      <c r="T515" s="103"/>
      <c r="U515" s="103"/>
    </row>
    <row r="516" customFormat="false" ht="22.5" hidden="false" customHeight="true" outlineLevel="0" collapsed="false">
      <c r="A516" s="110"/>
      <c r="B516" s="110"/>
      <c r="C516" s="110"/>
      <c r="D516" s="122"/>
      <c r="E516" s="110"/>
      <c r="F516" s="128"/>
      <c r="G516" s="122"/>
      <c r="H516" s="131" t="b">
        <f aca="false">FALSE()</f>
        <v>0</v>
      </c>
      <c r="I516" s="131" t="b">
        <f aca="false">FALSE()</f>
        <v>0</v>
      </c>
      <c r="J516" s="130"/>
      <c r="K516" s="110"/>
      <c r="L516" s="83"/>
      <c r="M516" s="103"/>
      <c r="N516" s="103"/>
      <c r="O516" s="103"/>
      <c r="P516" s="103"/>
      <c r="Q516" s="103"/>
      <c r="R516" s="83"/>
      <c r="S516" s="103"/>
      <c r="T516" s="103"/>
      <c r="U516" s="103"/>
    </row>
    <row r="517" customFormat="false" ht="22.5" hidden="false" customHeight="true" outlineLevel="0" collapsed="false">
      <c r="A517" s="99"/>
      <c r="B517" s="99"/>
      <c r="C517" s="99"/>
      <c r="D517" s="121"/>
      <c r="E517" s="99"/>
      <c r="F517" s="124"/>
      <c r="G517" s="121"/>
      <c r="H517" s="132" t="b">
        <f aca="false">FALSE()</f>
        <v>0</v>
      </c>
      <c r="I517" s="132" t="b">
        <f aca="false">FALSE()</f>
        <v>0</v>
      </c>
      <c r="J517" s="126"/>
      <c r="K517" s="99"/>
      <c r="L517" s="83"/>
      <c r="M517" s="103"/>
      <c r="N517" s="103"/>
      <c r="O517" s="103"/>
      <c r="P517" s="103"/>
      <c r="Q517" s="103"/>
      <c r="R517" s="83"/>
      <c r="S517" s="103"/>
      <c r="T517" s="103"/>
      <c r="U517" s="103"/>
    </row>
    <row r="518" customFormat="false" ht="22.5" hidden="false" customHeight="true" outlineLevel="0" collapsed="false">
      <c r="A518" s="110"/>
      <c r="B518" s="110"/>
      <c r="C518" s="110"/>
      <c r="D518" s="122"/>
      <c r="E518" s="110"/>
      <c r="F518" s="128"/>
      <c r="G518" s="122"/>
      <c r="H518" s="131" t="b">
        <f aca="false">FALSE()</f>
        <v>0</v>
      </c>
      <c r="I518" s="131" t="b">
        <f aca="false">FALSE()</f>
        <v>0</v>
      </c>
      <c r="J518" s="130"/>
      <c r="K518" s="110"/>
      <c r="L518" s="83"/>
      <c r="M518" s="103"/>
      <c r="N518" s="103"/>
      <c r="O518" s="103"/>
      <c r="P518" s="103"/>
      <c r="Q518" s="103"/>
      <c r="R518" s="83"/>
      <c r="S518" s="103"/>
      <c r="T518" s="103"/>
      <c r="U518" s="103"/>
    </row>
    <row r="519" customFormat="false" ht="22.5" hidden="false" customHeight="true" outlineLevel="0" collapsed="false">
      <c r="A519" s="99"/>
      <c r="B519" s="99"/>
      <c r="C519" s="99"/>
      <c r="D519" s="121"/>
      <c r="E519" s="99"/>
      <c r="F519" s="124"/>
      <c r="G519" s="121"/>
      <c r="H519" s="132" t="b">
        <f aca="false">FALSE()</f>
        <v>0</v>
      </c>
      <c r="I519" s="132" t="b">
        <f aca="false">FALSE()</f>
        <v>0</v>
      </c>
      <c r="J519" s="126"/>
      <c r="K519" s="99"/>
      <c r="L519" s="83"/>
      <c r="M519" s="103"/>
      <c r="N519" s="103"/>
      <c r="O519" s="103"/>
      <c r="P519" s="103"/>
      <c r="Q519" s="103"/>
      <c r="R519" s="83"/>
      <c r="S519" s="103"/>
      <c r="T519" s="103"/>
      <c r="U519" s="103"/>
    </row>
    <row r="520" customFormat="false" ht="22.5" hidden="false" customHeight="true" outlineLevel="0" collapsed="false">
      <c r="A520" s="110"/>
      <c r="B520" s="110"/>
      <c r="C520" s="110"/>
      <c r="D520" s="122"/>
      <c r="E520" s="110"/>
      <c r="F520" s="128"/>
      <c r="G520" s="122"/>
      <c r="H520" s="131" t="b">
        <f aca="false">FALSE()</f>
        <v>0</v>
      </c>
      <c r="I520" s="131" t="b">
        <f aca="false">FALSE()</f>
        <v>0</v>
      </c>
      <c r="J520" s="130"/>
      <c r="K520" s="110"/>
      <c r="L520" s="83"/>
      <c r="M520" s="103"/>
      <c r="N520" s="103"/>
      <c r="O520" s="103"/>
      <c r="P520" s="103"/>
      <c r="Q520" s="103"/>
      <c r="R520" s="83"/>
      <c r="S520" s="103"/>
      <c r="T520" s="103"/>
      <c r="U520" s="103"/>
    </row>
    <row r="521" customFormat="false" ht="22.5" hidden="false" customHeight="true" outlineLevel="0" collapsed="false">
      <c r="A521" s="99"/>
      <c r="B521" s="99"/>
      <c r="C521" s="99"/>
      <c r="D521" s="121"/>
      <c r="E521" s="99"/>
      <c r="F521" s="124"/>
      <c r="G521" s="121"/>
      <c r="H521" s="132" t="b">
        <f aca="false">FALSE()</f>
        <v>0</v>
      </c>
      <c r="I521" s="132" t="b">
        <f aca="false">FALSE()</f>
        <v>0</v>
      </c>
      <c r="J521" s="126"/>
      <c r="K521" s="99"/>
      <c r="L521" s="83"/>
      <c r="M521" s="103"/>
      <c r="N521" s="103"/>
      <c r="O521" s="103"/>
      <c r="P521" s="103"/>
      <c r="Q521" s="103"/>
      <c r="R521" s="83"/>
      <c r="S521" s="103"/>
      <c r="T521" s="103"/>
      <c r="U521" s="103"/>
    </row>
    <row r="522" customFormat="false" ht="22.5" hidden="false" customHeight="true" outlineLevel="0" collapsed="false">
      <c r="A522" s="110"/>
      <c r="B522" s="110"/>
      <c r="C522" s="110"/>
      <c r="D522" s="122"/>
      <c r="E522" s="110"/>
      <c r="F522" s="128"/>
      <c r="G522" s="122"/>
      <c r="H522" s="131" t="b">
        <f aca="false">FALSE()</f>
        <v>0</v>
      </c>
      <c r="I522" s="131" t="b">
        <f aca="false">FALSE()</f>
        <v>0</v>
      </c>
      <c r="J522" s="130"/>
      <c r="K522" s="110"/>
      <c r="L522" s="83"/>
      <c r="M522" s="103"/>
      <c r="N522" s="103"/>
      <c r="O522" s="103"/>
      <c r="P522" s="103"/>
      <c r="Q522" s="103"/>
      <c r="R522" s="83"/>
      <c r="S522" s="103"/>
      <c r="T522" s="103"/>
      <c r="U522" s="103"/>
    </row>
    <row r="523" customFormat="false" ht="22.5" hidden="false" customHeight="true" outlineLevel="0" collapsed="false">
      <c r="A523" s="99"/>
      <c r="B523" s="99"/>
      <c r="C523" s="99"/>
      <c r="D523" s="121"/>
      <c r="E523" s="99"/>
      <c r="F523" s="124"/>
      <c r="G523" s="121"/>
      <c r="H523" s="132" t="b">
        <f aca="false">FALSE()</f>
        <v>0</v>
      </c>
      <c r="I523" s="132" t="b">
        <f aca="false">FALSE()</f>
        <v>0</v>
      </c>
      <c r="J523" s="126"/>
      <c r="K523" s="99"/>
      <c r="L523" s="83"/>
      <c r="M523" s="103"/>
      <c r="N523" s="103"/>
      <c r="O523" s="103"/>
      <c r="P523" s="103"/>
      <c r="Q523" s="103"/>
      <c r="R523" s="83"/>
      <c r="S523" s="103"/>
      <c r="T523" s="103"/>
      <c r="U523" s="103"/>
    </row>
    <row r="524" customFormat="false" ht="22.5" hidden="false" customHeight="true" outlineLevel="0" collapsed="false">
      <c r="A524" s="110"/>
      <c r="B524" s="110"/>
      <c r="C524" s="110"/>
      <c r="D524" s="122"/>
      <c r="E524" s="110"/>
      <c r="F524" s="128"/>
      <c r="G524" s="122"/>
      <c r="H524" s="131" t="b">
        <f aca="false">FALSE()</f>
        <v>0</v>
      </c>
      <c r="I524" s="131" t="b">
        <f aca="false">FALSE()</f>
        <v>0</v>
      </c>
      <c r="J524" s="130"/>
      <c r="K524" s="110"/>
      <c r="L524" s="83"/>
      <c r="M524" s="103"/>
      <c r="N524" s="103"/>
      <c r="O524" s="103"/>
      <c r="P524" s="103"/>
      <c r="Q524" s="103"/>
      <c r="R524" s="83"/>
      <c r="S524" s="103"/>
      <c r="T524" s="103"/>
      <c r="U524" s="103"/>
    </row>
    <row r="525" customFormat="false" ht="22.5" hidden="false" customHeight="true" outlineLevel="0" collapsed="false">
      <c r="A525" s="99"/>
      <c r="B525" s="99"/>
      <c r="C525" s="99"/>
      <c r="D525" s="121"/>
      <c r="E525" s="99"/>
      <c r="F525" s="124"/>
      <c r="G525" s="121"/>
      <c r="H525" s="132" t="b">
        <f aca="false">FALSE()</f>
        <v>0</v>
      </c>
      <c r="I525" s="132" t="b">
        <f aca="false">FALSE()</f>
        <v>0</v>
      </c>
      <c r="J525" s="126"/>
      <c r="K525" s="99"/>
      <c r="L525" s="83"/>
      <c r="M525" s="103"/>
      <c r="N525" s="103"/>
      <c r="O525" s="103"/>
      <c r="P525" s="103"/>
      <c r="Q525" s="103"/>
      <c r="R525" s="83"/>
      <c r="S525" s="103"/>
      <c r="T525" s="103"/>
      <c r="U525" s="103"/>
    </row>
    <row r="526" customFormat="false" ht="22.5" hidden="false" customHeight="true" outlineLevel="0" collapsed="false">
      <c r="A526" s="110"/>
      <c r="B526" s="110"/>
      <c r="C526" s="110"/>
      <c r="D526" s="122"/>
      <c r="E526" s="110"/>
      <c r="F526" s="128"/>
      <c r="G526" s="122"/>
      <c r="H526" s="131" t="b">
        <f aca="false">FALSE()</f>
        <v>0</v>
      </c>
      <c r="I526" s="131" t="b">
        <f aca="false">FALSE()</f>
        <v>0</v>
      </c>
      <c r="J526" s="130"/>
      <c r="K526" s="110"/>
      <c r="L526" s="83"/>
      <c r="M526" s="103"/>
      <c r="N526" s="103"/>
      <c r="O526" s="103"/>
      <c r="P526" s="103"/>
      <c r="Q526" s="103"/>
      <c r="R526" s="83"/>
      <c r="S526" s="103"/>
      <c r="T526" s="103"/>
      <c r="U526" s="103"/>
    </row>
    <row r="527" customFormat="false" ht="22.5" hidden="false" customHeight="true" outlineLevel="0" collapsed="false">
      <c r="A527" s="99"/>
      <c r="B527" s="99"/>
      <c r="C527" s="99"/>
      <c r="D527" s="121"/>
      <c r="E527" s="99"/>
      <c r="F527" s="124"/>
      <c r="G527" s="121"/>
      <c r="H527" s="132" t="b">
        <f aca="false">FALSE()</f>
        <v>0</v>
      </c>
      <c r="I527" s="132" t="b">
        <f aca="false">FALSE()</f>
        <v>0</v>
      </c>
      <c r="J527" s="126"/>
      <c r="K527" s="99"/>
      <c r="L527" s="83"/>
      <c r="M527" s="103"/>
      <c r="N527" s="103"/>
      <c r="O527" s="103"/>
      <c r="P527" s="103"/>
      <c r="Q527" s="103"/>
      <c r="R527" s="83"/>
      <c r="S527" s="103"/>
      <c r="T527" s="103"/>
      <c r="U527" s="103"/>
    </row>
    <row r="528" customFormat="false" ht="22.5" hidden="false" customHeight="true" outlineLevel="0" collapsed="false">
      <c r="A528" s="110"/>
      <c r="B528" s="110"/>
      <c r="C528" s="110"/>
      <c r="D528" s="122"/>
      <c r="E528" s="110"/>
      <c r="F528" s="128"/>
      <c r="G528" s="122"/>
      <c r="H528" s="131" t="b">
        <f aca="false">FALSE()</f>
        <v>0</v>
      </c>
      <c r="I528" s="131" t="b">
        <f aca="false">FALSE()</f>
        <v>0</v>
      </c>
      <c r="J528" s="130"/>
      <c r="K528" s="110"/>
      <c r="L528" s="83"/>
      <c r="M528" s="103"/>
      <c r="N528" s="103"/>
      <c r="O528" s="103"/>
      <c r="P528" s="103"/>
      <c r="Q528" s="103"/>
      <c r="R528" s="83"/>
      <c r="S528" s="103"/>
      <c r="T528" s="103"/>
      <c r="U528" s="103"/>
    </row>
    <row r="529" customFormat="false" ht="22.5" hidden="false" customHeight="true" outlineLevel="0" collapsed="false">
      <c r="A529" s="99"/>
      <c r="B529" s="99"/>
      <c r="C529" s="99"/>
      <c r="D529" s="121"/>
      <c r="E529" s="99"/>
      <c r="F529" s="124"/>
      <c r="G529" s="121"/>
      <c r="H529" s="132" t="b">
        <f aca="false">FALSE()</f>
        <v>0</v>
      </c>
      <c r="I529" s="132" t="b">
        <f aca="false">FALSE()</f>
        <v>0</v>
      </c>
      <c r="J529" s="126"/>
      <c r="K529" s="99"/>
      <c r="L529" s="83"/>
      <c r="M529" s="103"/>
      <c r="N529" s="103"/>
      <c r="O529" s="103"/>
      <c r="P529" s="103"/>
      <c r="Q529" s="103"/>
      <c r="R529" s="83"/>
      <c r="S529" s="103"/>
      <c r="T529" s="103"/>
      <c r="U529" s="103"/>
    </row>
    <row r="530" customFormat="false" ht="22.5" hidden="false" customHeight="true" outlineLevel="0" collapsed="false">
      <c r="A530" s="110"/>
      <c r="B530" s="110"/>
      <c r="C530" s="110"/>
      <c r="D530" s="122"/>
      <c r="E530" s="110"/>
      <c r="F530" s="128"/>
      <c r="G530" s="122"/>
      <c r="H530" s="131" t="b">
        <f aca="false">FALSE()</f>
        <v>0</v>
      </c>
      <c r="I530" s="131" t="b">
        <f aca="false">FALSE()</f>
        <v>0</v>
      </c>
      <c r="J530" s="130"/>
      <c r="K530" s="110"/>
      <c r="L530" s="83"/>
      <c r="M530" s="103"/>
      <c r="N530" s="103"/>
      <c r="O530" s="103"/>
      <c r="P530" s="103"/>
      <c r="Q530" s="103"/>
      <c r="R530" s="83"/>
      <c r="S530" s="103"/>
      <c r="T530" s="103"/>
      <c r="U530" s="103"/>
    </row>
    <row r="531" customFormat="false" ht="22.5" hidden="false" customHeight="true" outlineLevel="0" collapsed="false">
      <c r="A531" s="99"/>
      <c r="B531" s="99"/>
      <c r="C531" s="99"/>
      <c r="D531" s="121"/>
      <c r="E531" s="99"/>
      <c r="F531" s="124"/>
      <c r="G531" s="121"/>
      <c r="H531" s="132" t="b">
        <f aca="false">FALSE()</f>
        <v>0</v>
      </c>
      <c r="I531" s="132" t="b">
        <f aca="false">FALSE()</f>
        <v>0</v>
      </c>
      <c r="J531" s="126"/>
      <c r="K531" s="99"/>
      <c r="L531" s="83"/>
      <c r="M531" s="103"/>
      <c r="N531" s="103"/>
      <c r="O531" s="103"/>
      <c r="P531" s="103"/>
      <c r="Q531" s="103"/>
      <c r="R531" s="83"/>
      <c r="S531" s="103"/>
      <c r="T531" s="103"/>
      <c r="U531" s="103"/>
    </row>
    <row r="532" customFormat="false" ht="22.5" hidden="false" customHeight="true" outlineLevel="0" collapsed="false">
      <c r="A532" s="110"/>
      <c r="B532" s="110"/>
      <c r="C532" s="110"/>
      <c r="D532" s="122"/>
      <c r="E532" s="110"/>
      <c r="F532" s="128"/>
      <c r="G532" s="122"/>
      <c r="H532" s="131" t="b">
        <f aca="false">FALSE()</f>
        <v>0</v>
      </c>
      <c r="I532" s="131" t="b">
        <f aca="false">FALSE()</f>
        <v>0</v>
      </c>
      <c r="J532" s="130"/>
      <c r="K532" s="110"/>
      <c r="L532" s="83"/>
      <c r="M532" s="103"/>
      <c r="N532" s="103"/>
      <c r="O532" s="103"/>
      <c r="P532" s="103"/>
      <c r="Q532" s="103"/>
      <c r="R532" s="83"/>
      <c r="S532" s="103"/>
      <c r="T532" s="103"/>
      <c r="U532" s="103"/>
    </row>
    <row r="533" customFormat="false" ht="22.5" hidden="false" customHeight="true" outlineLevel="0" collapsed="false">
      <c r="A533" s="99"/>
      <c r="B533" s="99"/>
      <c r="C533" s="99"/>
      <c r="D533" s="121"/>
      <c r="E533" s="99"/>
      <c r="F533" s="124"/>
      <c r="G533" s="121"/>
      <c r="H533" s="132" t="b">
        <f aca="false">FALSE()</f>
        <v>0</v>
      </c>
      <c r="I533" s="132" t="b">
        <f aca="false">FALSE()</f>
        <v>0</v>
      </c>
      <c r="J533" s="126"/>
      <c r="K533" s="99"/>
      <c r="L533" s="83"/>
      <c r="M533" s="103"/>
      <c r="N533" s="103"/>
      <c r="O533" s="103"/>
      <c r="P533" s="103"/>
      <c r="Q533" s="103"/>
      <c r="R533" s="83"/>
      <c r="S533" s="103"/>
      <c r="T533" s="103"/>
      <c r="U533" s="103"/>
    </row>
    <row r="534" customFormat="false" ht="22.5" hidden="false" customHeight="true" outlineLevel="0" collapsed="false">
      <c r="A534" s="110"/>
      <c r="B534" s="110"/>
      <c r="C534" s="110"/>
      <c r="D534" s="122"/>
      <c r="E534" s="110"/>
      <c r="F534" s="128"/>
      <c r="G534" s="122"/>
      <c r="H534" s="131" t="b">
        <f aca="false">FALSE()</f>
        <v>0</v>
      </c>
      <c r="I534" s="131" t="b">
        <f aca="false">FALSE()</f>
        <v>0</v>
      </c>
      <c r="J534" s="130"/>
      <c r="K534" s="110"/>
      <c r="L534" s="83"/>
      <c r="M534" s="103"/>
      <c r="N534" s="103"/>
      <c r="O534" s="103"/>
      <c r="P534" s="103"/>
      <c r="Q534" s="103"/>
      <c r="R534" s="83"/>
      <c r="S534" s="103"/>
      <c r="T534" s="103"/>
      <c r="U534" s="103"/>
    </row>
    <row r="535" customFormat="false" ht="22.5" hidden="false" customHeight="true" outlineLevel="0" collapsed="false">
      <c r="A535" s="99"/>
      <c r="B535" s="99"/>
      <c r="C535" s="99"/>
      <c r="D535" s="121"/>
      <c r="E535" s="99"/>
      <c r="F535" s="124"/>
      <c r="G535" s="121"/>
      <c r="H535" s="132" t="b">
        <f aca="false">FALSE()</f>
        <v>0</v>
      </c>
      <c r="I535" s="132" t="b">
        <f aca="false">FALSE()</f>
        <v>0</v>
      </c>
      <c r="J535" s="126"/>
      <c r="K535" s="99"/>
      <c r="L535" s="83"/>
      <c r="M535" s="103"/>
      <c r="N535" s="103"/>
      <c r="O535" s="103"/>
      <c r="P535" s="103"/>
      <c r="Q535" s="103"/>
      <c r="R535" s="83"/>
      <c r="S535" s="103"/>
      <c r="T535" s="103"/>
      <c r="U535" s="103"/>
    </row>
    <row r="536" customFormat="false" ht="22.5" hidden="false" customHeight="true" outlineLevel="0" collapsed="false">
      <c r="A536" s="110"/>
      <c r="B536" s="110"/>
      <c r="C536" s="110"/>
      <c r="D536" s="122"/>
      <c r="E536" s="110"/>
      <c r="F536" s="128"/>
      <c r="G536" s="122"/>
      <c r="H536" s="131" t="b">
        <f aca="false">FALSE()</f>
        <v>0</v>
      </c>
      <c r="I536" s="131" t="b">
        <f aca="false">FALSE()</f>
        <v>0</v>
      </c>
      <c r="J536" s="130"/>
      <c r="K536" s="110"/>
      <c r="L536" s="83"/>
      <c r="M536" s="103"/>
      <c r="N536" s="103"/>
      <c r="O536" s="103"/>
      <c r="P536" s="103"/>
      <c r="Q536" s="103"/>
      <c r="R536" s="83"/>
      <c r="S536" s="103"/>
      <c r="T536" s="103"/>
      <c r="U536" s="103"/>
    </row>
    <row r="537" customFormat="false" ht="22.5" hidden="false" customHeight="true" outlineLevel="0" collapsed="false">
      <c r="A537" s="99"/>
      <c r="B537" s="99"/>
      <c r="C537" s="99"/>
      <c r="D537" s="121"/>
      <c r="E537" s="99"/>
      <c r="F537" s="124"/>
      <c r="G537" s="121"/>
      <c r="H537" s="132" t="b">
        <f aca="false">FALSE()</f>
        <v>0</v>
      </c>
      <c r="I537" s="132" t="b">
        <f aca="false">FALSE()</f>
        <v>0</v>
      </c>
      <c r="J537" s="126"/>
      <c r="K537" s="99"/>
      <c r="L537" s="83"/>
      <c r="M537" s="103"/>
      <c r="N537" s="103"/>
      <c r="O537" s="103"/>
      <c r="P537" s="103"/>
      <c r="Q537" s="103"/>
      <c r="R537" s="83"/>
      <c r="S537" s="103"/>
      <c r="T537" s="103"/>
      <c r="U537" s="103"/>
    </row>
    <row r="538" customFormat="false" ht="22.5" hidden="false" customHeight="true" outlineLevel="0" collapsed="false">
      <c r="A538" s="110"/>
      <c r="B538" s="110"/>
      <c r="C538" s="110"/>
      <c r="D538" s="122"/>
      <c r="E538" s="110"/>
      <c r="F538" s="128"/>
      <c r="G538" s="122"/>
      <c r="H538" s="131" t="b">
        <f aca="false">FALSE()</f>
        <v>0</v>
      </c>
      <c r="I538" s="131" t="b">
        <f aca="false">FALSE()</f>
        <v>0</v>
      </c>
      <c r="J538" s="130"/>
      <c r="K538" s="110"/>
      <c r="L538" s="83"/>
      <c r="M538" s="103"/>
      <c r="N538" s="103"/>
      <c r="O538" s="103"/>
      <c r="P538" s="103"/>
      <c r="Q538" s="103"/>
      <c r="R538" s="83"/>
      <c r="S538" s="103"/>
      <c r="T538" s="103"/>
      <c r="U538" s="103"/>
    </row>
    <row r="539" customFormat="false" ht="22.5" hidden="false" customHeight="true" outlineLevel="0" collapsed="false">
      <c r="A539" s="99"/>
      <c r="B539" s="99"/>
      <c r="C539" s="99"/>
      <c r="D539" s="121"/>
      <c r="E539" s="99"/>
      <c r="F539" s="124"/>
      <c r="G539" s="121"/>
      <c r="H539" s="132" t="b">
        <f aca="false">FALSE()</f>
        <v>0</v>
      </c>
      <c r="I539" s="132" t="b">
        <f aca="false">FALSE()</f>
        <v>0</v>
      </c>
      <c r="J539" s="126"/>
      <c r="K539" s="99"/>
      <c r="L539" s="83"/>
      <c r="M539" s="103"/>
      <c r="N539" s="103"/>
      <c r="O539" s="103"/>
      <c r="P539" s="103"/>
      <c r="Q539" s="103"/>
      <c r="R539" s="83"/>
      <c r="S539" s="103"/>
      <c r="T539" s="103"/>
      <c r="U539" s="103"/>
    </row>
    <row r="540" customFormat="false" ht="22.5" hidden="false" customHeight="true" outlineLevel="0" collapsed="false">
      <c r="A540" s="110"/>
      <c r="B540" s="110"/>
      <c r="C540" s="110"/>
      <c r="D540" s="122"/>
      <c r="E540" s="110"/>
      <c r="F540" s="128"/>
      <c r="G540" s="122"/>
      <c r="H540" s="131" t="b">
        <f aca="false">FALSE()</f>
        <v>0</v>
      </c>
      <c r="I540" s="131" t="b">
        <f aca="false">FALSE()</f>
        <v>0</v>
      </c>
      <c r="J540" s="130"/>
      <c r="K540" s="110"/>
      <c r="L540" s="83"/>
      <c r="M540" s="103"/>
      <c r="N540" s="103"/>
      <c r="O540" s="103"/>
      <c r="P540" s="103"/>
      <c r="Q540" s="103"/>
      <c r="R540" s="83"/>
      <c r="S540" s="103"/>
      <c r="T540" s="103"/>
      <c r="U540" s="103"/>
    </row>
    <row r="541" customFormat="false" ht="22.5" hidden="false" customHeight="true" outlineLevel="0" collapsed="false">
      <c r="A541" s="99"/>
      <c r="B541" s="99"/>
      <c r="C541" s="99"/>
      <c r="D541" s="121"/>
      <c r="E541" s="99"/>
      <c r="F541" s="124"/>
      <c r="G541" s="121"/>
      <c r="H541" s="132" t="b">
        <f aca="false">FALSE()</f>
        <v>0</v>
      </c>
      <c r="I541" s="132" t="b">
        <f aca="false">FALSE()</f>
        <v>0</v>
      </c>
      <c r="J541" s="126"/>
      <c r="K541" s="99"/>
      <c r="L541" s="83"/>
      <c r="M541" s="103"/>
      <c r="N541" s="103"/>
      <c r="O541" s="103"/>
      <c r="P541" s="103"/>
      <c r="Q541" s="103"/>
      <c r="R541" s="83"/>
      <c r="S541" s="103"/>
      <c r="T541" s="103"/>
      <c r="U541" s="103"/>
    </row>
    <row r="542" customFormat="false" ht="22.5" hidden="false" customHeight="true" outlineLevel="0" collapsed="false">
      <c r="A542" s="110"/>
      <c r="B542" s="110"/>
      <c r="C542" s="110"/>
      <c r="D542" s="122"/>
      <c r="E542" s="110"/>
      <c r="F542" s="128"/>
      <c r="G542" s="122"/>
      <c r="H542" s="131" t="b">
        <f aca="false">FALSE()</f>
        <v>0</v>
      </c>
      <c r="I542" s="131" t="b">
        <f aca="false">FALSE()</f>
        <v>0</v>
      </c>
      <c r="J542" s="130"/>
      <c r="K542" s="110"/>
      <c r="L542" s="83"/>
      <c r="M542" s="103"/>
      <c r="N542" s="103"/>
      <c r="O542" s="103"/>
      <c r="P542" s="103"/>
      <c r="Q542" s="103"/>
      <c r="R542" s="83"/>
      <c r="S542" s="103"/>
      <c r="T542" s="103"/>
      <c r="U542" s="103"/>
    </row>
    <row r="543" customFormat="false" ht="22.5" hidden="false" customHeight="true" outlineLevel="0" collapsed="false">
      <c r="A543" s="99"/>
      <c r="B543" s="99"/>
      <c r="C543" s="99"/>
      <c r="D543" s="121"/>
      <c r="E543" s="99"/>
      <c r="F543" s="124"/>
      <c r="G543" s="121"/>
      <c r="H543" s="132" t="b">
        <f aca="false">FALSE()</f>
        <v>0</v>
      </c>
      <c r="I543" s="132" t="b">
        <f aca="false">FALSE()</f>
        <v>0</v>
      </c>
      <c r="J543" s="126"/>
      <c r="K543" s="99"/>
      <c r="L543" s="83"/>
      <c r="M543" s="103"/>
      <c r="N543" s="103"/>
      <c r="O543" s="103"/>
      <c r="P543" s="103"/>
      <c r="Q543" s="103"/>
      <c r="R543" s="83"/>
      <c r="S543" s="103"/>
      <c r="T543" s="103"/>
      <c r="U543" s="103"/>
    </row>
    <row r="544" customFormat="false" ht="22.5" hidden="false" customHeight="true" outlineLevel="0" collapsed="false">
      <c r="A544" s="110"/>
      <c r="B544" s="110"/>
      <c r="C544" s="110"/>
      <c r="D544" s="122"/>
      <c r="E544" s="110"/>
      <c r="F544" s="128"/>
      <c r="G544" s="122"/>
      <c r="H544" s="131" t="b">
        <f aca="false">FALSE()</f>
        <v>0</v>
      </c>
      <c r="I544" s="131" t="b">
        <f aca="false">FALSE()</f>
        <v>0</v>
      </c>
      <c r="J544" s="130"/>
      <c r="K544" s="110"/>
      <c r="L544" s="83"/>
      <c r="M544" s="103"/>
      <c r="N544" s="103"/>
      <c r="O544" s="103"/>
      <c r="P544" s="103"/>
      <c r="Q544" s="103"/>
      <c r="R544" s="83"/>
      <c r="S544" s="103"/>
      <c r="T544" s="103"/>
      <c r="U544" s="103"/>
    </row>
    <row r="545" customFormat="false" ht="22.5" hidden="false" customHeight="true" outlineLevel="0" collapsed="false">
      <c r="A545" s="99"/>
      <c r="B545" s="99"/>
      <c r="C545" s="99"/>
      <c r="D545" s="121"/>
      <c r="E545" s="99"/>
      <c r="F545" s="124"/>
      <c r="G545" s="121"/>
      <c r="H545" s="132" t="b">
        <f aca="false">FALSE()</f>
        <v>0</v>
      </c>
      <c r="I545" s="132" t="b">
        <f aca="false">FALSE()</f>
        <v>0</v>
      </c>
      <c r="J545" s="126"/>
      <c r="K545" s="99"/>
      <c r="L545" s="83"/>
      <c r="M545" s="103"/>
      <c r="N545" s="103"/>
      <c r="O545" s="103"/>
      <c r="P545" s="103"/>
      <c r="Q545" s="103"/>
      <c r="R545" s="83"/>
      <c r="S545" s="103"/>
      <c r="T545" s="103"/>
      <c r="U545" s="103"/>
    </row>
    <row r="546" customFormat="false" ht="22.5" hidden="false" customHeight="true" outlineLevel="0" collapsed="false">
      <c r="A546" s="110"/>
      <c r="B546" s="110"/>
      <c r="C546" s="110"/>
      <c r="D546" s="122"/>
      <c r="E546" s="110"/>
      <c r="F546" s="128"/>
      <c r="G546" s="122"/>
      <c r="H546" s="131" t="b">
        <f aca="false">FALSE()</f>
        <v>0</v>
      </c>
      <c r="I546" s="131" t="b">
        <f aca="false">FALSE()</f>
        <v>0</v>
      </c>
      <c r="J546" s="130"/>
      <c r="K546" s="110"/>
      <c r="L546" s="83"/>
      <c r="M546" s="103"/>
      <c r="N546" s="103"/>
      <c r="O546" s="103"/>
      <c r="P546" s="103"/>
      <c r="Q546" s="103"/>
      <c r="R546" s="83"/>
      <c r="S546" s="103"/>
      <c r="T546" s="103"/>
      <c r="U546" s="103"/>
    </row>
    <row r="547" customFormat="false" ht="22.5" hidden="false" customHeight="true" outlineLevel="0" collapsed="false">
      <c r="A547" s="99"/>
      <c r="B547" s="99"/>
      <c r="C547" s="99"/>
      <c r="D547" s="121"/>
      <c r="E547" s="99"/>
      <c r="F547" s="124"/>
      <c r="G547" s="121"/>
      <c r="H547" s="132" t="b">
        <f aca="false">FALSE()</f>
        <v>0</v>
      </c>
      <c r="I547" s="132" t="b">
        <f aca="false">FALSE()</f>
        <v>0</v>
      </c>
      <c r="J547" s="126"/>
      <c r="K547" s="99"/>
      <c r="L547" s="83"/>
      <c r="M547" s="103"/>
      <c r="N547" s="103"/>
      <c r="O547" s="103"/>
      <c r="P547" s="103"/>
      <c r="Q547" s="103"/>
      <c r="R547" s="83"/>
      <c r="S547" s="103"/>
      <c r="T547" s="103"/>
      <c r="U547" s="103"/>
    </row>
    <row r="548" customFormat="false" ht="22.5" hidden="false" customHeight="true" outlineLevel="0" collapsed="false">
      <c r="A548" s="110"/>
      <c r="B548" s="110"/>
      <c r="C548" s="110"/>
      <c r="D548" s="122"/>
      <c r="E548" s="110"/>
      <c r="F548" s="128"/>
      <c r="G548" s="122"/>
      <c r="H548" s="131" t="b">
        <f aca="false">FALSE()</f>
        <v>0</v>
      </c>
      <c r="I548" s="131" t="b">
        <f aca="false">FALSE()</f>
        <v>0</v>
      </c>
      <c r="J548" s="130"/>
      <c r="K548" s="110"/>
      <c r="L548" s="83"/>
      <c r="M548" s="103"/>
      <c r="N548" s="103"/>
      <c r="O548" s="103"/>
      <c r="P548" s="103"/>
      <c r="Q548" s="103"/>
      <c r="R548" s="83"/>
      <c r="S548" s="103"/>
      <c r="T548" s="103"/>
      <c r="U548" s="103"/>
    </row>
    <row r="549" customFormat="false" ht="22.5" hidden="false" customHeight="true" outlineLevel="0" collapsed="false">
      <c r="A549" s="99"/>
      <c r="B549" s="99"/>
      <c r="C549" s="99"/>
      <c r="D549" s="121"/>
      <c r="E549" s="99"/>
      <c r="F549" s="124"/>
      <c r="G549" s="121"/>
      <c r="H549" s="132" t="b">
        <f aca="false">FALSE()</f>
        <v>0</v>
      </c>
      <c r="I549" s="132" t="b">
        <f aca="false">FALSE()</f>
        <v>0</v>
      </c>
      <c r="J549" s="126"/>
      <c r="K549" s="99"/>
      <c r="L549" s="83"/>
      <c r="M549" s="103"/>
      <c r="N549" s="103"/>
      <c r="O549" s="103"/>
      <c r="P549" s="103"/>
      <c r="Q549" s="103"/>
      <c r="R549" s="83"/>
      <c r="S549" s="103"/>
      <c r="T549" s="103"/>
      <c r="U549" s="103"/>
    </row>
    <row r="550" customFormat="false" ht="22.5" hidden="false" customHeight="true" outlineLevel="0" collapsed="false">
      <c r="A550" s="110"/>
      <c r="B550" s="110"/>
      <c r="C550" s="110"/>
      <c r="D550" s="122"/>
      <c r="E550" s="110"/>
      <c r="F550" s="128"/>
      <c r="G550" s="122"/>
      <c r="H550" s="131" t="b">
        <f aca="false">FALSE()</f>
        <v>0</v>
      </c>
      <c r="I550" s="131" t="b">
        <f aca="false">FALSE()</f>
        <v>0</v>
      </c>
      <c r="J550" s="130"/>
      <c r="K550" s="110"/>
      <c r="L550" s="83"/>
      <c r="M550" s="103"/>
      <c r="N550" s="103"/>
      <c r="O550" s="103"/>
      <c r="P550" s="103"/>
      <c r="Q550" s="103"/>
      <c r="R550" s="83"/>
      <c r="S550" s="103"/>
      <c r="T550" s="103"/>
      <c r="U550" s="103"/>
    </row>
    <row r="551" customFormat="false" ht="22.5" hidden="false" customHeight="true" outlineLevel="0" collapsed="false">
      <c r="A551" s="99"/>
      <c r="B551" s="99"/>
      <c r="C551" s="99"/>
      <c r="D551" s="121"/>
      <c r="E551" s="99"/>
      <c r="F551" s="124"/>
      <c r="G551" s="121"/>
      <c r="H551" s="132" t="b">
        <f aca="false">FALSE()</f>
        <v>0</v>
      </c>
      <c r="I551" s="132" t="b">
        <f aca="false">FALSE()</f>
        <v>0</v>
      </c>
      <c r="J551" s="126"/>
      <c r="K551" s="99"/>
      <c r="L551" s="83"/>
      <c r="M551" s="103"/>
      <c r="N551" s="103"/>
      <c r="O551" s="103"/>
      <c r="P551" s="103"/>
      <c r="Q551" s="103"/>
      <c r="R551" s="83"/>
      <c r="S551" s="103"/>
      <c r="T551" s="103"/>
      <c r="U551" s="103"/>
    </row>
    <row r="552" customFormat="false" ht="22.5" hidden="false" customHeight="true" outlineLevel="0" collapsed="false">
      <c r="A552" s="110"/>
      <c r="B552" s="110"/>
      <c r="C552" s="110"/>
      <c r="D552" s="122"/>
      <c r="E552" s="110"/>
      <c r="F552" s="128"/>
      <c r="G552" s="122"/>
      <c r="H552" s="131" t="b">
        <f aca="false">FALSE()</f>
        <v>0</v>
      </c>
      <c r="I552" s="131" t="b">
        <f aca="false">FALSE()</f>
        <v>0</v>
      </c>
      <c r="J552" s="130"/>
      <c r="K552" s="110"/>
      <c r="L552" s="83"/>
      <c r="M552" s="103"/>
      <c r="N552" s="103"/>
      <c r="O552" s="103"/>
      <c r="P552" s="103"/>
      <c r="Q552" s="103"/>
      <c r="R552" s="83"/>
      <c r="S552" s="103"/>
      <c r="T552" s="103"/>
      <c r="U552" s="103"/>
    </row>
    <row r="553" customFormat="false" ht="22.5" hidden="false" customHeight="true" outlineLevel="0" collapsed="false">
      <c r="A553" s="99"/>
      <c r="B553" s="99"/>
      <c r="C553" s="99"/>
      <c r="D553" s="121"/>
      <c r="E553" s="99"/>
      <c r="F553" s="124"/>
      <c r="G553" s="121"/>
      <c r="H553" s="132" t="b">
        <f aca="false">FALSE()</f>
        <v>0</v>
      </c>
      <c r="I553" s="132" t="b">
        <f aca="false">FALSE()</f>
        <v>0</v>
      </c>
      <c r="J553" s="126"/>
      <c r="K553" s="99"/>
      <c r="L553" s="83"/>
      <c r="M553" s="103"/>
      <c r="N553" s="103"/>
      <c r="O553" s="103"/>
      <c r="P553" s="103"/>
      <c r="Q553" s="103"/>
      <c r="R553" s="83"/>
      <c r="S553" s="103"/>
      <c r="T553" s="103"/>
      <c r="U553" s="103"/>
    </row>
    <row r="554" customFormat="false" ht="22.5" hidden="false" customHeight="true" outlineLevel="0" collapsed="false">
      <c r="A554" s="110"/>
      <c r="B554" s="110"/>
      <c r="C554" s="110"/>
      <c r="D554" s="122"/>
      <c r="E554" s="110"/>
      <c r="F554" s="128"/>
      <c r="G554" s="122"/>
      <c r="H554" s="131" t="b">
        <f aca="false">FALSE()</f>
        <v>0</v>
      </c>
      <c r="I554" s="131" t="b">
        <f aca="false">FALSE()</f>
        <v>0</v>
      </c>
      <c r="J554" s="130"/>
      <c r="K554" s="110"/>
      <c r="L554" s="83"/>
      <c r="M554" s="103"/>
      <c r="N554" s="103"/>
      <c r="O554" s="103"/>
      <c r="P554" s="103"/>
      <c r="Q554" s="103"/>
      <c r="R554" s="83"/>
      <c r="S554" s="103"/>
      <c r="T554" s="103"/>
      <c r="U554" s="103"/>
    </row>
    <row r="555" customFormat="false" ht="22.5" hidden="false" customHeight="true" outlineLevel="0" collapsed="false">
      <c r="A555" s="99"/>
      <c r="B555" s="99"/>
      <c r="C555" s="99"/>
      <c r="D555" s="121"/>
      <c r="E555" s="99"/>
      <c r="F555" s="124"/>
      <c r="G555" s="121"/>
      <c r="H555" s="132" t="b">
        <f aca="false">FALSE()</f>
        <v>0</v>
      </c>
      <c r="I555" s="132" t="b">
        <f aca="false">FALSE()</f>
        <v>0</v>
      </c>
      <c r="J555" s="126"/>
      <c r="K555" s="99"/>
      <c r="L555" s="83"/>
      <c r="M555" s="103"/>
      <c r="N555" s="103"/>
      <c r="O555" s="103"/>
      <c r="P555" s="103"/>
      <c r="Q555" s="103"/>
      <c r="R555" s="83"/>
      <c r="S555" s="103"/>
      <c r="T555" s="103"/>
      <c r="U555" s="103"/>
    </row>
    <row r="556" customFormat="false" ht="22.5" hidden="false" customHeight="true" outlineLevel="0" collapsed="false">
      <c r="A556" s="110"/>
      <c r="B556" s="110"/>
      <c r="C556" s="110"/>
      <c r="D556" s="122"/>
      <c r="E556" s="110"/>
      <c r="F556" s="128"/>
      <c r="G556" s="122"/>
      <c r="H556" s="131" t="b">
        <f aca="false">FALSE()</f>
        <v>0</v>
      </c>
      <c r="I556" s="131" t="b">
        <f aca="false">FALSE()</f>
        <v>0</v>
      </c>
      <c r="J556" s="130"/>
      <c r="K556" s="110"/>
      <c r="L556" s="83"/>
      <c r="M556" s="103"/>
      <c r="N556" s="103"/>
      <c r="O556" s="103"/>
      <c r="P556" s="103"/>
      <c r="Q556" s="103"/>
      <c r="R556" s="83"/>
      <c r="S556" s="103"/>
      <c r="T556" s="103"/>
      <c r="U556" s="103"/>
    </row>
    <row r="557" customFormat="false" ht="22.5" hidden="false" customHeight="true" outlineLevel="0" collapsed="false">
      <c r="A557" s="99"/>
      <c r="B557" s="99"/>
      <c r="C557" s="99"/>
      <c r="D557" s="121"/>
      <c r="E557" s="99"/>
      <c r="F557" s="124"/>
      <c r="G557" s="121"/>
      <c r="H557" s="132" t="b">
        <f aca="false">FALSE()</f>
        <v>0</v>
      </c>
      <c r="I557" s="132" t="b">
        <f aca="false">FALSE()</f>
        <v>0</v>
      </c>
      <c r="J557" s="126"/>
      <c r="K557" s="99"/>
      <c r="L557" s="83"/>
      <c r="M557" s="103"/>
      <c r="N557" s="103"/>
      <c r="O557" s="103"/>
      <c r="P557" s="103"/>
      <c r="Q557" s="103"/>
      <c r="R557" s="83"/>
      <c r="S557" s="103"/>
      <c r="T557" s="103"/>
      <c r="U557" s="103"/>
    </row>
    <row r="558" customFormat="false" ht="22.5" hidden="false" customHeight="true" outlineLevel="0" collapsed="false">
      <c r="A558" s="110"/>
      <c r="B558" s="110"/>
      <c r="C558" s="110"/>
      <c r="D558" s="122"/>
      <c r="E558" s="110"/>
      <c r="F558" s="128"/>
      <c r="G558" s="122"/>
      <c r="H558" s="131" t="b">
        <f aca="false">FALSE()</f>
        <v>0</v>
      </c>
      <c r="I558" s="131" t="b">
        <f aca="false">FALSE()</f>
        <v>0</v>
      </c>
      <c r="J558" s="130"/>
      <c r="K558" s="110"/>
      <c r="L558" s="83"/>
      <c r="M558" s="103"/>
      <c r="N558" s="103"/>
      <c r="O558" s="103"/>
      <c r="P558" s="103"/>
      <c r="Q558" s="103"/>
      <c r="R558" s="83"/>
      <c r="S558" s="103"/>
      <c r="T558" s="103"/>
      <c r="U558" s="103"/>
    </row>
    <row r="559" customFormat="false" ht="22.5" hidden="false" customHeight="true" outlineLevel="0" collapsed="false">
      <c r="A559" s="99"/>
      <c r="B559" s="99"/>
      <c r="C559" s="99"/>
      <c r="D559" s="121"/>
      <c r="E559" s="99"/>
      <c r="F559" s="124"/>
      <c r="G559" s="121"/>
      <c r="H559" s="132" t="b">
        <f aca="false">FALSE()</f>
        <v>0</v>
      </c>
      <c r="I559" s="132" t="b">
        <f aca="false">FALSE()</f>
        <v>0</v>
      </c>
      <c r="J559" s="126"/>
      <c r="K559" s="99"/>
      <c r="L559" s="83"/>
      <c r="M559" s="103"/>
      <c r="N559" s="103"/>
      <c r="O559" s="103"/>
      <c r="P559" s="103"/>
      <c r="Q559" s="103"/>
      <c r="R559" s="83"/>
      <c r="S559" s="103"/>
      <c r="T559" s="103"/>
      <c r="U559" s="103"/>
    </row>
    <row r="560" customFormat="false" ht="22.5" hidden="false" customHeight="true" outlineLevel="0" collapsed="false">
      <c r="A560" s="110"/>
      <c r="B560" s="110"/>
      <c r="C560" s="110"/>
      <c r="D560" s="122"/>
      <c r="E560" s="110"/>
      <c r="F560" s="128"/>
      <c r="G560" s="122"/>
      <c r="H560" s="131" t="b">
        <f aca="false">FALSE()</f>
        <v>0</v>
      </c>
      <c r="I560" s="131" t="b">
        <f aca="false">FALSE()</f>
        <v>0</v>
      </c>
      <c r="J560" s="130"/>
      <c r="K560" s="110"/>
      <c r="L560" s="83"/>
      <c r="M560" s="103"/>
      <c r="N560" s="103"/>
      <c r="O560" s="103"/>
      <c r="P560" s="103"/>
      <c r="Q560" s="103"/>
      <c r="R560" s="83"/>
      <c r="S560" s="103"/>
      <c r="T560" s="103"/>
      <c r="U560" s="103"/>
    </row>
    <row r="561" customFormat="false" ht="22.5" hidden="false" customHeight="true" outlineLevel="0" collapsed="false">
      <c r="A561" s="99"/>
      <c r="B561" s="99"/>
      <c r="C561" s="99"/>
      <c r="D561" s="121"/>
      <c r="E561" s="99"/>
      <c r="F561" s="124"/>
      <c r="G561" s="121"/>
      <c r="H561" s="132" t="b">
        <f aca="false">FALSE()</f>
        <v>0</v>
      </c>
      <c r="I561" s="132" t="b">
        <f aca="false">FALSE()</f>
        <v>0</v>
      </c>
      <c r="J561" s="126"/>
      <c r="K561" s="99"/>
      <c r="L561" s="83"/>
      <c r="M561" s="103"/>
      <c r="N561" s="103"/>
      <c r="O561" s="103"/>
      <c r="P561" s="103"/>
      <c r="Q561" s="103"/>
      <c r="R561" s="83"/>
      <c r="S561" s="103"/>
      <c r="T561" s="103"/>
      <c r="U561" s="103"/>
    </row>
    <row r="562" customFormat="false" ht="22.5" hidden="false" customHeight="true" outlineLevel="0" collapsed="false">
      <c r="A562" s="110"/>
      <c r="B562" s="110"/>
      <c r="C562" s="110"/>
      <c r="D562" s="122"/>
      <c r="E562" s="110"/>
      <c r="F562" s="128"/>
      <c r="G562" s="122"/>
      <c r="H562" s="131" t="b">
        <f aca="false">FALSE()</f>
        <v>0</v>
      </c>
      <c r="I562" s="131" t="b">
        <f aca="false">FALSE()</f>
        <v>0</v>
      </c>
      <c r="J562" s="130"/>
      <c r="K562" s="110"/>
      <c r="L562" s="83"/>
      <c r="M562" s="103"/>
      <c r="N562" s="103"/>
      <c r="O562" s="103"/>
      <c r="P562" s="103"/>
      <c r="Q562" s="103"/>
      <c r="R562" s="83"/>
      <c r="S562" s="103"/>
      <c r="T562" s="103"/>
      <c r="U562" s="103"/>
    </row>
    <row r="563" customFormat="false" ht="22.5" hidden="false" customHeight="true" outlineLevel="0" collapsed="false">
      <c r="A563" s="99"/>
      <c r="B563" s="99"/>
      <c r="C563" s="99"/>
      <c r="D563" s="121"/>
      <c r="E563" s="99"/>
      <c r="F563" s="124"/>
      <c r="G563" s="121"/>
      <c r="H563" s="132" t="b">
        <f aca="false">FALSE()</f>
        <v>0</v>
      </c>
      <c r="I563" s="132" t="b">
        <f aca="false">FALSE()</f>
        <v>0</v>
      </c>
      <c r="J563" s="126"/>
      <c r="K563" s="99"/>
      <c r="L563" s="83"/>
      <c r="M563" s="103"/>
      <c r="N563" s="103"/>
      <c r="O563" s="103"/>
      <c r="P563" s="103"/>
      <c r="Q563" s="103"/>
      <c r="R563" s="83"/>
      <c r="S563" s="103"/>
      <c r="T563" s="103"/>
      <c r="U563" s="103"/>
    </row>
    <row r="564" customFormat="false" ht="22.5" hidden="false" customHeight="true" outlineLevel="0" collapsed="false">
      <c r="A564" s="110"/>
      <c r="B564" s="110"/>
      <c r="C564" s="110"/>
      <c r="D564" s="122"/>
      <c r="E564" s="110"/>
      <c r="F564" s="128"/>
      <c r="G564" s="122"/>
      <c r="H564" s="131" t="b">
        <f aca="false">FALSE()</f>
        <v>0</v>
      </c>
      <c r="I564" s="131" t="b">
        <f aca="false">FALSE()</f>
        <v>0</v>
      </c>
      <c r="J564" s="130"/>
      <c r="K564" s="110"/>
      <c r="L564" s="83"/>
      <c r="M564" s="103"/>
      <c r="N564" s="103"/>
      <c r="O564" s="103"/>
      <c r="P564" s="103"/>
      <c r="Q564" s="103"/>
      <c r="R564" s="83"/>
      <c r="S564" s="103"/>
      <c r="T564" s="103"/>
      <c r="U564" s="103"/>
    </row>
    <row r="565" customFormat="false" ht="22.5" hidden="false" customHeight="true" outlineLevel="0" collapsed="false">
      <c r="A565" s="99"/>
      <c r="B565" s="99"/>
      <c r="C565" s="99"/>
      <c r="D565" s="121"/>
      <c r="E565" s="99"/>
      <c r="F565" s="124"/>
      <c r="G565" s="121"/>
      <c r="H565" s="132" t="b">
        <f aca="false">FALSE()</f>
        <v>0</v>
      </c>
      <c r="I565" s="132" t="b">
        <f aca="false">FALSE()</f>
        <v>0</v>
      </c>
      <c r="J565" s="126"/>
      <c r="K565" s="99"/>
      <c r="L565" s="83"/>
      <c r="M565" s="103"/>
      <c r="N565" s="103"/>
      <c r="O565" s="103"/>
      <c r="P565" s="103"/>
      <c r="Q565" s="103"/>
      <c r="R565" s="83"/>
      <c r="S565" s="103"/>
      <c r="T565" s="103"/>
      <c r="U565" s="103"/>
    </row>
    <row r="566" customFormat="false" ht="22.5" hidden="false" customHeight="true" outlineLevel="0" collapsed="false">
      <c r="A566" s="110"/>
      <c r="B566" s="110"/>
      <c r="C566" s="110"/>
      <c r="D566" s="122"/>
      <c r="E566" s="110"/>
      <c r="F566" s="128"/>
      <c r="G566" s="122"/>
      <c r="H566" s="131" t="b">
        <f aca="false">FALSE()</f>
        <v>0</v>
      </c>
      <c r="I566" s="131" t="b">
        <f aca="false">FALSE()</f>
        <v>0</v>
      </c>
      <c r="J566" s="130"/>
      <c r="K566" s="110"/>
      <c r="L566" s="83"/>
      <c r="M566" s="103"/>
      <c r="N566" s="103"/>
      <c r="O566" s="103"/>
      <c r="P566" s="103"/>
      <c r="Q566" s="103"/>
      <c r="R566" s="83"/>
      <c r="S566" s="103"/>
      <c r="T566" s="103"/>
      <c r="U566" s="103"/>
    </row>
    <row r="567" customFormat="false" ht="22.5" hidden="false" customHeight="true" outlineLevel="0" collapsed="false">
      <c r="A567" s="99"/>
      <c r="B567" s="99"/>
      <c r="C567" s="99"/>
      <c r="D567" s="121"/>
      <c r="E567" s="99"/>
      <c r="F567" s="124"/>
      <c r="G567" s="121"/>
      <c r="H567" s="132" t="b">
        <f aca="false">FALSE()</f>
        <v>0</v>
      </c>
      <c r="I567" s="132" t="b">
        <f aca="false">FALSE()</f>
        <v>0</v>
      </c>
      <c r="J567" s="126"/>
      <c r="K567" s="99"/>
      <c r="L567" s="83"/>
      <c r="M567" s="103"/>
      <c r="N567" s="103"/>
      <c r="O567" s="103"/>
      <c r="P567" s="103"/>
      <c r="Q567" s="103"/>
      <c r="R567" s="83"/>
      <c r="S567" s="103"/>
      <c r="T567" s="103"/>
      <c r="U567" s="103"/>
    </row>
    <row r="568" customFormat="false" ht="22.5" hidden="false" customHeight="true" outlineLevel="0" collapsed="false">
      <c r="A568" s="110"/>
      <c r="B568" s="110"/>
      <c r="C568" s="110"/>
      <c r="D568" s="122"/>
      <c r="E568" s="110"/>
      <c r="F568" s="128"/>
      <c r="G568" s="122"/>
      <c r="H568" s="131" t="b">
        <f aca="false">FALSE()</f>
        <v>0</v>
      </c>
      <c r="I568" s="131" t="b">
        <f aca="false">FALSE()</f>
        <v>0</v>
      </c>
      <c r="J568" s="130"/>
      <c r="K568" s="110"/>
      <c r="L568" s="83"/>
      <c r="M568" s="103"/>
      <c r="N568" s="103"/>
      <c r="O568" s="103"/>
      <c r="P568" s="103"/>
      <c r="Q568" s="103"/>
      <c r="R568" s="83"/>
      <c r="S568" s="103"/>
      <c r="T568" s="103"/>
      <c r="U568" s="103"/>
    </row>
    <row r="569" customFormat="false" ht="22.5" hidden="false" customHeight="true" outlineLevel="0" collapsed="false">
      <c r="A569" s="99"/>
      <c r="B569" s="99"/>
      <c r="C569" s="99"/>
      <c r="D569" s="121"/>
      <c r="E569" s="99"/>
      <c r="F569" s="124"/>
      <c r="G569" s="121"/>
      <c r="H569" s="132" t="b">
        <f aca="false">FALSE()</f>
        <v>0</v>
      </c>
      <c r="I569" s="132" t="b">
        <f aca="false">FALSE()</f>
        <v>0</v>
      </c>
      <c r="J569" s="126"/>
      <c r="K569" s="99"/>
      <c r="L569" s="83"/>
      <c r="M569" s="103"/>
      <c r="N569" s="103"/>
      <c r="O569" s="103"/>
      <c r="P569" s="103"/>
      <c r="Q569" s="103"/>
      <c r="R569" s="83"/>
      <c r="S569" s="103"/>
      <c r="T569" s="103"/>
      <c r="U569" s="103"/>
    </row>
    <row r="570" customFormat="false" ht="22.5" hidden="false" customHeight="true" outlineLevel="0" collapsed="false">
      <c r="A570" s="110"/>
      <c r="B570" s="110"/>
      <c r="C570" s="110"/>
      <c r="D570" s="122"/>
      <c r="E570" s="110"/>
      <c r="F570" s="128"/>
      <c r="G570" s="122"/>
      <c r="H570" s="131" t="b">
        <f aca="false">FALSE()</f>
        <v>0</v>
      </c>
      <c r="I570" s="131" t="b">
        <f aca="false">FALSE()</f>
        <v>0</v>
      </c>
      <c r="J570" s="130"/>
      <c r="K570" s="110"/>
      <c r="L570" s="83"/>
      <c r="M570" s="103"/>
      <c r="N570" s="103"/>
      <c r="O570" s="103"/>
      <c r="P570" s="103"/>
      <c r="Q570" s="103"/>
      <c r="R570" s="83"/>
      <c r="S570" s="103"/>
      <c r="T570" s="103"/>
      <c r="U570" s="103"/>
    </row>
    <row r="571" customFormat="false" ht="22.5" hidden="false" customHeight="true" outlineLevel="0" collapsed="false">
      <c r="A571" s="99"/>
      <c r="B571" s="99"/>
      <c r="C571" s="99"/>
      <c r="D571" s="121"/>
      <c r="E571" s="99"/>
      <c r="F571" s="124"/>
      <c r="G571" s="121"/>
      <c r="H571" s="132" t="b">
        <f aca="false">FALSE()</f>
        <v>0</v>
      </c>
      <c r="I571" s="132" t="b">
        <f aca="false">FALSE()</f>
        <v>0</v>
      </c>
      <c r="J571" s="126"/>
      <c r="K571" s="99"/>
      <c r="L571" s="83"/>
      <c r="M571" s="103"/>
      <c r="N571" s="103"/>
      <c r="O571" s="103"/>
      <c r="P571" s="103"/>
      <c r="Q571" s="103"/>
      <c r="R571" s="83"/>
      <c r="S571" s="103"/>
      <c r="T571" s="103"/>
      <c r="U571" s="103"/>
    </row>
    <row r="572" customFormat="false" ht="22.5" hidden="false" customHeight="true" outlineLevel="0" collapsed="false">
      <c r="A572" s="110"/>
      <c r="B572" s="110"/>
      <c r="C572" s="110"/>
      <c r="D572" s="122"/>
      <c r="E572" s="110"/>
      <c r="F572" s="128"/>
      <c r="G572" s="122"/>
      <c r="H572" s="131" t="b">
        <f aca="false">FALSE()</f>
        <v>0</v>
      </c>
      <c r="I572" s="131" t="b">
        <f aca="false">FALSE()</f>
        <v>0</v>
      </c>
      <c r="J572" s="130"/>
      <c r="K572" s="110"/>
      <c r="L572" s="83"/>
      <c r="M572" s="103"/>
      <c r="N572" s="103"/>
      <c r="O572" s="103"/>
      <c r="P572" s="103"/>
      <c r="Q572" s="103"/>
      <c r="R572" s="83"/>
      <c r="S572" s="103"/>
      <c r="T572" s="103"/>
      <c r="U572" s="103"/>
    </row>
    <row r="573" customFormat="false" ht="22.5" hidden="false" customHeight="true" outlineLevel="0" collapsed="false">
      <c r="A573" s="99"/>
      <c r="B573" s="99"/>
      <c r="C573" s="99"/>
      <c r="D573" s="121"/>
      <c r="E573" s="99"/>
      <c r="F573" s="124"/>
      <c r="G573" s="121"/>
      <c r="H573" s="132" t="b">
        <f aca="false">FALSE()</f>
        <v>0</v>
      </c>
      <c r="I573" s="132" t="b">
        <f aca="false">FALSE()</f>
        <v>0</v>
      </c>
      <c r="J573" s="126"/>
      <c r="K573" s="99"/>
      <c r="L573" s="83"/>
      <c r="M573" s="103"/>
      <c r="N573" s="103"/>
      <c r="O573" s="103"/>
      <c r="P573" s="103"/>
      <c r="Q573" s="103"/>
      <c r="R573" s="83"/>
      <c r="S573" s="103"/>
      <c r="T573" s="103"/>
      <c r="U573" s="103"/>
    </row>
    <row r="574" customFormat="false" ht="22.5" hidden="false" customHeight="true" outlineLevel="0" collapsed="false">
      <c r="A574" s="110"/>
      <c r="B574" s="110"/>
      <c r="C574" s="110"/>
      <c r="D574" s="122"/>
      <c r="E574" s="110"/>
      <c r="F574" s="128"/>
      <c r="G574" s="122"/>
      <c r="H574" s="131" t="b">
        <f aca="false">FALSE()</f>
        <v>0</v>
      </c>
      <c r="I574" s="131" t="b">
        <f aca="false">FALSE()</f>
        <v>0</v>
      </c>
      <c r="J574" s="130"/>
      <c r="K574" s="110"/>
      <c r="L574" s="83"/>
      <c r="M574" s="103"/>
      <c r="N574" s="103"/>
      <c r="O574" s="103"/>
      <c r="P574" s="103"/>
      <c r="Q574" s="103"/>
      <c r="R574" s="83"/>
      <c r="S574" s="103"/>
      <c r="T574" s="103"/>
      <c r="U574" s="103"/>
    </row>
    <row r="575" customFormat="false" ht="22.5" hidden="false" customHeight="true" outlineLevel="0" collapsed="false">
      <c r="A575" s="99"/>
      <c r="B575" s="99"/>
      <c r="C575" s="99"/>
      <c r="D575" s="121"/>
      <c r="E575" s="99"/>
      <c r="F575" s="124"/>
      <c r="G575" s="121"/>
      <c r="H575" s="132" t="b">
        <f aca="false">FALSE()</f>
        <v>0</v>
      </c>
      <c r="I575" s="132" t="b">
        <f aca="false">FALSE()</f>
        <v>0</v>
      </c>
      <c r="J575" s="126"/>
      <c r="K575" s="99"/>
      <c r="L575" s="83"/>
      <c r="M575" s="103"/>
      <c r="N575" s="103"/>
      <c r="O575" s="103"/>
      <c r="P575" s="103"/>
      <c r="Q575" s="103"/>
      <c r="R575" s="83"/>
      <c r="S575" s="103"/>
      <c r="T575" s="103"/>
      <c r="U575" s="103"/>
    </row>
    <row r="576" customFormat="false" ht="22.5" hidden="false" customHeight="true" outlineLevel="0" collapsed="false">
      <c r="A576" s="110"/>
      <c r="B576" s="110"/>
      <c r="C576" s="110"/>
      <c r="D576" s="122"/>
      <c r="E576" s="110"/>
      <c r="F576" s="128"/>
      <c r="G576" s="122"/>
      <c r="H576" s="131" t="b">
        <f aca="false">FALSE()</f>
        <v>0</v>
      </c>
      <c r="I576" s="131" t="b">
        <f aca="false">FALSE()</f>
        <v>0</v>
      </c>
      <c r="J576" s="130"/>
      <c r="K576" s="110"/>
      <c r="L576" s="83"/>
      <c r="M576" s="103"/>
      <c r="N576" s="103"/>
      <c r="O576" s="103"/>
      <c r="P576" s="103"/>
      <c r="Q576" s="103"/>
      <c r="R576" s="83"/>
      <c r="S576" s="103"/>
      <c r="T576" s="103"/>
      <c r="U576" s="103"/>
    </row>
    <row r="577" customFormat="false" ht="22.5" hidden="false" customHeight="true" outlineLevel="0" collapsed="false">
      <c r="A577" s="99"/>
      <c r="B577" s="99"/>
      <c r="C577" s="99"/>
      <c r="D577" s="121"/>
      <c r="E577" s="99"/>
      <c r="F577" s="124"/>
      <c r="G577" s="121"/>
      <c r="H577" s="132" t="b">
        <f aca="false">FALSE()</f>
        <v>0</v>
      </c>
      <c r="I577" s="132" t="b">
        <f aca="false">FALSE()</f>
        <v>0</v>
      </c>
      <c r="J577" s="126"/>
      <c r="K577" s="99"/>
      <c r="L577" s="83"/>
      <c r="M577" s="103"/>
      <c r="N577" s="103"/>
      <c r="O577" s="103"/>
      <c r="P577" s="103"/>
      <c r="Q577" s="103"/>
      <c r="R577" s="83"/>
      <c r="S577" s="103"/>
      <c r="T577" s="103"/>
      <c r="U577" s="103"/>
    </row>
    <row r="578" customFormat="false" ht="22.5" hidden="false" customHeight="true" outlineLevel="0" collapsed="false">
      <c r="A578" s="110"/>
      <c r="B578" s="110"/>
      <c r="C578" s="110"/>
      <c r="D578" s="122"/>
      <c r="E578" s="110"/>
      <c r="F578" s="128"/>
      <c r="G578" s="122"/>
      <c r="H578" s="131" t="b">
        <f aca="false">FALSE()</f>
        <v>0</v>
      </c>
      <c r="I578" s="131" t="b">
        <f aca="false">FALSE()</f>
        <v>0</v>
      </c>
      <c r="J578" s="130"/>
      <c r="K578" s="110"/>
      <c r="L578" s="83"/>
      <c r="M578" s="103"/>
      <c r="N578" s="103"/>
      <c r="O578" s="103"/>
      <c r="P578" s="103"/>
      <c r="Q578" s="103"/>
      <c r="R578" s="83"/>
      <c r="S578" s="103"/>
      <c r="T578" s="103"/>
      <c r="U578" s="103"/>
    </row>
    <row r="579" customFormat="false" ht="22.5" hidden="false" customHeight="true" outlineLevel="0" collapsed="false">
      <c r="A579" s="99"/>
      <c r="B579" s="99"/>
      <c r="C579" s="99"/>
      <c r="D579" s="121"/>
      <c r="E579" s="99"/>
      <c r="F579" s="124"/>
      <c r="G579" s="121"/>
      <c r="H579" s="132" t="b">
        <f aca="false">FALSE()</f>
        <v>0</v>
      </c>
      <c r="I579" s="132" t="b">
        <f aca="false">FALSE()</f>
        <v>0</v>
      </c>
      <c r="J579" s="126"/>
      <c r="K579" s="99"/>
      <c r="L579" s="83"/>
      <c r="M579" s="103"/>
      <c r="N579" s="103"/>
      <c r="O579" s="103"/>
      <c r="P579" s="103"/>
      <c r="Q579" s="103"/>
      <c r="R579" s="83"/>
      <c r="S579" s="103"/>
      <c r="T579" s="103"/>
      <c r="U579" s="103"/>
    </row>
    <row r="580" customFormat="false" ht="22.5" hidden="false" customHeight="true" outlineLevel="0" collapsed="false">
      <c r="A580" s="110"/>
      <c r="B580" s="110"/>
      <c r="C580" s="110"/>
      <c r="D580" s="122"/>
      <c r="E580" s="110"/>
      <c r="F580" s="128"/>
      <c r="G580" s="122"/>
      <c r="H580" s="131" t="b">
        <f aca="false">FALSE()</f>
        <v>0</v>
      </c>
      <c r="I580" s="131" t="b">
        <f aca="false">FALSE()</f>
        <v>0</v>
      </c>
      <c r="J580" s="130"/>
      <c r="K580" s="110"/>
      <c r="L580" s="83"/>
      <c r="M580" s="103"/>
      <c r="N580" s="103"/>
      <c r="O580" s="103"/>
      <c r="P580" s="103"/>
      <c r="Q580" s="103"/>
      <c r="R580" s="83"/>
      <c r="S580" s="103"/>
      <c r="T580" s="103"/>
      <c r="U580" s="103"/>
    </row>
    <row r="581" customFormat="false" ht="22.5" hidden="false" customHeight="true" outlineLevel="0" collapsed="false">
      <c r="A581" s="99"/>
      <c r="B581" s="99"/>
      <c r="C581" s="99"/>
      <c r="D581" s="121"/>
      <c r="E581" s="99"/>
      <c r="F581" s="124"/>
      <c r="G581" s="121"/>
      <c r="H581" s="132" t="b">
        <f aca="false">FALSE()</f>
        <v>0</v>
      </c>
      <c r="I581" s="132" t="b">
        <f aca="false">FALSE()</f>
        <v>0</v>
      </c>
      <c r="J581" s="126"/>
      <c r="K581" s="99"/>
      <c r="L581" s="83"/>
      <c r="M581" s="103"/>
      <c r="N581" s="103"/>
      <c r="O581" s="103"/>
      <c r="P581" s="103"/>
      <c r="Q581" s="103"/>
      <c r="R581" s="83"/>
      <c r="S581" s="103"/>
      <c r="T581" s="103"/>
      <c r="U581" s="103"/>
    </row>
    <row r="582" customFormat="false" ht="22.5" hidden="false" customHeight="true" outlineLevel="0" collapsed="false">
      <c r="A582" s="110"/>
      <c r="B582" s="110"/>
      <c r="C582" s="110"/>
      <c r="D582" s="122"/>
      <c r="E582" s="110"/>
      <c r="F582" s="128"/>
      <c r="G582" s="122"/>
      <c r="H582" s="131" t="b">
        <f aca="false">FALSE()</f>
        <v>0</v>
      </c>
      <c r="I582" s="131" t="b">
        <f aca="false">FALSE()</f>
        <v>0</v>
      </c>
      <c r="J582" s="130"/>
      <c r="K582" s="110"/>
      <c r="L582" s="83"/>
      <c r="M582" s="103"/>
      <c r="N582" s="103"/>
      <c r="O582" s="103"/>
      <c r="P582" s="103"/>
      <c r="Q582" s="103"/>
      <c r="R582" s="83"/>
      <c r="S582" s="103"/>
      <c r="T582" s="103"/>
      <c r="U582" s="103"/>
    </row>
    <row r="583" customFormat="false" ht="22.5" hidden="false" customHeight="true" outlineLevel="0" collapsed="false">
      <c r="A583" s="99"/>
      <c r="B583" s="99"/>
      <c r="C583" s="99"/>
      <c r="D583" s="121"/>
      <c r="E583" s="99"/>
      <c r="F583" s="124"/>
      <c r="G583" s="121"/>
      <c r="H583" s="132" t="b">
        <f aca="false">FALSE()</f>
        <v>0</v>
      </c>
      <c r="I583" s="132" t="b">
        <f aca="false">FALSE()</f>
        <v>0</v>
      </c>
      <c r="J583" s="126"/>
      <c r="K583" s="99"/>
      <c r="L583" s="83"/>
      <c r="M583" s="103"/>
      <c r="N583" s="103"/>
      <c r="O583" s="103"/>
      <c r="P583" s="103"/>
      <c r="Q583" s="103"/>
      <c r="R583" s="83"/>
      <c r="S583" s="103"/>
      <c r="T583" s="103"/>
      <c r="U583" s="103"/>
    </row>
    <row r="584" customFormat="false" ht="22.5" hidden="false" customHeight="true" outlineLevel="0" collapsed="false">
      <c r="A584" s="110"/>
      <c r="B584" s="110"/>
      <c r="C584" s="110"/>
      <c r="D584" s="122"/>
      <c r="E584" s="110"/>
      <c r="F584" s="128"/>
      <c r="G584" s="122"/>
      <c r="H584" s="131" t="b">
        <f aca="false">FALSE()</f>
        <v>0</v>
      </c>
      <c r="I584" s="131" t="b">
        <f aca="false">FALSE()</f>
        <v>0</v>
      </c>
      <c r="J584" s="130"/>
      <c r="K584" s="110"/>
      <c r="L584" s="83"/>
      <c r="M584" s="103"/>
      <c r="N584" s="103"/>
      <c r="O584" s="103"/>
      <c r="P584" s="103"/>
      <c r="Q584" s="103"/>
      <c r="R584" s="83"/>
      <c r="S584" s="103"/>
      <c r="T584" s="103"/>
      <c r="U584" s="103"/>
    </row>
    <row r="585" customFormat="false" ht="22.5" hidden="false" customHeight="true" outlineLevel="0" collapsed="false">
      <c r="A585" s="99"/>
      <c r="B585" s="99"/>
      <c r="C585" s="99"/>
      <c r="D585" s="121"/>
      <c r="E585" s="99"/>
      <c r="F585" s="124"/>
      <c r="G585" s="121"/>
      <c r="H585" s="132" t="b">
        <f aca="false">FALSE()</f>
        <v>0</v>
      </c>
      <c r="I585" s="132" t="b">
        <f aca="false">FALSE()</f>
        <v>0</v>
      </c>
      <c r="J585" s="126"/>
      <c r="K585" s="99"/>
      <c r="L585" s="83"/>
      <c r="M585" s="103"/>
      <c r="N585" s="103"/>
      <c r="O585" s="103"/>
      <c r="P585" s="103"/>
      <c r="Q585" s="103"/>
      <c r="R585" s="83"/>
      <c r="S585" s="103"/>
      <c r="T585" s="103"/>
      <c r="U585" s="103"/>
    </row>
    <row r="586" customFormat="false" ht="22.5" hidden="false" customHeight="true" outlineLevel="0" collapsed="false">
      <c r="A586" s="110"/>
      <c r="B586" s="110"/>
      <c r="C586" s="110"/>
      <c r="D586" s="122"/>
      <c r="E586" s="110"/>
      <c r="F586" s="128"/>
      <c r="G586" s="122"/>
      <c r="H586" s="131" t="b">
        <f aca="false">FALSE()</f>
        <v>0</v>
      </c>
      <c r="I586" s="131" t="b">
        <f aca="false">FALSE()</f>
        <v>0</v>
      </c>
      <c r="J586" s="130"/>
      <c r="K586" s="110"/>
      <c r="L586" s="83"/>
      <c r="M586" s="103"/>
      <c r="N586" s="103"/>
      <c r="O586" s="103"/>
      <c r="P586" s="103"/>
      <c r="Q586" s="103"/>
      <c r="R586" s="83"/>
      <c r="S586" s="103"/>
      <c r="T586" s="103"/>
      <c r="U586" s="103"/>
    </row>
    <row r="587" customFormat="false" ht="22.5" hidden="false" customHeight="true" outlineLevel="0" collapsed="false">
      <c r="A587" s="99"/>
      <c r="B587" s="99"/>
      <c r="C587" s="99"/>
      <c r="D587" s="121"/>
      <c r="E587" s="99"/>
      <c r="F587" s="124"/>
      <c r="G587" s="121"/>
      <c r="H587" s="132" t="b">
        <f aca="false">FALSE()</f>
        <v>0</v>
      </c>
      <c r="I587" s="132" t="b">
        <f aca="false">FALSE()</f>
        <v>0</v>
      </c>
      <c r="J587" s="126"/>
      <c r="K587" s="99"/>
      <c r="L587" s="83"/>
      <c r="M587" s="103"/>
      <c r="N587" s="103"/>
      <c r="O587" s="103"/>
      <c r="P587" s="103"/>
      <c r="Q587" s="103"/>
      <c r="R587" s="83"/>
      <c r="S587" s="103"/>
      <c r="T587" s="103"/>
      <c r="U587" s="103"/>
    </row>
    <row r="588" customFormat="false" ht="22.5" hidden="false" customHeight="true" outlineLevel="0" collapsed="false">
      <c r="A588" s="110"/>
      <c r="B588" s="110"/>
      <c r="C588" s="110"/>
      <c r="D588" s="122"/>
      <c r="E588" s="110"/>
      <c r="F588" s="128"/>
      <c r="G588" s="122"/>
      <c r="H588" s="131" t="b">
        <f aca="false">FALSE()</f>
        <v>0</v>
      </c>
      <c r="I588" s="131" t="b">
        <f aca="false">FALSE()</f>
        <v>0</v>
      </c>
      <c r="J588" s="130"/>
      <c r="K588" s="110"/>
      <c r="L588" s="83"/>
      <c r="M588" s="103"/>
      <c r="N588" s="103"/>
      <c r="O588" s="103"/>
      <c r="P588" s="103"/>
      <c r="Q588" s="103"/>
      <c r="R588" s="83"/>
      <c r="S588" s="103"/>
      <c r="T588" s="103"/>
      <c r="U588" s="103"/>
    </row>
    <row r="589" customFormat="false" ht="22.5" hidden="false" customHeight="true" outlineLevel="0" collapsed="false">
      <c r="A589" s="99"/>
      <c r="B589" s="99"/>
      <c r="C589" s="99"/>
      <c r="D589" s="121"/>
      <c r="E589" s="99"/>
      <c r="F589" s="124"/>
      <c r="G589" s="121"/>
      <c r="H589" s="132" t="b">
        <f aca="false">FALSE()</f>
        <v>0</v>
      </c>
      <c r="I589" s="132" t="b">
        <f aca="false">FALSE()</f>
        <v>0</v>
      </c>
      <c r="J589" s="126"/>
      <c r="K589" s="99"/>
      <c r="L589" s="83"/>
      <c r="M589" s="103"/>
      <c r="N589" s="103"/>
      <c r="O589" s="103"/>
      <c r="P589" s="103"/>
      <c r="Q589" s="103"/>
      <c r="R589" s="83"/>
      <c r="S589" s="103"/>
      <c r="T589" s="103"/>
      <c r="U589" s="103"/>
    </row>
    <row r="590" customFormat="false" ht="22.5" hidden="false" customHeight="true" outlineLevel="0" collapsed="false">
      <c r="A590" s="110"/>
      <c r="B590" s="110"/>
      <c r="C590" s="110"/>
      <c r="D590" s="122"/>
      <c r="E590" s="110"/>
      <c r="F590" s="128"/>
      <c r="G590" s="122"/>
      <c r="H590" s="131" t="b">
        <f aca="false">FALSE()</f>
        <v>0</v>
      </c>
      <c r="I590" s="131" t="b">
        <f aca="false">FALSE()</f>
        <v>0</v>
      </c>
      <c r="J590" s="130"/>
      <c r="K590" s="110"/>
      <c r="L590" s="83"/>
      <c r="M590" s="103"/>
      <c r="N590" s="103"/>
      <c r="O590" s="103"/>
      <c r="P590" s="103"/>
      <c r="Q590" s="103"/>
      <c r="R590" s="83"/>
      <c r="S590" s="103"/>
      <c r="T590" s="103"/>
      <c r="U590" s="103"/>
    </row>
    <row r="591" customFormat="false" ht="22.5" hidden="false" customHeight="true" outlineLevel="0" collapsed="false">
      <c r="A591" s="99"/>
      <c r="B591" s="99"/>
      <c r="C591" s="99"/>
      <c r="D591" s="121"/>
      <c r="E591" s="99"/>
      <c r="F591" s="124"/>
      <c r="G591" s="121"/>
      <c r="H591" s="132" t="b">
        <f aca="false">FALSE()</f>
        <v>0</v>
      </c>
      <c r="I591" s="132" t="b">
        <f aca="false">FALSE()</f>
        <v>0</v>
      </c>
      <c r="J591" s="126"/>
      <c r="K591" s="99"/>
      <c r="L591" s="83"/>
      <c r="M591" s="103"/>
      <c r="N591" s="103"/>
      <c r="O591" s="103"/>
      <c r="P591" s="103"/>
      <c r="Q591" s="103"/>
      <c r="R591" s="83"/>
      <c r="S591" s="103"/>
      <c r="T591" s="103"/>
      <c r="U591" s="103"/>
    </row>
    <row r="592" customFormat="false" ht="22.5" hidden="false" customHeight="true" outlineLevel="0" collapsed="false">
      <c r="A592" s="110"/>
      <c r="B592" s="110"/>
      <c r="C592" s="110"/>
      <c r="D592" s="122"/>
      <c r="E592" s="110"/>
      <c r="F592" s="128"/>
      <c r="G592" s="122"/>
      <c r="H592" s="131" t="b">
        <f aca="false">FALSE()</f>
        <v>0</v>
      </c>
      <c r="I592" s="131" t="b">
        <f aca="false">FALSE()</f>
        <v>0</v>
      </c>
      <c r="J592" s="130"/>
      <c r="K592" s="110"/>
      <c r="L592" s="83"/>
      <c r="M592" s="103"/>
      <c r="N592" s="103"/>
      <c r="O592" s="103"/>
      <c r="P592" s="103"/>
      <c r="Q592" s="103"/>
      <c r="R592" s="83"/>
      <c r="S592" s="103"/>
      <c r="T592" s="103"/>
      <c r="U592" s="103"/>
    </row>
    <row r="593" customFormat="false" ht="22.5" hidden="false" customHeight="true" outlineLevel="0" collapsed="false">
      <c r="A593" s="99"/>
      <c r="B593" s="99"/>
      <c r="C593" s="99"/>
      <c r="D593" s="121"/>
      <c r="E593" s="99"/>
      <c r="F593" s="124"/>
      <c r="G593" s="121"/>
      <c r="H593" s="132" t="b">
        <f aca="false">FALSE()</f>
        <v>0</v>
      </c>
      <c r="I593" s="132" t="b">
        <f aca="false">FALSE()</f>
        <v>0</v>
      </c>
      <c r="J593" s="126"/>
      <c r="K593" s="99"/>
      <c r="L593" s="83"/>
      <c r="M593" s="103"/>
      <c r="N593" s="103"/>
      <c r="O593" s="103"/>
      <c r="P593" s="103"/>
      <c r="Q593" s="103"/>
      <c r="R593" s="83"/>
      <c r="S593" s="103"/>
      <c r="T593" s="103"/>
      <c r="U593" s="103"/>
    </row>
    <row r="594" customFormat="false" ht="22.5" hidden="false" customHeight="true" outlineLevel="0" collapsed="false">
      <c r="A594" s="110"/>
      <c r="B594" s="110"/>
      <c r="C594" s="110"/>
      <c r="D594" s="122"/>
      <c r="E594" s="110"/>
      <c r="F594" s="128"/>
      <c r="G594" s="122"/>
      <c r="H594" s="131" t="b">
        <f aca="false">FALSE()</f>
        <v>0</v>
      </c>
      <c r="I594" s="131" t="b">
        <f aca="false">FALSE()</f>
        <v>0</v>
      </c>
      <c r="J594" s="130"/>
      <c r="K594" s="110"/>
      <c r="L594" s="83"/>
      <c r="M594" s="103"/>
      <c r="N594" s="103"/>
      <c r="O594" s="103"/>
      <c r="P594" s="103"/>
      <c r="Q594" s="103"/>
      <c r="R594" s="83"/>
      <c r="S594" s="103"/>
      <c r="T594" s="103"/>
      <c r="U594" s="103"/>
    </row>
    <row r="595" customFormat="false" ht="22.5" hidden="false" customHeight="true" outlineLevel="0" collapsed="false">
      <c r="A595" s="99"/>
      <c r="B595" s="99"/>
      <c r="C595" s="99"/>
      <c r="D595" s="121"/>
      <c r="E595" s="99"/>
      <c r="F595" s="124"/>
      <c r="G595" s="121"/>
      <c r="H595" s="132" t="b">
        <f aca="false">FALSE()</f>
        <v>0</v>
      </c>
      <c r="I595" s="132" t="b">
        <f aca="false">FALSE()</f>
        <v>0</v>
      </c>
      <c r="J595" s="126"/>
      <c r="K595" s="99"/>
      <c r="L595" s="83"/>
      <c r="M595" s="103"/>
      <c r="N595" s="103"/>
      <c r="O595" s="103"/>
      <c r="P595" s="103"/>
      <c r="Q595" s="103"/>
      <c r="R595" s="83"/>
      <c r="S595" s="103"/>
      <c r="T595" s="103"/>
      <c r="U595" s="103"/>
    </row>
    <row r="596" customFormat="false" ht="22.5" hidden="false" customHeight="true" outlineLevel="0" collapsed="false">
      <c r="A596" s="110"/>
      <c r="B596" s="110"/>
      <c r="C596" s="110"/>
      <c r="D596" s="122"/>
      <c r="E596" s="110"/>
      <c r="F596" s="128"/>
      <c r="G596" s="122"/>
      <c r="H596" s="131" t="b">
        <f aca="false">FALSE()</f>
        <v>0</v>
      </c>
      <c r="I596" s="131" t="b">
        <f aca="false">FALSE()</f>
        <v>0</v>
      </c>
      <c r="J596" s="130"/>
      <c r="K596" s="110"/>
      <c r="L596" s="83"/>
      <c r="M596" s="103"/>
      <c r="N596" s="103"/>
      <c r="O596" s="103"/>
      <c r="P596" s="103"/>
      <c r="Q596" s="103"/>
      <c r="R596" s="83"/>
      <c r="S596" s="103"/>
      <c r="T596" s="103"/>
      <c r="U596" s="103"/>
    </row>
    <row r="597" customFormat="false" ht="22.5" hidden="false" customHeight="true" outlineLevel="0" collapsed="false">
      <c r="A597" s="99"/>
      <c r="B597" s="99"/>
      <c r="C597" s="99"/>
      <c r="D597" s="121"/>
      <c r="E597" s="99"/>
      <c r="F597" s="124"/>
      <c r="G597" s="121"/>
      <c r="H597" s="132" t="b">
        <f aca="false">FALSE()</f>
        <v>0</v>
      </c>
      <c r="I597" s="132" t="b">
        <f aca="false">FALSE()</f>
        <v>0</v>
      </c>
      <c r="J597" s="126"/>
      <c r="K597" s="99"/>
      <c r="L597" s="83"/>
      <c r="M597" s="103"/>
      <c r="N597" s="103"/>
      <c r="O597" s="103"/>
      <c r="P597" s="103"/>
      <c r="Q597" s="103"/>
      <c r="R597" s="83"/>
      <c r="S597" s="103"/>
      <c r="T597" s="103"/>
      <c r="U597" s="103"/>
    </row>
    <row r="598" customFormat="false" ht="22.5" hidden="false" customHeight="true" outlineLevel="0" collapsed="false">
      <c r="A598" s="110"/>
      <c r="B598" s="110"/>
      <c r="C598" s="110"/>
      <c r="D598" s="122"/>
      <c r="E598" s="110"/>
      <c r="F598" s="128"/>
      <c r="G598" s="122"/>
      <c r="H598" s="131" t="b">
        <f aca="false">FALSE()</f>
        <v>0</v>
      </c>
      <c r="I598" s="131" t="b">
        <f aca="false">FALSE()</f>
        <v>0</v>
      </c>
      <c r="J598" s="130"/>
      <c r="K598" s="110"/>
      <c r="L598" s="83"/>
      <c r="M598" s="103"/>
      <c r="N598" s="103"/>
      <c r="O598" s="103"/>
      <c r="P598" s="103"/>
      <c r="Q598" s="103"/>
      <c r="R598" s="83"/>
      <c r="S598" s="103"/>
      <c r="T598" s="103"/>
      <c r="U598" s="103"/>
    </row>
    <row r="599" customFormat="false" ht="22.5" hidden="false" customHeight="true" outlineLevel="0" collapsed="false">
      <c r="A599" s="99"/>
      <c r="B599" s="99"/>
      <c r="C599" s="99"/>
      <c r="D599" s="121"/>
      <c r="E599" s="99"/>
      <c r="F599" s="124"/>
      <c r="G599" s="121"/>
      <c r="H599" s="132" t="b">
        <f aca="false">FALSE()</f>
        <v>0</v>
      </c>
      <c r="I599" s="132" t="b">
        <f aca="false">FALSE()</f>
        <v>0</v>
      </c>
      <c r="J599" s="126"/>
      <c r="K599" s="99"/>
      <c r="L599" s="83"/>
      <c r="M599" s="103"/>
      <c r="N599" s="103"/>
      <c r="O599" s="103"/>
      <c r="P599" s="103"/>
      <c r="Q599" s="103"/>
      <c r="R599" s="83"/>
      <c r="S599" s="103"/>
      <c r="T599" s="103"/>
      <c r="U599" s="103"/>
    </row>
    <row r="600" customFormat="false" ht="22.5" hidden="false" customHeight="true" outlineLevel="0" collapsed="false">
      <c r="A600" s="110"/>
      <c r="B600" s="110"/>
      <c r="C600" s="110"/>
      <c r="D600" s="122"/>
      <c r="E600" s="110"/>
      <c r="F600" s="128"/>
      <c r="G600" s="122"/>
      <c r="H600" s="131" t="b">
        <f aca="false">FALSE()</f>
        <v>0</v>
      </c>
      <c r="I600" s="131" t="b">
        <f aca="false">FALSE()</f>
        <v>0</v>
      </c>
      <c r="J600" s="130"/>
      <c r="K600" s="110"/>
      <c r="L600" s="83"/>
      <c r="M600" s="103"/>
      <c r="N600" s="103"/>
      <c r="O600" s="103"/>
      <c r="P600" s="103"/>
      <c r="Q600" s="103"/>
      <c r="R600" s="83"/>
      <c r="S600" s="103"/>
      <c r="T600" s="103"/>
      <c r="U600" s="103"/>
    </row>
    <row r="601" customFormat="false" ht="22.5" hidden="false" customHeight="true" outlineLevel="0" collapsed="false">
      <c r="A601" s="99"/>
      <c r="B601" s="99"/>
      <c r="C601" s="99"/>
      <c r="D601" s="121"/>
      <c r="E601" s="99"/>
      <c r="F601" s="124"/>
      <c r="G601" s="121"/>
      <c r="H601" s="132" t="b">
        <f aca="false">FALSE()</f>
        <v>0</v>
      </c>
      <c r="I601" s="132" t="b">
        <f aca="false">FALSE()</f>
        <v>0</v>
      </c>
      <c r="J601" s="126"/>
      <c r="K601" s="99"/>
      <c r="L601" s="83"/>
      <c r="M601" s="103"/>
      <c r="N601" s="103"/>
      <c r="O601" s="103"/>
      <c r="P601" s="103"/>
      <c r="Q601" s="103"/>
      <c r="R601" s="83"/>
      <c r="S601" s="103"/>
      <c r="T601" s="103"/>
      <c r="U601" s="103"/>
    </row>
    <row r="602" customFormat="false" ht="22.5" hidden="false" customHeight="true" outlineLevel="0" collapsed="false">
      <c r="A602" s="110"/>
      <c r="B602" s="110"/>
      <c r="C602" s="110"/>
      <c r="D602" s="122"/>
      <c r="E602" s="110"/>
      <c r="F602" s="128"/>
      <c r="G602" s="122"/>
      <c r="H602" s="131" t="b">
        <f aca="false">FALSE()</f>
        <v>0</v>
      </c>
      <c r="I602" s="131" t="b">
        <f aca="false">FALSE()</f>
        <v>0</v>
      </c>
      <c r="J602" s="130"/>
      <c r="K602" s="110"/>
      <c r="L602" s="83"/>
      <c r="M602" s="103"/>
      <c r="N602" s="103"/>
      <c r="O602" s="103"/>
      <c r="P602" s="103"/>
      <c r="Q602" s="103"/>
      <c r="R602" s="83"/>
      <c r="S602" s="103"/>
      <c r="T602" s="103"/>
      <c r="U602" s="103"/>
    </row>
    <row r="603" customFormat="false" ht="22.5" hidden="false" customHeight="true" outlineLevel="0" collapsed="false">
      <c r="A603" s="99"/>
      <c r="B603" s="99"/>
      <c r="C603" s="99"/>
      <c r="D603" s="121"/>
      <c r="E603" s="99"/>
      <c r="F603" s="124"/>
      <c r="G603" s="121"/>
      <c r="H603" s="132" t="b">
        <f aca="false">FALSE()</f>
        <v>0</v>
      </c>
      <c r="I603" s="132" t="b">
        <f aca="false">FALSE()</f>
        <v>0</v>
      </c>
      <c r="J603" s="126"/>
      <c r="K603" s="99"/>
      <c r="L603" s="83"/>
      <c r="M603" s="103"/>
      <c r="N603" s="103"/>
      <c r="O603" s="103"/>
      <c r="P603" s="103"/>
      <c r="Q603" s="103"/>
      <c r="R603" s="83"/>
      <c r="S603" s="103"/>
      <c r="T603" s="103"/>
      <c r="U603" s="103"/>
    </row>
    <row r="604" customFormat="false" ht="22.5" hidden="false" customHeight="true" outlineLevel="0" collapsed="false">
      <c r="A604" s="110"/>
      <c r="B604" s="110"/>
      <c r="C604" s="110"/>
      <c r="D604" s="122"/>
      <c r="E604" s="110"/>
      <c r="F604" s="128"/>
      <c r="G604" s="122"/>
      <c r="H604" s="131" t="b">
        <f aca="false">FALSE()</f>
        <v>0</v>
      </c>
      <c r="I604" s="131" t="b">
        <f aca="false">FALSE()</f>
        <v>0</v>
      </c>
      <c r="J604" s="130"/>
      <c r="K604" s="110"/>
      <c r="L604" s="83"/>
      <c r="M604" s="103"/>
      <c r="N604" s="103"/>
      <c r="O604" s="103"/>
      <c r="P604" s="103"/>
      <c r="Q604" s="103"/>
      <c r="R604" s="83"/>
      <c r="S604" s="103"/>
      <c r="T604" s="103"/>
      <c r="U604" s="103"/>
    </row>
    <row r="605" customFormat="false" ht="22.5" hidden="false" customHeight="true" outlineLevel="0" collapsed="false">
      <c r="A605" s="99"/>
      <c r="B605" s="99"/>
      <c r="C605" s="99"/>
      <c r="D605" s="121"/>
      <c r="E605" s="99"/>
      <c r="F605" s="124"/>
      <c r="G605" s="121"/>
      <c r="H605" s="132" t="b">
        <f aca="false">FALSE()</f>
        <v>0</v>
      </c>
      <c r="I605" s="132" t="b">
        <f aca="false">FALSE()</f>
        <v>0</v>
      </c>
      <c r="J605" s="126"/>
      <c r="K605" s="99"/>
      <c r="L605" s="83"/>
      <c r="M605" s="103"/>
      <c r="N605" s="103"/>
      <c r="O605" s="103"/>
      <c r="P605" s="103"/>
      <c r="Q605" s="103"/>
      <c r="R605" s="83"/>
      <c r="S605" s="103"/>
      <c r="T605" s="103"/>
      <c r="U605" s="103"/>
    </row>
    <row r="606" customFormat="false" ht="22.5" hidden="false" customHeight="true" outlineLevel="0" collapsed="false">
      <c r="A606" s="110"/>
      <c r="B606" s="110"/>
      <c r="C606" s="110"/>
      <c r="D606" s="122"/>
      <c r="E606" s="110"/>
      <c r="F606" s="128"/>
      <c r="G606" s="122"/>
      <c r="H606" s="131" t="b">
        <f aca="false">FALSE()</f>
        <v>0</v>
      </c>
      <c r="I606" s="131" t="b">
        <f aca="false">FALSE()</f>
        <v>0</v>
      </c>
      <c r="J606" s="130"/>
      <c r="K606" s="110"/>
      <c r="L606" s="83"/>
      <c r="M606" s="103"/>
      <c r="N606" s="103"/>
      <c r="O606" s="103"/>
      <c r="P606" s="103"/>
      <c r="Q606" s="103"/>
      <c r="R606" s="83"/>
      <c r="S606" s="103"/>
      <c r="T606" s="103"/>
      <c r="U606" s="103"/>
    </row>
    <row r="607" customFormat="false" ht="22.5" hidden="false" customHeight="true" outlineLevel="0" collapsed="false">
      <c r="A607" s="99"/>
      <c r="B607" s="99"/>
      <c r="C607" s="99"/>
      <c r="D607" s="121"/>
      <c r="E607" s="99"/>
      <c r="F607" s="124"/>
      <c r="G607" s="121"/>
      <c r="H607" s="132" t="b">
        <f aca="false">FALSE()</f>
        <v>0</v>
      </c>
      <c r="I607" s="132" t="b">
        <f aca="false">FALSE()</f>
        <v>0</v>
      </c>
      <c r="J607" s="126"/>
      <c r="K607" s="99"/>
      <c r="L607" s="83"/>
      <c r="M607" s="103"/>
      <c r="N607" s="103"/>
      <c r="O607" s="103"/>
      <c r="P607" s="103"/>
      <c r="Q607" s="103"/>
      <c r="R607" s="83"/>
      <c r="S607" s="103"/>
      <c r="T607" s="103"/>
      <c r="U607" s="103"/>
    </row>
    <row r="608" customFormat="false" ht="22.5" hidden="false" customHeight="true" outlineLevel="0" collapsed="false">
      <c r="A608" s="110"/>
      <c r="B608" s="110"/>
      <c r="C608" s="110"/>
      <c r="D608" s="122"/>
      <c r="E608" s="110"/>
      <c r="F608" s="128"/>
      <c r="G608" s="122"/>
      <c r="H608" s="131" t="b">
        <f aca="false">FALSE()</f>
        <v>0</v>
      </c>
      <c r="I608" s="131" t="b">
        <f aca="false">FALSE()</f>
        <v>0</v>
      </c>
      <c r="J608" s="130"/>
      <c r="K608" s="110"/>
      <c r="L608" s="83"/>
      <c r="M608" s="103"/>
      <c r="N608" s="103"/>
      <c r="O608" s="103"/>
      <c r="P608" s="103"/>
      <c r="Q608" s="103"/>
      <c r="R608" s="83"/>
      <c r="S608" s="103"/>
      <c r="T608" s="103"/>
      <c r="U608" s="103"/>
    </row>
    <row r="609" customFormat="false" ht="22.5" hidden="false" customHeight="true" outlineLevel="0" collapsed="false">
      <c r="A609" s="99"/>
      <c r="B609" s="99"/>
      <c r="C609" s="99"/>
      <c r="D609" s="121"/>
      <c r="E609" s="99"/>
      <c r="F609" s="124"/>
      <c r="G609" s="121"/>
      <c r="H609" s="132" t="b">
        <f aca="false">FALSE()</f>
        <v>0</v>
      </c>
      <c r="I609" s="132" t="b">
        <f aca="false">FALSE()</f>
        <v>0</v>
      </c>
      <c r="J609" s="126"/>
      <c r="K609" s="99"/>
      <c r="L609" s="83"/>
      <c r="M609" s="103"/>
      <c r="N609" s="103"/>
      <c r="O609" s="103"/>
      <c r="P609" s="103"/>
      <c r="Q609" s="103"/>
      <c r="R609" s="83"/>
      <c r="S609" s="103"/>
      <c r="T609" s="103"/>
      <c r="U609" s="103"/>
    </row>
    <row r="610" customFormat="false" ht="22.5" hidden="false" customHeight="true" outlineLevel="0" collapsed="false">
      <c r="A610" s="110"/>
      <c r="B610" s="110"/>
      <c r="C610" s="110"/>
      <c r="D610" s="122"/>
      <c r="E610" s="110"/>
      <c r="F610" s="128"/>
      <c r="G610" s="122"/>
      <c r="H610" s="131" t="b">
        <f aca="false">FALSE()</f>
        <v>0</v>
      </c>
      <c r="I610" s="131" t="b">
        <f aca="false">FALSE()</f>
        <v>0</v>
      </c>
      <c r="J610" s="130"/>
      <c r="K610" s="110"/>
      <c r="L610" s="83"/>
      <c r="M610" s="103"/>
      <c r="N610" s="103"/>
      <c r="O610" s="103"/>
      <c r="P610" s="103"/>
      <c r="Q610" s="103"/>
      <c r="R610" s="83"/>
      <c r="S610" s="103"/>
      <c r="T610" s="103"/>
      <c r="U610" s="103"/>
    </row>
    <row r="611" customFormat="false" ht="22.5" hidden="false" customHeight="true" outlineLevel="0" collapsed="false">
      <c r="A611" s="99"/>
      <c r="B611" s="99"/>
      <c r="C611" s="99"/>
      <c r="D611" s="121"/>
      <c r="E611" s="99"/>
      <c r="F611" s="124"/>
      <c r="G611" s="121"/>
      <c r="H611" s="132" t="b">
        <f aca="false">FALSE()</f>
        <v>0</v>
      </c>
      <c r="I611" s="132" t="b">
        <f aca="false">FALSE()</f>
        <v>0</v>
      </c>
      <c r="J611" s="126"/>
      <c r="K611" s="99"/>
      <c r="L611" s="83"/>
      <c r="M611" s="103"/>
      <c r="N611" s="103"/>
      <c r="O611" s="103"/>
      <c r="P611" s="103"/>
      <c r="Q611" s="103"/>
      <c r="R611" s="83"/>
      <c r="S611" s="103"/>
      <c r="T611" s="103"/>
      <c r="U611" s="103"/>
    </row>
    <row r="612" customFormat="false" ht="22.5" hidden="false" customHeight="true" outlineLevel="0" collapsed="false">
      <c r="A612" s="110"/>
      <c r="B612" s="110"/>
      <c r="C612" s="110"/>
      <c r="D612" s="122"/>
      <c r="E612" s="110"/>
      <c r="F612" s="128"/>
      <c r="G612" s="122"/>
      <c r="H612" s="131" t="b">
        <f aca="false">FALSE()</f>
        <v>0</v>
      </c>
      <c r="I612" s="131" t="b">
        <f aca="false">FALSE()</f>
        <v>0</v>
      </c>
      <c r="J612" s="130"/>
      <c r="K612" s="110"/>
      <c r="L612" s="83"/>
      <c r="M612" s="103"/>
      <c r="N612" s="103"/>
      <c r="O612" s="103"/>
      <c r="P612" s="103"/>
      <c r="Q612" s="103"/>
      <c r="R612" s="83"/>
      <c r="S612" s="103"/>
      <c r="T612" s="103"/>
      <c r="U612" s="103"/>
    </row>
    <row r="613" customFormat="false" ht="22.5" hidden="false" customHeight="true" outlineLevel="0" collapsed="false">
      <c r="A613" s="99"/>
      <c r="B613" s="99"/>
      <c r="C613" s="99"/>
      <c r="D613" s="121"/>
      <c r="E613" s="99"/>
      <c r="F613" s="124"/>
      <c r="G613" s="121"/>
      <c r="H613" s="132" t="b">
        <f aca="false">FALSE()</f>
        <v>0</v>
      </c>
      <c r="I613" s="132" t="b">
        <f aca="false">FALSE()</f>
        <v>0</v>
      </c>
      <c r="J613" s="126"/>
      <c r="K613" s="99"/>
      <c r="L613" s="83"/>
      <c r="M613" s="103"/>
      <c r="N613" s="103"/>
      <c r="O613" s="103"/>
      <c r="P613" s="103"/>
      <c r="Q613" s="103"/>
      <c r="R613" s="83"/>
      <c r="S613" s="103"/>
      <c r="T613" s="103"/>
      <c r="U613" s="103"/>
    </row>
    <row r="614" customFormat="false" ht="22.5" hidden="false" customHeight="true" outlineLevel="0" collapsed="false">
      <c r="A614" s="110"/>
      <c r="B614" s="110"/>
      <c r="C614" s="110"/>
      <c r="D614" s="122"/>
      <c r="E614" s="110"/>
      <c r="F614" s="128"/>
      <c r="G614" s="122"/>
      <c r="H614" s="131" t="b">
        <f aca="false">FALSE()</f>
        <v>0</v>
      </c>
      <c r="I614" s="131" t="b">
        <f aca="false">FALSE()</f>
        <v>0</v>
      </c>
      <c r="J614" s="130"/>
      <c r="K614" s="110"/>
      <c r="L614" s="83"/>
      <c r="M614" s="103"/>
      <c r="N614" s="103"/>
      <c r="O614" s="103"/>
      <c r="P614" s="103"/>
      <c r="Q614" s="103"/>
      <c r="R614" s="83"/>
      <c r="S614" s="103"/>
      <c r="T614" s="103"/>
      <c r="U614" s="103"/>
    </row>
    <row r="615" customFormat="false" ht="22.5" hidden="false" customHeight="true" outlineLevel="0" collapsed="false">
      <c r="A615" s="99"/>
      <c r="B615" s="99"/>
      <c r="C615" s="99"/>
      <c r="D615" s="121"/>
      <c r="E615" s="99"/>
      <c r="F615" s="124"/>
      <c r="G615" s="121"/>
      <c r="H615" s="132" t="b">
        <f aca="false">FALSE()</f>
        <v>0</v>
      </c>
      <c r="I615" s="132" t="b">
        <f aca="false">FALSE()</f>
        <v>0</v>
      </c>
      <c r="J615" s="126"/>
      <c r="K615" s="99"/>
      <c r="L615" s="83"/>
      <c r="M615" s="103"/>
      <c r="N615" s="103"/>
      <c r="O615" s="103"/>
      <c r="P615" s="103"/>
      <c r="Q615" s="103"/>
      <c r="R615" s="83"/>
      <c r="S615" s="103"/>
      <c r="T615" s="103"/>
      <c r="U615" s="103"/>
    </row>
    <row r="616" customFormat="false" ht="22.5" hidden="false" customHeight="true" outlineLevel="0" collapsed="false">
      <c r="A616" s="110"/>
      <c r="B616" s="110"/>
      <c r="C616" s="110"/>
      <c r="D616" s="122"/>
      <c r="E616" s="110"/>
      <c r="F616" s="128"/>
      <c r="G616" s="122"/>
      <c r="H616" s="131" t="b">
        <f aca="false">FALSE()</f>
        <v>0</v>
      </c>
      <c r="I616" s="131" t="b">
        <f aca="false">FALSE()</f>
        <v>0</v>
      </c>
      <c r="J616" s="130"/>
      <c r="K616" s="110"/>
      <c r="L616" s="83"/>
      <c r="M616" s="103"/>
      <c r="N616" s="103"/>
      <c r="O616" s="103"/>
      <c r="P616" s="103"/>
      <c r="Q616" s="103"/>
      <c r="R616" s="83"/>
      <c r="S616" s="103"/>
      <c r="T616" s="103"/>
      <c r="U616" s="103"/>
    </row>
    <row r="617" customFormat="false" ht="22.5" hidden="false" customHeight="true" outlineLevel="0" collapsed="false">
      <c r="A617" s="99"/>
      <c r="B617" s="99"/>
      <c r="C617" s="99"/>
      <c r="D617" s="121"/>
      <c r="E617" s="99"/>
      <c r="F617" s="124"/>
      <c r="G617" s="121"/>
      <c r="H617" s="132" t="b">
        <f aca="false">FALSE()</f>
        <v>0</v>
      </c>
      <c r="I617" s="132" t="b">
        <f aca="false">FALSE()</f>
        <v>0</v>
      </c>
      <c r="J617" s="126"/>
      <c r="K617" s="99"/>
      <c r="L617" s="83"/>
      <c r="M617" s="103"/>
      <c r="N617" s="103"/>
      <c r="O617" s="103"/>
      <c r="P617" s="103"/>
      <c r="Q617" s="103"/>
      <c r="R617" s="83"/>
      <c r="S617" s="103"/>
      <c r="T617" s="103"/>
      <c r="U617" s="103"/>
    </row>
    <row r="618" customFormat="false" ht="22.5" hidden="false" customHeight="true" outlineLevel="0" collapsed="false">
      <c r="A618" s="110"/>
      <c r="B618" s="110"/>
      <c r="C618" s="110"/>
      <c r="D618" s="122"/>
      <c r="E618" s="110"/>
      <c r="F618" s="128"/>
      <c r="G618" s="122"/>
      <c r="H618" s="131" t="b">
        <f aca="false">FALSE()</f>
        <v>0</v>
      </c>
      <c r="I618" s="131" t="b">
        <f aca="false">FALSE()</f>
        <v>0</v>
      </c>
      <c r="J618" s="130"/>
      <c r="K618" s="110"/>
      <c r="L618" s="83"/>
      <c r="M618" s="103"/>
      <c r="N618" s="103"/>
      <c r="O618" s="103"/>
      <c r="P618" s="103"/>
      <c r="Q618" s="103"/>
      <c r="R618" s="83"/>
      <c r="S618" s="103"/>
      <c r="T618" s="103"/>
      <c r="U618" s="103"/>
    </row>
    <row r="619" customFormat="false" ht="22.5" hidden="false" customHeight="true" outlineLevel="0" collapsed="false">
      <c r="A619" s="99"/>
      <c r="B619" s="99"/>
      <c r="C619" s="99"/>
      <c r="D619" s="121"/>
      <c r="E619" s="99"/>
      <c r="F619" s="124"/>
      <c r="G619" s="121"/>
      <c r="H619" s="132" t="b">
        <f aca="false">FALSE()</f>
        <v>0</v>
      </c>
      <c r="I619" s="132" t="b">
        <f aca="false">FALSE()</f>
        <v>0</v>
      </c>
      <c r="J619" s="126"/>
      <c r="K619" s="99"/>
      <c r="L619" s="83"/>
      <c r="M619" s="103"/>
      <c r="N619" s="103"/>
      <c r="O619" s="103"/>
      <c r="P619" s="103"/>
      <c r="Q619" s="103"/>
      <c r="R619" s="83"/>
      <c r="S619" s="103"/>
      <c r="T619" s="103"/>
      <c r="U619" s="103"/>
    </row>
    <row r="620" customFormat="false" ht="22.5" hidden="false" customHeight="true" outlineLevel="0" collapsed="false">
      <c r="A620" s="110"/>
      <c r="B620" s="110"/>
      <c r="C620" s="110"/>
      <c r="D620" s="122"/>
      <c r="E620" s="110"/>
      <c r="F620" s="128"/>
      <c r="G620" s="122"/>
      <c r="H620" s="131" t="b">
        <f aca="false">FALSE()</f>
        <v>0</v>
      </c>
      <c r="I620" s="131" t="b">
        <f aca="false">FALSE()</f>
        <v>0</v>
      </c>
      <c r="J620" s="130"/>
      <c r="K620" s="110"/>
      <c r="L620" s="83"/>
      <c r="M620" s="103"/>
      <c r="N620" s="103"/>
      <c r="O620" s="103"/>
      <c r="P620" s="103"/>
      <c r="Q620" s="103"/>
      <c r="R620" s="83"/>
      <c r="S620" s="103"/>
      <c r="T620" s="103"/>
      <c r="U620" s="103"/>
    </row>
    <row r="621" customFormat="false" ht="22.5" hidden="false" customHeight="true" outlineLevel="0" collapsed="false">
      <c r="A621" s="99"/>
      <c r="B621" s="99"/>
      <c r="C621" s="99"/>
      <c r="D621" s="121"/>
      <c r="E621" s="99"/>
      <c r="F621" s="124"/>
      <c r="G621" s="121"/>
      <c r="H621" s="132" t="b">
        <f aca="false">FALSE()</f>
        <v>0</v>
      </c>
      <c r="I621" s="132" t="b">
        <f aca="false">FALSE()</f>
        <v>0</v>
      </c>
      <c r="J621" s="126"/>
      <c r="K621" s="99"/>
      <c r="L621" s="83"/>
      <c r="M621" s="103"/>
      <c r="N621" s="103"/>
      <c r="O621" s="103"/>
      <c r="P621" s="103"/>
      <c r="Q621" s="103"/>
      <c r="R621" s="83"/>
      <c r="S621" s="103"/>
      <c r="T621" s="103"/>
      <c r="U621" s="103"/>
    </row>
    <row r="622" customFormat="false" ht="22.5" hidden="false" customHeight="true" outlineLevel="0" collapsed="false">
      <c r="A622" s="110"/>
      <c r="B622" s="110"/>
      <c r="C622" s="110"/>
      <c r="D622" s="122"/>
      <c r="E622" s="110"/>
      <c r="F622" s="128"/>
      <c r="G622" s="122"/>
      <c r="H622" s="131" t="b">
        <f aca="false">FALSE()</f>
        <v>0</v>
      </c>
      <c r="I622" s="131" t="b">
        <f aca="false">FALSE()</f>
        <v>0</v>
      </c>
      <c r="J622" s="130"/>
      <c r="K622" s="110"/>
      <c r="L622" s="83"/>
      <c r="M622" s="103"/>
      <c r="N622" s="103"/>
      <c r="O622" s="103"/>
      <c r="P622" s="103"/>
      <c r="Q622" s="103"/>
      <c r="R622" s="83"/>
      <c r="S622" s="103"/>
      <c r="T622" s="103"/>
      <c r="U622" s="103"/>
    </row>
    <row r="623" customFormat="false" ht="22.5" hidden="false" customHeight="true" outlineLevel="0" collapsed="false">
      <c r="A623" s="99"/>
      <c r="B623" s="99"/>
      <c r="C623" s="99"/>
      <c r="D623" s="121"/>
      <c r="E623" s="99"/>
      <c r="F623" s="124"/>
      <c r="G623" s="121"/>
      <c r="H623" s="132" t="b">
        <f aca="false">FALSE()</f>
        <v>0</v>
      </c>
      <c r="I623" s="132" t="b">
        <f aca="false">FALSE()</f>
        <v>0</v>
      </c>
      <c r="J623" s="126"/>
      <c r="K623" s="99"/>
      <c r="L623" s="83"/>
      <c r="M623" s="103"/>
      <c r="N623" s="103"/>
      <c r="O623" s="103"/>
      <c r="P623" s="103"/>
      <c r="Q623" s="103"/>
      <c r="R623" s="83"/>
      <c r="S623" s="103"/>
      <c r="T623" s="103"/>
      <c r="U623" s="103"/>
    </row>
    <row r="624" customFormat="false" ht="22.5" hidden="false" customHeight="true" outlineLevel="0" collapsed="false">
      <c r="A624" s="110"/>
      <c r="B624" s="110"/>
      <c r="C624" s="110"/>
      <c r="D624" s="122"/>
      <c r="E624" s="110"/>
      <c r="F624" s="128"/>
      <c r="G624" s="122"/>
      <c r="H624" s="131" t="b">
        <f aca="false">FALSE()</f>
        <v>0</v>
      </c>
      <c r="I624" s="131" t="b">
        <f aca="false">FALSE()</f>
        <v>0</v>
      </c>
      <c r="J624" s="130"/>
      <c r="K624" s="110"/>
      <c r="L624" s="83"/>
      <c r="M624" s="103"/>
      <c r="N624" s="103"/>
      <c r="O624" s="103"/>
      <c r="P624" s="103"/>
      <c r="Q624" s="103"/>
      <c r="R624" s="83"/>
      <c r="S624" s="103"/>
      <c r="T624" s="103"/>
      <c r="U624" s="103"/>
    </row>
    <row r="625" customFormat="false" ht="22.5" hidden="false" customHeight="true" outlineLevel="0" collapsed="false">
      <c r="A625" s="99"/>
      <c r="B625" s="99"/>
      <c r="C625" s="99"/>
      <c r="D625" s="121"/>
      <c r="E625" s="99"/>
      <c r="F625" s="124"/>
      <c r="G625" s="121"/>
      <c r="H625" s="132" t="b">
        <f aca="false">FALSE()</f>
        <v>0</v>
      </c>
      <c r="I625" s="132" t="b">
        <f aca="false">FALSE()</f>
        <v>0</v>
      </c>
      <c r="J625" s="126"/>
      <c r="K625" s="99"/>
      <c r="L625" s="83"/>
      <c r="M625" s="103"/>
      <c r="N625" s="103"/>
      <c r="O625" s="103"/>
      <c r="P625" s="103"/>
      <c r="Q625" s="103"/>
      <c r="R625" s="83"/>
      <c r="S625" s="103"/>
      <c r="T625" s="103"/>
      <c r="U625" s="103"/>
    </row>
    <row r="626" customFormat="false" ht="22.5" hidden="false" customHeight="true" outlineLevel="0" collapsed="false">
      <c r="A626" s="110"/>
      <c r="B626" s="110"/>
      <c r="C626" s="110"/>
      <c r="D626" s="122"/>
      <c r="E626" s="110"/>
      <c r="F626" s="128"/>
      <c r="G626" s="122"/>
      <c r="H626" s="131" t="b">
        <f aca="false">FALSE()</f>
        <v>0</v>
      </c>
      <c r="I626" s="131" t="b">
        <f aca="false">FALSE()</f>
        <v>0</v>
      </c>
      <c r="J626" s="130"/>
      <c r="K626" s="110"/>
      <c r="L626" s="83"/>
      <c r="M626" s="103"/>
      <c r="N626" s="103"/>
      <c r="O626" s="103"/>
      <c r="P626" s="103"/>
      <c r="Q626" s="103"/>
      <c r="R626" s="83"/>
      <c r="S626" s="103"/>
      <c r="T626" s="103"/>
      <c r="U626" s="103"/>
    </row>
    <row r="627" customFormat="false" ht="22.5" hidden="false" customHeight="true" outlineLevel="0" collapsed="false">
      <c r="A627" s="99"/>
      <c r="B627" s="99"/>
      <c r="C627" s="99"/>
      <c r="D627" s="121"/>
      <c r="E627" s="99"/>
      <c r="F627" s="124"/>
      <c r="G627" s="121"/>
      <c r="H627" s="132" t="b">
        <f aca="false">FALSE()</f>
        <v>0</v>
      </c>
      <c r="I627" s="132" t="b">
        <f aca="false">FALSE()</f>
        <v>0</v>
      </c>
      <c r="J627" s="126"/>
      <c r="K627" s="99"/>
      <c r="L627" s="83"/>
      <c r="M627" s="103"/>
      <c r="N627" s="103"/>
      <c r="O627" s="103"/>
      <c r="P627" s="103"/>
      <c r="Q627" s="103"/>
      <c r="R627" s="83"/>
      <c r="S627" s="103"/>
      <c r="T627" s="103"/>
      <c r="U627" s="103"/>
    </row>
    <row r="628" customFormat="false" ht="22.5" hidden="false" customHeight="true" outlineLevel="0" collapsed="false">
      <c r="A628" s="110"/>
      <c r="B628" s="110"/>
      <c r="C628" s="110"/>
      <c r="D628" s="122"/>
      <c r="E628" s="110"/>
      <c r="F628" s="128"/>
      <c r="G628" s="122"/>
      <c r="H628" s="131" t="b">
        <f aca="false">FALSE()</f>
        <v>0</v>
      </c>
      <c r="I628" s="131" t="b">
        <f aca="false">FALSE()</f>
        <v>0</v>
      </c>
      <c r="J628" s="130"/>
      <c r="K628" s="110"/>
      <c r="L628" s="83"/>
      <c r="M628" s="103"/>
      <c r="N628" s="103"/>
      <c r="O628" s="103"/>
      <c r="P628" s="103"/>
      <c r="Q628" s="103"/>
      <c r="R628" s="83"/>
      <c r="S628" s="103"/>
      <c r="T628" s="103"/>
      <c r="U628" s="103"/>
    </row>
    <row r="629" customFormat="false" ht="22.5" hidden="false" customHeight="true" outlineLevel="0" collapsed="false">
      <c r="A629" s="99"/>
      <c r="B629" s="99"/>
      <c r="C629" s="99"/>
      <c r="D629" s="121"/>
      <c r="E629" s="99"/>
      <c r="F629" s="124"/>
      <c r="G629" s="121"/>
      <c r="H629" s="132" t="b">
        <f aca="false">FALSE()</f>
        <v>0</v>
      </c>
      <c r="I629" s="132" t="b">
        <f aca="false">FALSE()</f>
        <v>0</v>
      </c>
      <c r="J629" s="126"/>
      <c r="K629" s="99"/>
      <c r="L629" s="83"/>
      <c r="M629" s="103"/>
      <c r="N629" s="103"/>
      <c r="O629" s="103"/>
      <c r="P629" s="103"/>
      <c r="Q629" s="103"/>
      <c r="R629" s="83"/>
      <c r="S629" s="103"/>
      <c r="T629" s="103"/>
      <c r="U629" s="103"/>
    </row>
    <row r="630" customFormat="false" ht="22.5" hidden="false" customHeight="true" outlineLevel="0" collapsed="false">
      <c r="A630" s="110"/>
      <c r="B630" s="110"/>
      <c r="C630" s="110"/>
      <c r="D630" s="122"/>
      <c r="E630" s="110"/>
      <c r="F630" s="128"/>
      <c r="G630" s="122"/>
      <c r="H630" s="131" t="b">
        <f aca="false">FALSE()</f>
        <v>0</v>
      </c>
      <c r="I630" s="131" t="b">
        <f aca="false">FALSE()</f>
        <v>0</v>
      </c>
      <c r="J630" s="130"/>
      <c r="K630" s="110"/>
      <c r="L630" s="83"/>
      <c r="M630" s="103"/>
      <c r="N630" s="103"/>
      <c r="O630" s="103"/>
      <c r="P630" s="103"/>
      <c r="Q630" s="103"/>
      <c r="R630" s="83"/>
      <c r="S630" s="103"/>
      <c r="T630" s="103"/>
      <c r="U630" s="103"/>
    </row>
    <row r="631" customFormat="false" ht="22.5" hidden="false" customHeight="true" outlineLevel="0" collapsed="false">
      <c r="A631" s="99"/>
      <c r="B631" s="99"/>
      <c r="C631" s="99"/>
      <c r="D631" s="121"/>
      <c r="E631" s="99"/>
      <c r="F631" s="124"/>
      <c r="G631" s="121"/>
      <c r="H631" s="132" t="b">
        <f aca="false">FALSE()</f>
        <v>0</v>
      </c>
      <c r="I631" s="132" t="b">
        <f aca="false">FALSE()</f>
        <v>0</v>
      </c>
      <c r="J631" s="126"/>
      <c r="K631" s="99"/>
      <c r="L631" s="83"/>
      <c r="M631" s="103"/>
      <c r="N631" s="103"/>
      <c r="O631" s="103"/>
      <c r="P631" s="103"/>
      <c r="Q631" s="103"/>
      <c r="R631" s="83"/>
      <c r="S631" s="103"/>
      <c r="T631" s="103"/>
      <c r="U631" s="103"/>
    </row>
    <row r="632" customFormat="false" ht="22.5" hidden="false" customHeight="true" outlineLevel="0" collapsed="false">
      <c r="A632" s="110"/>
      <c r="B632" s="110"/>
      <c r="C632" s="110"/>
      <c r="D632" s="122"/>
      <c r="E632" s="110"/>
      <c r="F632" s="128"/>
      <c r="G632" s="122"/>
      <c r="H632" s="131" t="b">
        <f aca="false">FALSE()</f>
        <v>0</v>
      </c>
      <c r="I632" s="131" t="b">
        <f aca="false">FALSE()</f>
        <v>0</v>
      </c>
      <c r="J632" s="130"/>
      <c r="K632" s="110"/>
      <c r="L632" s="83"/>
      <c r="M632" s="103"/>
      <c r="N632" s="103"/>
      <c r="O632" s="103"/>
      <c r="P632" s="103"/>
      <c r="Q632" s="103"/>
      <c r="R632" s="83"/>
      <c r="S632" s="103"/>
      <c r="T632" s="103"/>
      <c r="U632" s="103"/>
    </row>
    <row r="633" customFormat="false" ht="22.5" hidden="false" customHeight="true" outlineLevel="0" collapsed="false">
      <c r="A633" s="99"/>
      <c r="B633" s="99"/>
      <c r="C633" s="99"/>
      <c r="D633" s="121"/>
      <c r="E633" s="99"/>
      <c r="F633" s="124"/>
      <c r="G633" s="121"/>
      <c r="H633" s="132" t="b">
        <f aca="false">FALSE()</f>
        <v>0</v>
      </c>
      <c r="I633" s="132" t="b">
        <f aca="false">FALSE()</f>
        <v>0</v>
      </c>
      <c r="J633" s="126"/>
      <c r="K633" s="99"/>
      <c r="L633" s="83"/>
      <c r="M633" s="103"/>
      <c r="N633" s="103"/>
      <c r="O633" s="103"/>
      <c r="P633" s="103"/>
      <c r="Q633" s="103"/>
      <c r="R633" s="83"/>
      <c r="S633" s="103"/>
      <c r="T633" s="103"/>
      <c r="U633" s="103"/>
    </row>
    <row r="634" customFormat="false" ht="22.5" hidden="false" customHeight="true" outlineLevel="0" collapsed="false">
      <c r="A634" s="110"/>
      <c r="B634" s="110"/>
      <c r="C634" s="110"/>
      <c r="D634" s="122"/>
      <c r="E634" s="110"/>
      <c r="F634" s="128"/>
      <c r="G634" s="122"/>
      <c r="H634" s="131" t="b">
        <f aca="false">FALSE()</f>
        <v>0</v>
      </c>
      <c r="I634" s="131" t="b">
        <f aca="false">FALSE()</f>
        <v>0</v>
      </c>
      <c r="J634" s="130"/>
      <c r="K634" s="110"/>
      <c r="L634" s="83"/>
      <c r="M634" s="103"/>
      <c r="N634" s="103"/>
      <c r="O634" s="103"/>
      <c r="P634" s="103"/>
      <c r="Q634" s="103"/>
      <c r="R634" s="83"/>
      <c r="S634" s="103"/>
      <c r="T634" s="103"/>
      <c r="U634" s="103"/>
    </row>
    <row r="635" customFormat="false" ht="22.5" hidden="false" customHeight="true" outlineLevel="0" collapsed="false">
      <c r="A635" s="99"/>
      <c r="B635" s="99"/>
      <c r="C635" s="99"/>
      <c r="D635" s="121"/>
      <c r="E635" s="99"/>
      <c r="F635" s="124"/>
      <c r="G635" s="121"/>
      <c r="H635" s="132" t="b">
        <f aca="false">FALSE()</f>
        <v>0</v>
      </c>
      <c r="I635" s="132" t="b">
        <f aca="false">FALSE()</f>
        <v>0</v>
      </c>
      <c r="J635" s="126"/>
      <c r="K635" s="99"/>
      <c r="L635" s="83"/>
      <c r="M635" s="103"/>
      <c r="N635" s="103"/>
      <c r="O635" s="103"/>
      <c r="P635" s="103"/>
      <c r="Q635" s="103"/>
      <c r="R635" s="83"/>
      <c r="S635" s="103"/>
      <c r="T635" s="103"/>
      <c r="U635" s="103"/>
    </row>
    <row r="636" customFormat="false" ht="22.5" hidden="false" customHeight="true" outlineLevel="0" collapsed="false">
      <c r="A636" s="110"/>
      <c r="B636" s="110"/>
      <c r="C636" s="110"/>
      <c r="D636" s="122"/>
      <c r="E636" s="110"/>
      <c r="F636" s="128"/>
      <c r="G636" s="122"/>
      <c r="H636" s="131" t="b">
        <f aca="false">FALSE()</f>
        <v>0</v>
      </c>
      <c r="I636" s="131" t="b">
        <f aca="false">FALSE()</f>
        <v>0</v>
      </c>
      <c r="J636" s="130"/>
      <c r="K636" s="110"/>
      <c r="L636" s="83"/>
      <c r="M636" s="103"/>
      <c r="N636" s="103"/>
      <c r="O636" s="103"/>
      <c r="P636" s="103"/>
      <c r="Q636" s="103"/>
      <c r="R636" s="83"/>
      <c r="S636" s="103"/>
      <c r="T636" s="103"/>
      <c r="U636" s="103"/>
    </row>
    <row r="637" customFormat="false" ht="22.5" hidden="false" customHeight="true" outlineLevel="0" collapsed="false">
      <c r="A637" s="99"/>
      <c r="B637" s="99"/>
      <c r="C637" s="99"/>
      <c r="D637" s="121"/>
      <c r="E637" s="99"/>
      <c r="F637" s="124"/>
      <c r="G637" s="121"/>
      <c r="H637" s="132" t="b">
        <f aca="false">FALSE()</f>
        <v>0</v>
      </c>
      <c r="I637" s="132" t="b">
        <f aca="false">FALSE()</f>
        <v>0</v>
      </c>
      <c r="J637" s="126"/>
      <c r="K637" s="99"/>
      <c r="L637" s="83"/>
      <c r="M637" s="103"/>
      <c r="N637" s="103"/>
      <c r="O637" s="103"/>
      <c r="P637" s="103"/>
      <c r="Q637" s="103"/>
      <c r="R637" s="83"/>
      <c r="S637" s="103"/>
      <c r="T637" s="103"/>
      <c r="U637" s="103"/>
    </row>
    <row r="638" customFormat="false" ht="22.5" hidden="false" customHeight="true" outlineLevel="0" collapsed="false">
      <c r="A638" s="110"/>
      <c r="B638" s="110"/>
      <c r="C638" s="110"/>
      <c r="D638" s="122"/>
      <c r="E638" s="110"/>
      <c r="F638" s="128"/>
      <c r="G638" s="122"/>
      <c r="H638" s="131" t="b">
        <f aca="false">FALSE()</f>
        <v>0</v>
      </c>
      <c r="I638" s="131" t="b">
        <f aca="false">FALSE()</f>
        <v>0</v>
      </c>
      <c r="J638" s="130"/>
      <c r="K638" s="110"/>
      <c r="L638" s="83"/>
      <c r="M638" s="103"/>
      <c r="N638" s="103"/>
      <c r="O638" s="103"/>
      <c r="P638" s="103"/>
      <c r="Q638" s="103"/>
      <c r="R638" s="83"/>
      <c r="S638" s="103"/>
      <c r="T638" s="103"/>
      <c r="U638" s="103"/>
    </row>
    <row r="639" customFormat="false" ht="22.5" hidden="false" customHeight="true" outlineLevel="0" collapsed="false">
      <c r="A639" s="99"/>
      <c r="B639" s="99"/>
      <c r="C639" s="99"/>
      <c r="D639" s="121"/>
      <c r="E639" s="99"/>
      <c r="F639" s="124"/>
      <c r="G639" s="121"/>
      <c r="H639" s="132" t="b">
        <f aca="false">FALSE()</f>
        <v>0</v>
      </c>
      <c r="I639" s="132" t="b">
        <f aca="false">FALSE()</f>
        <v>0</v>
      </c>
      <c r="J639" s="126"/>
      <c r="K639" s="99"/>
      <c r="L639" s="83"/>
      <c r="M639" s="103"/>
      <c r="N639" s="103"/>
      <c r="O639" s="103"/>
      <c r="P639" s="103"/>
      <c r="Q639" s="103"/>
      <c r="R639" s="83"/>
      <c r="S639" s="103"/>
      <c r="T639" s="103"/>
      <c r="U639" s="103"/>
    </row>
    <row r="640" customFormat="false" ht="22.5" hidden="false" customHeight="true" outlineLevel="0" collapsed="false">
      <c r="A640" s="110"/>
      <c r="B640" s="110"/>
      <c r="C640" s="110"/>
      <c r="D640" s="122"/>
      <c r="E640" s="110"/>
      <c r="F640" s="128"/>
      <c r="G640" s="122"/>
      <c r="H640" s="131" t="b">
        <f aca="false">FALSE()</f>
        <v>0</v>
      </c>
      <c r="I640" s="131" t="b">
        <f aca="false">FALSE()</f>
        <v>0</v>
      </c>
      <c r="J640" s="130"/>
      <c r="K640" s="110"/>
      <c r="L640" s="83"/>
      <c r="M640" s="103"/>
      <c r="N640" s="103"/>
      <c r="O640" s="103"/>
      <c r="P640" s="103"/>
      <c r="Q640" s="103"/>
      <c r="R640" s="83"/>
      <c r="S640" s="103"/>
      <c r="T640" s="103"/>
      <c r="U640" s="103"/>
    </row>
    <row r="641" customFormat="false" ht="22.5" hidden="false" customHeight="true" outlineLevel="0" collapsed="false">
      <c r="A641" s="99"/>
      <c r="B641" s="99"/>
      <c r="C641" s="99"/>
      <c r="D641" s="121"/>
      <c r="E641" s="99"/>
      <c r="F641" s="124"/>
      <c r="G641" s="121"/>
      <c r="H641" s="132" t="b">
        <f aca="false">FALSE()</f>
        <v>0</v>
      </c>
      <c r="I641" s="132" t="b">
        <f aca="false">FALSE()</f>
        <v>0</v>
      </c>
      <c r="J641" s="126"/>
      <c r="K641" s="99"/>
      <c r="L641" s="83"/>
      <c r="M641" s="103"/>
      <c r="N641" s="103"/>
      <c r="O641" s="103"/>
      <c r="P641" s="103"/>
      <c r="Q641" s="103"/>
      <c r="R641" s="83"/>
      <c r="S641" s="103"/>
      <c r="T641" s="103"/>
      <c r="U641" s="103"/>
    </row>
    <row r="642" customFormat="false" ht="22.5" hidden="false" customHeight="true" outlineLevel="0" collapsed="false">
      <c r="A642" s="110"/>
      <c r="B642" s="110"/>
      <c r="C642" s="110"/>
      <c r="D642" s="122"/>
      <c r="E642" s="110"/>
      <c r="F642" s="128"/>
      <c r="G642" s="122"/>
      <c r="H642" s="131" t="b">
        <f aca="false">FALSE()</f>
        <v>0</v>
      </c>
      <c r="I642" s="131" t="b">
        <f aca="false">FALSE()</f>
        <v>0</v>
      </c>
      <c r="J642" s="130"/>
      <c r="K642" s="110"/>
      <c r="L642" s="83"/>
      <c r="M642" s="103"/>
      <c r="N642" s="103"/>
      <c r="O642" s="103"/>
      <c r="P642" s="103"/>
      <c r="Q642" s="103"/>
      <c r="R642" s="83"/>
      <c r="S642" s="103"/>
      <c r="T642" s="103"/>
      <c r="U642" s="103"/>
    </row>
    <row r="643" customFormat="false" ht="22.5" hidden="false" customHeight="true" outlineLevel="0" collapsed="false">
      <c r="A643" s="99"/>
      <c r="B643" s="99"/>
      <c r="C643" s="99"/>
      <c r="D643" s="121"/>
      <c r="E643" s="99"/>
      <c r="F643" s="124"/>
      <c r="G643" s="121"/>
      <c r="H643" s="132" t="b">
        <f aca="false">FALSE()</f>
        <v>0</v>
      </c>
      <c r="I643" s="132" t="b">
        <f aca="false">FALSE()</f>
        <v>0</v>
      </c>
      <c r="J643" s="126"/>
      <c r="K643" s="99"/>
      <c r="L643" s="83"/>
      <c r="M643" s="103"/>
      <c r="N643" s="103"/>
      <c r="O643" s="103"/>
      <c r="P643" s="103"/>
      <c r="Q643" s="103"/>
      <c r="R643" s="83"/>
      <c r="S643" s="103"/>
      <c r="T643" s="103"/>
      <c r="U643" s="103"/>
    </row>
    <row r="644" customFormat="false" ht="22.5" hidden="false" customHeight="true" outlineLevel="0" collapsed="false">
      <c r="A644" s="110"/>
      <c r="B644" s="110"/>
      <c r="C644" s="110"/>
      <c r="D644" s="122"/>
      <c r="E644" s="110"/>
      <c r="F644" s="128"/>
      <c r="G644" s="122"/>
      <c r="H644" s="131" t="b">
        <f aca="false">FALSE()</f>
        <v>0</v>
      </c>
      <c r="I644" s="131" t="b">
        <f aca="false">FALSE()</f>
        <v>0</v>
      </c>
      <c r="J644" s="130"/>
      <c r="K644" s="110"/>
      <c r="L644" s="83"/>
      <c r="M644" s="103"/>
      <c r="N644" s="103"/>
      <c r="O644" s="103"/>
      <c r="P644" s="103"/>
      <c r="Q644" s="103"/>
      <c r="R644" s="83"/>
      <c r="S644" s="103"/>
      <c r="T644" s="103"/>
      <c r="U644" s="103"/>
    </row>
    <row r="645" customFormat="false" ht="22.5" hidden="false" customHeight="true" outlineLevel="0" collapsed="false">
      <c r="A645" s="99"/>
      <c r="B645" s="99"/>
      <c r="C645" s="99"/>
      <c r="D645" s="121"/>
      <c r="E645" s="99"/>
      <c r="F645" s="124"/>
      <c r="G645" s="121"/>
      <c r="H645" s="132" t="b">
        <f aca="false">FALSE()</f>
        <v>0</v>
      </c>
      <c r="I645" s="132" t="b">
        <f aca="false">FALSE()</f>
        <v>0</v>
      </c>
      <c r="J645" s="126"/>
      <c r="K645" s="99"/>
      <c r="L645" s="83"/>
      <c r="M645" s="103"/>
      <c r="N645" s="103"/>
      <c r="O645" s="103"/>
      <c r="P645" s="103"/>
      <c r="Q645" s="103"/>
      <c r="R645" s="83"/>
      <c r="S645" s="103"/>
      <c r="T645" s="103"/>
      <c r="U645" s="103"/>
    </row>
    <row r="646" customFormat="false" ht="22.5" hidden="false" customHeight="true" outlineLevel="0" collapsed="false">
      <c r="A646" s="110"/>
      <c r="B646" s="110"/>
      <c r="C646" s="110"/>
      <c r="D646" s="122"/>
      <c r="E646" s="110"/>
      <c r="F646" s="128"/>
      <c r="G646" s="122"/>
      <c r="H646" s="131" t="b">
        <f aca="false">FALSE()</f>
        <v>0</v>
      </c>
      <c r="I646" s="131" t="b">
        <f aca="false">FALSE()</f>
        <v>0</v>
      </c>
      <c r="J646" s="130"/>
      <c r="K646" s="110"/>
      <c r="L646" s="83"/>
      <c r="M646" s="103"/>
      <c r="N646" s="103"/>
      <c r="O646" s="103"/>
      <c r="P646" s="103"/>
      <c r="Q646" s="103"/>
      <c r="R646" s="83"/>
      <c r="S646" s="103"/>
      <c r="T646" s="103"/>
      <c r="U646" s="103"/>
    </row>
    <row r="647" customFormat="false" ht="22.5" hidden="false" customHeight="true" outlineLevel="0" collapsed="false">
      <c r="A647" s="99"/>
      <c r="B647" s="99"/>
      <c r="C647" s="99"/>
      <c r="D647" s="121"/>
      <c r="E647" s="99"/>
      <c r="F647" s="124"/>
      <c r="G647" s="121"/>
      <c r="H647" s="132" t="b">
        <f aca="false">FALSE()</f>
        <v>0</v>
      </c>
      <c r="I647" s="132" t="b">
        <f aca="false">FALSE()</f>
        <v>0</v>
      </c>
      <c r="J647" s="126"/>
      <c r="K647" s="99"/>
      <c r="L647" s="83"/>
      <c r="M647" s="103"/>
      <c r="N647" s="103"/>
      <c r="O647" s="103"/>
      <c r="P647" s="103"/>
      <c r="Q647" s="103"/>
      <c r="R647" s="83"/>
      <c r="S647" s="103"/>
      <c r="T647" s="103"/>
      <c r="U647" s="103"/>
    </row>
    <row r="648" customFormat="false" ht="22.5" hidden="false" customHeight="true" outlineLevel="0" collapsed="false">
      <c r="A648" s="110"/>
      <c r="B648" s="110"/>
      <c r="C648" s="110"/>
      <c r="D648" s="122"/>
      <c r="E648" s="110"/>
      <c r="F648" s="128"/>
      <c r="G648" s="122"/>
      <c r="H648" s="131" t="b">
        <f aca="false">FALSE()</f>
        <v>0</v>
      </c>
      <c r="I648" s="131" t="b">
        <f aca="false">FALSE()</f>
        <v>0</v>
      </c>
      <c r="J648" s="130"/>
      <c r="K648" s="110"/>
      <c r="L648" s="83"/>
      <c r="M648" s="103"/>
      <c r="N648" s="103"/>
      <c r="O648" s="103"/>
      <c r="P648" s="103"/>
      <c r="Q648" s="103"/>
      <c r="R648" s="83"/>
      <c r="S648" s="103"/>
      <c r="T648" s="103"/>
      <c r="U648" s="103"/>
    </row>
    <row r="649" customFormat="false" ht="22.5" hidden="false" customHeight="true" outlineLevel="0" collapsed="false">
      <c r="A649" s="99"/>
      <c r="B649" s="99"/>
      <c r="C649" s="99"/>
      <c r="D649" s="121"/>
      <c r="E649" s="99"/>
      <c r="F649" s="124"/>
      <c r="G649" s="121"/>
      <c r="H649" s="132" t="b">
        <f aca="false">FALSE()</f>
        <v>0</v>
      </c>
      <c r="I649" s="132" t="b">
        <f aca="false">FALSE()</f>
        <v>0</v>
      </c>
      <c r="J649" s="126"/>
      <c r="K649" s="99"/>
      <c r="L649" s="83"/>
      <c r="M649" s="103"/>
      <c r="N649" s="103"/>
      <c r="O649" s="103"/>
      <c r="P649" s="103"/>
      <c r="Q649" s="103"/>
      <c r="R649" s="83"/>
      <c r="S649" s="103"/>
      <c r="T649" s="103"/>
      <c r="U649" s="103"/>
    </row>
    <row r="650" customFormat="false" ht="22.5" hidden="false" customHeight="true" outlineLevel="0" collapsed="false">
      <c r="A650" s="110"/>
      <c r="B650" s="110"/>
      <c r="C650" s="110"/>
      <c r="D650" s="122"/>
      <c r="E650" s="110"/>
      <c r="F650" s="128"/>
      <c r="G650" s="122"/>
      <c r="H650" s="131" t="b">
        <f aca="false">FALSE()</f>
        <v>0</v>
      </c>
      <c r="I650" s="131" t="b">
        <f aca="false">FALSE()</f>
        <v>0</v>
      </c>
      <c r="J650" s="130"/>
      <c r="K650" s="110"/>
      <c r="L650" s="83"/>
      <c r="M650" s="103"/>
      <c r="N650" s="103"/>
      <c r="O650" s="103"/>
      <c r="P650" s="103"/>
      <c r="Q650" s="103"/>
      <c r="R650" s="83"/>
      <c r="S650" s="103"/>
      <c r="T650" s="103"/>
      <c r="U650" s="103"/>
    </row>
    <row r="651" customFormat="false" ht="22.5" hidden="false" customHeight="true" outlineLevel="0" collapsed="false">
      <c r="A651" s="99"/>
      <c r="B651" s="99"/>
      <c r="C651" s="99"/>
      <c r="D651" s="121"/>
      <c r="E651" s="99"/>
      <c r="F651" s="124"/>
      <c r="G651" s="121"/>
      <c r="H651" s="132" t="b">
        <f aca="false">FALSE()</f>
        <v>0</v>
      </c>
      <c r="I651" s="132" t="b">
        <f aca="false">FALSE()</f>
        <v>0</v>
      </c>
      <c r="J651" s="126"/>
      <c r="K651" s="99"/>
      <c r="L651" s="83"/>
      <c r="M651" s="103"/>
      <c r="N651" s="103"/>
      <c r="O651" s="103"/>
      <c r="P651" s="103"/>
      <c r="Q651" s="103"/>
      <c r="R651" s="83"/>
      <c r="S651" s="103"/>
      <c r="T651" s="103"/>
      <c r="U651" s="103"/>
    </row>
    <row r="652" customFormat="false" ht="22.5" hidden="false" customHeight="true" outlineLevel="0" collapsed="false">
      <c r="A652" s="110"/>
      <c r="B652" s="110"/>
      <c r="C652" s="110"/>
      <c r="D652" s="122"/>
      <c r="E652" s="110"/>
      <c r="F652" s="128"/>
      <c r="G652" s="122"/>
      <c r="H652" s="131" t="b">
        <f aca="false">FALSE()</f>
        <v>0</v>
      </c>
      <c r="I652" s="131" t="b">
        <f aca="false">FALSE()</f>
        <v>0</v>
      </c>
      <c r="J652" s="130"/>
      <c r="K652" s="110"/>
      <c r="L652" s="83"/>
      <c r="M652" s="103"/>
      <c r="N652" s="103"/>
      <c r="O652" s="103"/>
      <c r="P652" s="103"/>
      <c r="Q652" s="103"/>
      <c r="R652" s="83"/>
      <c r="S652" s="103"/>
      <c r="T652" s="103"/>
      <c r="U652" s="103"/>
    </row>
    <row r="653" customFormat="false" ht="22.5" hidden="false" customHeight="true" outlineLevel="0" collapsed="false">
      <c r="A653" s="99"/>
      <c r="B653" s="99"/>
      <c r="C653" s="99"/>
      <c r="D653" s="121"/>
      <c r="E653" s="99"/>
      <c r="F653" s="124"/>
      <c r="G653" s="121"/>
      <c r="H653" s="132" t="b">
        <f aca="false">FALSE()</f>
        <v>0</v>
      </c>
      <c r="I653" s="132" t="b">
        <f aca="false">FALSE()</f>
        <v>0</v>
      </c>
      <c r="J653" s="126"/>
      <c r="K653" s="99"/>
      <c r="L653" s="83"/>
      <c r="M653" s="103"/>
      <c r="N653" s="103"/>
      <c r="O653" s="103"/>
      <c r="P653" s="103"/>
      <c r="Q653" s="103"/>
      <c r="R653" s="83"/>
      <c r="S653" s="103"/>
      <c r="T653" s="103"/>
      <c r="U653" s="103"/>
    </row>
    <row r="654" customFormat="false" ht="22.5" hidden="false" customHeight="true" outlineLevel="0" collapsed="false">
      <c r="A654" s="110"/>
      <c r="B654" s="110"/>
      <c r="C654" s="110"/>
      <c r="D654" s="122"/>
      <c r="E654" s="110"/>
      <c r="F654" s="128"/>
      <c r="G654" s="122"/>
      <c r="H654" s="131" t="b">
        <f aca="false">FALSE()</f>
        <v>0</v>
      </c>
      <c r="I654" s="131" t="b">
        <f aca="false">FALSE()</f>
        <v>0</v>
      </c>
      <c r="J654" s="130"/>
      <c r="K654" s="110"/>
      <c r="L654" s="83"/>
      <c r="M654" s="103"/>
      <c r="N654" s="103"/>
      <c r="O654" s="103"/>
      <c r="P654" s="103"/>
      <c r="Q654" s="103"/>
      <c r="R654" s="83"/>
      <c r="S654" s="103"/>
      <c r="T654" s="103"/>
      <c r="U654" s="103"/>
    </row>
    <row r="655" customFormat="false" ht="22.5" hidden="false" customHeight="true" outlineLevel="0" collapsed="false">
      <c r="A655" s="99"/>
      <c r="B655" s="99"/>
      <c r="C655" s="99"/>
      <c r="D655" s="121"/>
      <c r="E655" s="99"/>
      <c r="F655" s="124"/>
      <c r="G655" s="121"/>
      <c r="H655" s="132" t="b">
        <f aca="false">FALSE()</f>
        <v>0</v>
      </c>
      <c r="I655" s="132" t="b">
        <f aca="false">FALSE()</f>
        <v>0</v>
      </c>
      <c r="J655" s="126"/>
      <c r="K655" s="99"/>
      <c r="L655" s="83"/>
      <c r="M655" s="103"/>
      <c r="N655" s="103"/>
      <c r="O655" s="103"/>
      <c r="P655" s="103"/>
      <c r="Q655" s="103"/>
      <c r="R655" s="83"/>
      <c r="S655" s="103"/>
      <c r="T655" s="103"/>
      <c r="U655" s="103"/>
    </row>
    <row r="656" customFormat="false" ht="22.5" hidden="false" customHeight="true" outlineLevel="0" collapsed="false">
      <c r="A656" s="110"/>
      <c r="B656" s="110"/>
      <c r="C656" s="110"/>
      <c r="D656" s="122"/>
      <c r="E656" s="110"/>
      <c r="F656" s="128"/>
      <c r="G656" s="122"/>
      <c r="H656" s="131" t="b">
        <f aca="false">FALSE()</f>
        <v>0</v>
      </c>
      <c r="I656" s="131" t="b">
        <f aca="false">FALSE()</f>
        <v>0</v>
      </c>
      <c r="J656" s="130"/>
      <c r="K656" s="110"/>
      <c r="L656" s="83"/>
      <c r="M656" s="103"/>
      <c r="N656" s="103"/>
      <c r="O656" s="103"/>
      <c r="P656" s="103"/>
      <c r="Q656" s="103"/>
      <c r="R656" s="83"/>
      <c r="S656" s="103"/>
      <c r="T656" s="103"/>
      <c r="U656" s="103"/>
    </row>
    <row r="657" customFormat="false" ht="22.5" hidden="false" customHeight="true" outlineLevel="0" collapsed="false">
      <c r="A657" s="99"/>
      <c r="B657" s="99"/>
      <c r="C657" s="99"/>
      <c r="D657" s="121"/>
      <c r="E657" s="99"/>
      <c r="F657" s="124"/>
      <c r="G657" s="121"/>
      <c r="H657" s="132" t="b">
        <f aca="false">FALSE()</f>
        <v>0</v>
      </c>
      <c r="I657" s="132" t="b">
        <f aca="false">FALSE()</f>
        <v>0</v>
      </c>
      <c r="J657" s="126"/>
      <c r="K657" s="99"/>
      <c r="L657" s="83"/>
      <c r="M657" s="103"/>
      <c r="N657" s="103"/>
      <c r="O657" s="103"/>
      <c r="P657" s="103"/>
      <c r="Q657" s="103"/>
      <c r="R657" s="83"/>
      <c r="S657" s="103"/>
      <c r="T657" s="103"/>
      <c r="U657" s="103"/>
    </row>
    <row r="658" customFormat="false" ht="22.5" hidden="false" customHeight="true" outlineLevel="0" collapsed="false">
      <c r="A658" s="110"/>
      <c r="B658" s="110"/>
      <c r="C658" s="110"/>
      <c r="D658" s="122"/>
      <c r="E658" s="110"/>
      <c r="F658" s="128"/>
      <c r="G658" s="122"/>
      <c r="H658" s="131" t="b">
        <f aca="false">FALSE()</f>
        <v>0</v>
      </c>
      <c r="I658" s="131" t="b">
        <f aca="false">FALSE()</f>
        <v>0</v>
      </c>
      <c r="J658" s="130"/>
      <c r="K658" s="110"/>
      <c r="L658" s="83"/>
      <c r="M658" s="103"/>
      <c r="N658" s="103"/>
      <c r="O658" s="103"/>
      <c r="P658" s="103"/>
      <c r="Q658" s="103"/>
      <c r="R658" s="83"/>
      <c r="S658" s="103"/>
      <c r="T658" s="103"/>
      <c r="U658" s="103"/>
    </row>
    <row r="659" customFormat="false" ht="22.5" hidden="false" customHeight="true" outlineLevel="0" collapsed="false">
      <c r="A659" s="99"/>
      <c r="B659" s="99"/>
      <c r="C659" s="99"/>
      <c r="D659" s="121"/>
      <c r="E659" s="99"/>
      <c r="F659" s="124"/>
      <c r="G659" s="121"/>
      <c r="H659" s="132" t="b">
        <f aca="false">FALSE()</f>
        <v>0</v>
      </c>
      <c r="I659" s="132" t="b">
        <f aca="false">FALSE()</f>
        <v>0</v>
      </c>
      <c r="J659" s="126"/>
      <c r="K659" s="99"/>
      <c r="L659" s="83"/>
      <c r="M659" s="103"/>
      <c r="N659" s="103"/>
      <c r="O659" s="103"/>
      <c r="P659" s="103"/>
      <c r="Q659" s="103"/>
      <c r="R659" s="83"/>
      <c r="S659" s="103"/>
      <c r="T659" s="103"/>
      <c r="U659" s="103"/>
    </row>
    <row r="660" customFormat="false" ht="22.5" hidden="false" customHeight="true" outlineLevel="0" collapsed="false">
      <c r="A660" s="110"/>
      <c r="B660" s="110"/>
      <c r="C660" s="110"/>
      <c r="D660" s="122"/>
      <c r="E660" s="110"/>
      <c r="F660" s="128"/>
      <c r="G660" s="122"/>
      <c r="H660" s="131" t="b">
        <f aca="false">FALSE()</f>
        <v>0</v>
      </c>
      <c r="I660" s="131" t="b">
        <f aca="false">FALSE()</f>
        <v>0</v>
      </c>
      <c r="J660" s="130"/>
      <c r="K660" s="110"/>
      <c r="L660" s="83"/>
      <c r="M660" s="103"/>
      <c r="N660" s="103"/>
      <c r="O660" s="103"/>
      <c r="P660" s="103"/>
      <c r="Q660" s="103"/>
      <c r="R660" s="83"/>
      <c r="S660" s="103"/>
      <c r="T660" s="103"/>
      <c r="U660" s="103"/>
    </row>
    <row r="661" customFormat="false" ht="22.5" hidden="false" customHeight="true" outlineLevel="0" collapsed="false">
      <c r="A661" s="99"/>
      <c r="B661" s="99"/>
      <c r="C661" s="99"/>
      <c r="D661" s="121"/>
      <c r="E661" s="99"/>
      <c r="F661" s="124"/>
      <c r="G661" s="121"/>
      <c r="H661" s="132" t="b">
        <f aca="false">FALSE()</f>
        <v>0</v>
      </c>
      <c r="I661" s="132" t="b">
        <f aca="false">FALSE()</f>
        <v>0</v>
      </c>
      <c r="J661" s="126"/>
      <c r="K661" s="99"/>
      <c r="L661" s="83"/>
      <c r="M661" s="103"/>
      <c r="N661" s="103"/>
      <c r="O661" s="103"/>
      <c r="P661" s="103"/>
      <c r="Q661" s="103"/>
      <c r="R661" s="83"/>
      <c r="S661" s="103"/>
      <c r="T661" s="103"/>
      <c r="U661" s="103"/>
    </row>
    <row r="662" customFormat="false" ht="22.5" hidden="false" customHeight="true" outlineLevel="0" collapsed="false">
      <c r="A662" s="110"/>
      <c r="B662" s="110"/>
      <c r="C662" s="110"/>
      <c r="D662" s="122"/>
      <c r="E662" s="110"/>
      <c r="F662" s="128"/>
      <c r="G662" s="122"/>
      <c r="H662" s="131" t="b">
        <f aca="false">FALSE()</f>
        <v>0</v>
      </c>
      <c r="I662" s="131" t="b">
        <f aca="false">FALSE()</f>
        <v>0</v>
      </c>
      <c r="J662" s="130"/>
      <c r="K662" s="110"/>
      <c r="L662" s="83"/>
      <c r="M662" s="103"/>
      <c r="N662" s="103"/>
      <c r="O662" s="103"/>
      <c r="P662" s="103"/>
      <c r="Q662" s="103"/>
      <c r="R662" s="83"/>
      <c r="S662" s="103"/>
      <c r="T662" s="103"/>
      <c r="U662" s="103"/>
    </row>
    <row r="663" customFormat="false" ht="22.5" hidden="false" customHeight="true" outlineLevel="0" collapsed="false">
      <c r="A663" s="99"/>
      <c r="B663" s="99"/>
      <c r="C663" s="99"/>
      <c r="D663" s="121"/>
      <c r="E663" s="99"/>
      <c r="F663" s="124"/>
      <c r="G663" s="121"/>
      <c r="H663" s="132" t="b">
        <f aca="false">FALSE()</f>
        <v>0</v>
      </c>
      <c r="I663" s="132" t="b">
        <f aca="false">FALSE()</f>
        <v>0</v>
      </c>
      <c r="J663" s="126"/>
      <c r="K663" s="99"/>
      <c r="L663" s="83"/>
      <c r="M663" s="103"/>
      <c r="N663" s="103"/>
      <c r="O663" s="103"/>
      <c r="P663" s="103"/>
      <c r="Q663" s="103"/>
      <c r="R663" s="83"/>
      <c r="S663" s="103"/>
      <c r="T663" s="103"/>
      <c r="U663" s="103"/>
    </row>
    <row r="664" customFormat="false" ht="22.5" hidden="false" customHeight="true" outlineLevel="0" collapsed="false">
      <c r="A664" s="110"/>
      <c r="B664" s="110"/>
      <c r="C664" s="110"/>
      <c r="D664" s="122"/>
      <c r="E664" s="110"/>
      <c r="F664" s="128"/>
      <c r="G664" s="122"/>
      <c r="H664" s="131" t="b">
        <f aca="false">FALSE()</f>
        <v>0</v>
      </c>
      <c r="I664" s="131" t="b">
        <f aca="false">FALSE()</f>
        <v>0</v>
      </c>
      <c r="J664" s="130"/>
      <c r="K664" s="110"/>
      <c r="L664" s="83"/>
      <c r="M664" s="103"/>
      <c r="N664" s="103"/>
      <c r="O664" s="103"/>
      <c r="P664" s="103"/>
      <c r="Q664" s="103"/>
      <c r="R664" s="83"/>
      <c r="S664" s="103"/>
      <c r="T664" s="103"/>
      <c r="U664" s="103"/>
    </row>
    <row r="665" customFormat="false" ht="22.5" hidden="false" customHeight="true" outlineLevel="0" collapsed="false">
      <c r="A665" s="99"/>
      <c r="B665" s="99"/>
      <c r="C665" s="99"/>
      <c r="D665" s="121"/>
      <c r="E665" s="99"/>
      <c r="F665" s="124"/>
      <c r="G665" s="121"/>
      <c r="H665" s="132" t="b">
        <f aca="false">FALSE()</f>
        <v>0</v>
      </c>
      <c r="I665" s="132" t="b">
        <f aca="false">FALSE()</f>
        <v>0</v>
      </c>
      <c r="J665" s="126"/>
      <c r="K665" s="99"/>
      <c r="L665" s="83"/>
      <c r="M665" s="103"/>
      <c r="N665" s="103"/>
      <c r="O665" s="103"/>
      <c r="P665" s="103"/>
      <c r="Q665" s="103"/>
      <c r="R665" s="83"/>
      <c r="S665" s="103"/>
      <c r="T665" s="103"/>
      <c r="U665" s="103"/>
    </row>
    <row r="666" customFormat="false" ht="22.5" hidden="false" customHeight="true" outlineLevel="0" collapsed="false">
      <c r="A666" s="110"/>
      <c r="B666" s="110"/>
      <c r="C666" s="110"/>
      <c r="D666" s="122"/>
      <c r="E666" s="110"/>
      <c r="F666" s="128"/>
      <c r="G666" s="122"/>
      <c r="H666" s="131" t="b">
        <f aca="false">FALSE()</f>
        <v>0</v>
      </c>
      <c r="I666" s="131" t="b">
        <f aca="false">FALSE()</f>
        <v>0</v>
      </c>
      <c r="J666" s="130"/>
      <c r="K666" s="110"/>
      <c r="L666" s="83"/>
      <c r="M666" s="103"/>
      <c r="N666" s="103"/>
      <c r="O666" s="103"/>
      <c r="P666" s="103"/>
      <c r="Q666" s="103"/>
      <c r="R666" s="83"/>
      <c r="S666" s="103"/>
      <c r="T666" s="103"/>
      <c r="U666" s="103"/>
    </row>
    <row r="667" customFormat="false" ht="22.5" hidden="false" customHeight="true" outlineLevel="0" collapsed="false">
      <c r="A667" s="99"/>
      <c r="B667" s="99"/>
      <c r="C667" s="99"/>
      <c r="D667" s="121"/>
      <c r="E667" s="99"/>
      <c r="F667" s="124"/>
      <c r="G667" s="121"/>
      <c r="H667" s="132" t="b">
        <f aca="false">FALSE()</f>
        <v>0</v>
      </c>
      <c r="I667" s="132" t="b">
        <f aca="false">FALSE()</f>
        <v>0</v>
      </c>
      <c r="J667" s="126"/>
      <c r="K667" s="99"/>
      <c r="L667" s="83"/>
      <c r="M667" s="103"/>
      <c r="N667" s="103"/>
      <c r="O667" s="103"/>
      <c r="P667" s="103"/>
      <c r="Q667" s="103"/>
      <c r="R667" s="83"/>
      <c r="S667" s="103"/>
      <c r="T667" s="103"/>
      <c r="U667" s="103"/>
    </row>
    <row r="668" customFormat="false" ht="22.5" hidden="false" customHeight="true" outlineLevel="0" collapsed="false">
      <c r="A668" s="110"/>
      <c r="B668" s="110"/>
      <c r="C668" s="110"/>
      <c r="D668" s="122"/>
      <c r="E668" s="110"/>
      <c r="F668" s="128"/>
      <c r="G668" s="122"/>
      <c r="H668" s="131" t="b">
        <f aca="false">FALSE()</f>
        <v>0</v>
      </c>
      <c r="I668" s="131" t="b">
        <f aca="false">FALSE()</f>
        <v>0</v>
      </c>
      <c r="J668" s="130"/>
      <c r="K668" s="110"/>
      <c r="L668" s="83"/>
      <c r="M668" s="103"/>
      <c r="N668" s="103"/>
      <c r="O668" s="103"/>
      <c r="P668" s="103"/>
      <c r="Q668" s="103"/>
      <c r="R668" s="83"/>
      <c r="S668" s="103"/>
      <c r="T668" s="103"/>
      <c r="U668" s="103"/>
    </row>
    <row r="669" customFormat="false" ht="22.5" hidden="false" customHeight="true" outlineLevel="0" collapsed="false">
      <c r="A669" s="99"/>
      <c r="B669" s="99"/>
      <c r="C669" s="99"/>
      <c r="D669" s="121"/>
      <c r="E669" s="99"/>
      <c r="F669" s="124"/>
      <c r="G669" s="121"/>
      <c r="H669" s="132" t="b">
        <f aca="false">FALSE()</f>
        <v>0</v>
      </c>
      <c r="I669" s="132" t="b">
        <f aca="false">FALSE()</f>
        <v>0</v>
      </c>
      <c r="J669" s="126"/>
      <c r="K669" s="99"/>
      <c r="L669" s="83"/>
      <c r="M669" s="103"/>
      <c r="N669" s="103"/>
      <c r="O669" s="103"/>
      <c r="P669" s="103"/>
      <c r="Q669" s="103"/>
      <c r="R669" s="83"/>
      <c r="S669" s="103"/>
      <c r="T669" s="103"/>
      <c r="U669" s="103"/>
    </row>
    <row r="670" customFormat="false" ht="22.5" hidden="false" customHeight="true" outlineLevel="0" collapsed="false">
      <c r="A670" s="110"/>
      <c r="B670" s="110"/>
      <c r="C670" s="110"/>
      <c r="D670" s="122"/>
      <c r="E670" s="110"/>
      <c r="F670" s="128"/>
      <c r="G670" s="122"/>
      <c r="H670" s="131" t="b">
        <f aca="false">FALSE()</f>
        <v>0</v>
      </c>
      <c r="I670" s="131" t="b">
        <f aca="false">FALSE()</f>
        <v>0</v>
      </c>
      <c r="J670" s="130"/>
      <c r="K670" s="110"/>
      <c r="L670" s="83"/>
      <c r="M670" s="103"/>
      <c r="N670" s="103"/>
      <c r="O670" s="103"/>
      <c r="P670" s="103"/>
      <c r="Q670" s="103"/>
      <c r="R670" s="83"/>
      <c r="S670" s="103"/>
      <c r="T670" s="103"/>
      <c r="U670" s="103"/>
    </row>
    <row r="671" customFormat="false" ht="22.5" hidden="false" customHeight="true" outlineLevel="0" collapsed="false">
      <c r="A671" s="99"/>
      <c r="B671" s="99"/>
      <c r="C671" s="99"/>
      <c r="D671" s="121"/>
      <c r="E671" s="99"/>
      <c r="F671" s="124"/>
      <c r="G671" s="121"/>
      <c r="H671" s="132" t="b">
        <f aca="false">FALSE()</f>
        <v>0</v>
      </c>
      <c r="I671" s="132" t="b">
        <f aca="false">FALSE()</f>
        <v>0</v>
      </c>
      <c r="J671" s="126"/>
      <c r="K671" s="99"/>
      <c r="L671" s="83"/>
      <c r="M671" s="103"/>
      <c r="N671" s="103"/>
      <c r="O671" s="103"/>
      <c r="P671" s="103"/>
      <c r="Q671" s="103"/>
      <c r="R671" s="83"/>
      <c r="S671" s="103"/>
      <c r="T671" s="103"/>
      <c r="U671" s="103"/>
    </row>
    <row r="672" customFormat="false" ht="22.5" hidden="false" customHeight="true" outlineLevel="0" collapsed="false">
      <c r="A672" s="110"/>
      <c r="B672" s="110"/>
      <c r="C672" s="110"/>
      <c r="D672" s="122"/>
      <c r="E672" s="110"/>
      <c r="F672" s="128"/>
      <c r="G672" s="122"/>
      <c r="H672" s="131" t="b">
        <f aca="false">FALSE()</f>
        <v>0</v>
      </c>
      <c r="I672" s="131" t="b">
        <f aca="false">FALSE()</f>
        <v>0</v>
      </c>
      <c r="J672" s="130"/>
      <c r="K672" s="110"/>
      <c r="L672" s="83"/>
      <c r="M672" s="103"/>
      <c r="N672" s="103"/>
      <c r="O672" s="103"/>
      <c r="P672" s="103"/>
      <c r="Q672" s="103"/>
      <c r="R672" s="83"/>
      <c r="S672" s="103"/>
      <c r="T672" s="103"/>
      <c r="U672" s="103"/>
    </row>
    <row r="673" customFormat="false" ht="22.5" hidden="false" customHeight="true" outlineLevel="0" collapsed="false">
      <c r="A673" s="99"/>
      <c r="B673" s="99"/>
      <c r="C673" s="99"/>
      <c r="D673" s="121"/>
      <c r="E673" s="99"/>
      <c r="F673" s="124"/>
      <c r="G673" s="121"/>
      <c r="H673" s="132" t="b">
        <f aca="false">FALSE()</f>
        <v>0</v>
      </c>
      <c r="I673" s="132" t="b">
        <f aca="false">FALSE()</f>
        <v>0</v>
      </c>
      <c r="J673" s="126"/>
      <c r="K673" s="99"/>
      <c r="L673" s="83"/>
      <c r="M673" s="103"/>
      <c r="N673" s="103"/>
      <c r="O673" s="103"/>
      <c r="P673" s="103"/>
      <c r="Q673" s="103"/>
      <c r="R673" s="83"/>
      <c r="S673" s="103"/>
      <c r="T673" s="103"/>
      <c r="U673" s="103"/>
    </row>
    <row r="674" customFormat="false" ht="22.5" hidden="false" customHeight="true" outlineLevel="0" collapsed="false">
      <c r="A674" s="110"/>
      <c r="B674" s="110"/>
      <c r="C674" s="110"/>
      <c r="D674" s="122"/>
      <c r="E674" s="110"/>
      <c r="F674" s="128"/>
      <c r="G674" s="122"/>
      <c r="H674" s="131" t="b">
        <f aca="false">FALSE()</f>
        <v>0</v>
      </c>
      <c r="I674" s="131" t="b">
        <f aca="false">FALSE()</f>
        <v>0</v>
      </c>
      <c r="J674" s="130"/>
      <c r="K674" s="110"/>
      <c r="L674" s="83"/>
      <c r="M674" s="103"/>
      <c r="N674" s="103"/>
      <c r="O674" s="103"/>
      <c r="P674" s="103"/>
      <c r="Q674" s="103"/>
      <c r="R674" s="83"/>
      <c r="S674" s="103"/>
      <c r="T674" s="103"/>
      <c r="U674" s="103"/>
    </row>
    <row r="675" customFormat="false" ht="22.5" hidden="false" customHeight="true" outlineLevel="0" collapsed="false">
      <c r="A675" s="99"/>
      <c r="B675" s="99"/>
      <c r="C675" s="99"/>
      <c r="D675" s="121"/>
      <c r="E675" s="99"/>
      <c r="F675" s="124"/>
      <c r="G675" s="121"/>
      <c r="H675" s="132" t="b">
        <f aca="false">FALSE()</f>
        <v>0</v>
      </c>
      <c r="I675" s="132" t="b">
        <f aca="false">FALSE()</f>
        <v>0</v>
      </c>
      <c r="J675" s="126"/>
      <c r="K675" s="99"/>
      <c r="L675" s="83"/>
      <c r="M675" s="103"/>
      <c r="N675" s="103"/>
      <c r="O675" s="103"/>
      <c r="P675" s="103"/>
      <c r="Q675" s="103"/>
      <c r="R675" s="83"/>
      <c r="S675" s="103"/>
      <c r="T675" s="103"/>
      <c r="U675" s="103"/>
    </row>
    <row r="676" customFormat="false" ht="22.5" hidden="false" customHeight="true" outlineLevel="0" collapsed="false">
      <c r="A676" s="110"/>
      <c r="B676" s="110"/>
      <c r="C676" s="110"/>
      <c r="D676" s="122"/>
      <c r="E676" s="110"/>
      <c r="F676" s="128"/>
      <c r="G676" s="122"/>
      <c r="H676" s="131" t="b">
        <f aca="false">FALSE()</f>
        <v>0</v>
      </c>
      <c r="I676" s="131" t="b">
        <f aca="false">FALSE()</f>
        <v>0</v>
      </c>
      <c r="J676" s="130"/>
      <c r="K676" s="110"/>
      <c r="L676" s="83"/>
      <c r="M676" s="103"/>
      <c r="N676" s="103"/>
      <c r="O676" s="103"/>
      <c r="P676" s="103"/>
      <c r="Q676" s="103"/>
      <c r="R676" s="83"/>
      <c r="S676" s="103"/>
      <c r="T676" s="103"/>
      <c r="U676" s="103"/>
    </row>
    <row r="677" customFormat="false" ht="22.5" hidden="false" customHeight="true" outlineLevel="0" collapsed="false">
      <c r="A677" s="99"/>
      <c r="B677" s="99"/>
      <c r="C677" s="99"/>
      <c r="D677" s="121"/>
      <c r="E677" s="99"/>
      <c r="F677" s="124"/>
      <c r="G677" s="121"/>
      <c r="H677" s="132" t="b">
        <f aca="false">FALSE()</f>
        <v>0</v>
      </c>
      <c r="I677" s="132" t="b">
        <f aca="false">FALSE()</f>
        <v>0</v>
      </c>
      <c r="J677" s="126"/>
      <c r="K677" s="99"/>
      <c r="L677" s="83"/>
      <c r="M677" s="103"/>
      <c r="N677" s="103"/>
      <c r="O677" s="103"/>
      <c r="P677" s="103"/>
      <c r="Q677" s="103"/>
      <c r="R677" s="83"/>
      <c r="S677" s="103"/>
      <c r="T677" s="103"/>
      <c r="U677" s="103"/>
    </row>
    <row r="678" customFormat="false" ht="22.5" hidden="false" customHeight="true" outlineLevel="0" collapsed="false">
      <c r="A678" s="110"/>
      <c r="B678" s="110"/>
      <c r="C678" s="110"/>
      <c r="D678" s="122"/>
      <c r="E678" s="110"/>
      <c r="F678" s="128"/>
      <c r="G678" s="122"/>
      <c r="H678" s="131" t="b">
        <f aca="false">FALSE()</f>
        <v>0</v>
      </c>
      <c r="I678" s="131" t="b">
        <f aca="false">FALSE()</f>
        <v>0</v>
      </c>
      <c r="J678" s="130"/>
      <c r="K678" s="110"/>
      <c r="L678" s="83"/>
      <c r="M678" s="103"/>
      <c r="N678" s="103"/>
      <c r="O678" s="103"/>
      <c r="P678" s="103"/>
      <c r="Q678" s="103"/>
      <c r="R678" s="83"/>
      <c r="S678" s="103"/>
      <c r="T678" s="103"/>
      <c r="U678" s="103"/>
    </row>
    <row r="679" customFormat="false" ht="22.5" hidden="false" customHeight="true" outlineLevel="0" collapsed="false">
      <c r="A679" s="99"/>
      <c r="B679" s="99"/>
      <c r="C679" s="99"/>
      <c r="D679" s="121"/>
      <c r="E679" s="99"/>
      <c r="F679" s="124"/>
      <c r="G679" s="121"/>
      <c r="H679" s="132" t="b">
        <f aca="false">FALSE()</f>
        <v>0</v>
      </c>
      <c r="I679" s="132" t="b">
        <f aca="false">FALSE()</f>
        <v>0</v>
      </c>
      <c r="J679" s="126"/>
      <c r="K679" s="99"/>
      <c r="L679" s="83"/>
      <c r="M679" s="103"/>
      <c r="N679" s="103"/>
      <c r="O679" s="103"/>
      <c r="P679" s="103"/>
      <c r="Q679" s="103"/>
      <c r="R679" s="83"/>
      <c r="S679" s="103"/>
      <c r="T679" s="103"/>
      <c r="U679" s="103"/>
    </row>
    <row r="680" customFormat="false" ht="22.5" hidden="false" customHeight="true" outlineLevel="0" collapsed="false">
      <c r="A680" s="110"/>
      <c r="B680" s="110"/>
      <c r="C680" s="110"/>
      <c r="D680" s="122"/>
      <c r="E680" s="110"/>
      <c r="F680" s="128"/>
      <c r="G680" s="122"/>
      <c r="H680" s="131" t="b">
        <f aca="false">FALSE()</f>
        <v>0</v>
      </c>
      <c r="I680" s="131" t="b">
        <f aca="false">FALSE()</f>
        <v>0</v>
      </c>
      <c r="J680" s="130"/>
      <c r="K680" s="110"/>
      <c r="L680" s="83"/>
      <c r="M680" s="103"/>
      <c r="N680" s="103"/>
      <c r="O680" s="103"/>
      <c r="P680" s="103"/>
      <c r="Q680" s="103"/>
      <c r="R680" s="83"/>
      <c r="S680" s="103"/>
      <c r="T680" s="103"/>
      <c r="U680" s="103"/>
    </row>
    <row r="681" customFormat="false" ht="22.5" hidden="false" customHeight="true" outlineLevel="0" collapsed="false">
      <c r="A681" s="99"/>
      <c r="B681" s="99"/>
      <c r="C681" s="99"/>
      <c r="D681" s="121"/>
      <c r="E681" s="99"/>
      <c r="F681" s="124"/>
      <c r="G681" s="121"/>
      <c r="H681" s="132" t="b">
        <f aca="false">FALSE()</f>
        <v>0</v>
      </c>
      <c r="I681" s="132" t="b">
        <f aca="false">FALSE()</f>
        <v>0</v>
      </c>
      <c r="J681" s="126"/>
      <c r="K681" s="99"/>
      <c r="L681" s="83"/>
      <c r="M681" s="103"/>
      <c r="N681" s="103"/>
      <c r="O681" s="103"/>
      <c r="P681" s="103"/>
      <c r="Q681" s="103"/>
      <c r="R681" s="83"/>
      <c r="S681" s="103"/>
      <c r="T681" s="103"/>
      <c r="U681" s="103"/>
    </row>
    <row r="682" customFormat="false" ht="22.5" hidden="false" customHeight="true" outlineLevel="0" collapsed="false">
      <c r="A682" s="110"/>
      <c r="B682" s="110"/>
      <c r="C682" s="110"/>
      <c r="D682" s="122"/>
      <c r="E682" s="110"/>
      <c r="F682" s="128"/>
      <c r="G682" s="122"/>
      <c r="H682" s="131" t="b">
        <f aca="false">FALSE()</f>
        <v>0</v>
      </c>
      <c r="I682" s="131" t="b">
        <f aca="false">FALSE()</f>
        <v>0</v>
      </c>
      <c r="J682" s="130"/>
      <c r="K682" s="110"/>
      <c r="L682" s="83"/>
      <c r="M682" s="103"/>
      <c r="N682" s="103"/>
      <c r="O682" s="103"/>
      <c r="P682" s="103"/>
      <c r="Q682" s="103"/>
      <c r="R682" s="83"/>
      <c r="S682" s="103"/>
      <c r="T682" s="103"/>
      <c r="U682" s="103"/>
    </row>
    <row r="683" customFormat="false" ht="22.5" hidden="false" customHeight="true" outlineLevel="0" collapsed="false">
      <c r="A683" s="99"/>
      <c r="B683" s="99"/>
      <c r="C683" s="99"/>
      <c r="D683" s="121"/>
      <c r="E683" s="99"/>
      <c r="F683" s="124"/>
      <c r="G683" s="121"/>
      <c r="H683" s="132" t="b">
        <f aca="false">FALSE()</f>
        <v>0</v>
      </c>
      <c r="I683" s="132" t="b">
        <f aca="false">FALSE()</f>
        <v>0</v>
      </c>
      <c r="J683" s="126"/>
      <c r="K683" s="99"/>
      <c r="L683" s="83"/>
      <c r="M683" s="103"/>
      <c r="N683" s="103"/>
      <c r="O683" s="103"/>
      <c r="P683" s="103"/>
      <c r="Q683" s="103"/>
      <c r="R683" s="83"/>
      <c r="S683" s="103"/>
      <c r="T683" s="103"/>
      <c r="U683" s="103"/>
    </row>
    <row r="684" customFormat="false" ht="22.5" hidden="false" customHeight="true" outlineLevel="0" collapsed="false">
      <c r="A684" s="110"/>
      <c r="B684" s="110"/>
      <c r="C684" s="110"/>
      <c r="D684" s="122"/>
      <c r="E684" s="110"/>
      <c r="F684" s="128"/>
      <c r="G684" s="122"/>
      <c r="H684" s="131" t="b">
        <f aca="false">FALSE()</f>
        <v>0</v>
      </c>
      <c r="I684" s="131" t="b">
        <f aca="false">FALSE()</f>
        <v>0</v>
      </c>
      <c r="J684" s="130"/>
      <c r="K684" s="110"/>
      <c r="L684" s="83"/>
      <c r="M684" s="103"/>
      <c r="N684" s="103"/>
      <c r="O684" s="103"/>
      <c r="P684" s="103"/>
      <c r="Q684" s="103"/>
      <c r="R684" s="83"/>
      <c r="S684" s="103"/>
      <c r="T684" s="103"/>
      <c r="U684" s="103"/>
    </row>
    <row r="685" customFormat="false" ht="22.5" hidden="false" customHeight="true" outlineLevel="0" collapsed="false">
      <c r="A685" s="99"/>
      <c r="B685" s="99"/>
      <c r="C685" s="99"/>
      <c r="D685" s="121"/>
      <c r="E685" s="99"/>
      <c r="F685" s="124"/>
      <c r="G685" s="121"/>
      <c r="H685" s="132" t="b">
        <f aca="false">FALSE()</f>
        <v>0</v>
      </c>
      <c r="I685" s="132" t="b">
        <f aca="false">FALSE()</f>
        <v>0</v>
      </c>
      <c r="J685" s="126"/>
      <c r="K685" s="99"/>
      <c r="L685" s="83"/>
      <c r="M685" s="103"/>
      <c r="N685" s="103"/>
      <c r="O685" s="103"/>
      <c r="P685" s="103"/>
      <c r="Q685" s="103"/>
      <c r="R685" s="83"/>
      <c r="S685" s="103"/>
      <c r="T685" s="103"/>
      <c r="U685" s="103"/>
    </row>
    <row r="686" customFormat="false" ht="22.5" hidden="false" customHeight="true" outlineLevel="0" collapsed="false">
      <c r="A686" s="110"/>
      <c r="B686" s="110"/>
      <c r="C686" s="110"/>
      <c r="D686" s="122"/>
      <c r="E686" s="110"/>
      <c r="F686" s="128"/>
      <c r="G686" s="122"/>
      <c r="H686" s="131" t="b">
        <f aca="false">FALSE()</f>
        <v>0</v>
      </c>
      <c r="I686" s="131" t="b">
        <f aca="false">FALSE()</f>
        <v>0</v>
      </c>
      <c r="J686" s="130"/>
      <c r="K686" s="110"/>
      <c r="L686" s="83"/>
      <c r="M686" s="103"/>
      <c r="N686" s="103"/>
      <c r="O686" s="103"/>
      <c r="P686" s="103"/>
      <c r="Q686" s="103"/>
      <c r="R686" s="83"/>
      <c r="S686" s="103"/>
      <c r="T686" s="103"/>
      <c r="U686" s="103"/>
    </row>
    <row r="687" customFormat="false" ht="22.5" hidden="false" customHeight="true" outlineLevel="0" collapsed="false">
      <c r="A687" s="99"/>
      <c r="B687" s="99"/>
      <c r="C687" s="99"/>
      <c r="D687" s="121"/>
      <c r="E687" s="99"/>
      <c r="F687" s="124"/>
      <c r="G687" s="121"/>
      <c r="H687" s="132" t="b">
        <f aca="false">FALSE()</f>
        <v>0</v>
      </c>
      <c r="I687" s="132" t="b">
        <f aca="false">FALSE()</f>
        <v>0</v>
      </c>
      <c r="J687" s="126"/>
      <c r="K687" s="99"/>
      <c r="L687" s="83"/>
      <c r="M687" s="103"/>
      <c r="N687" s="103"/>
      <c r="O687" s="103"/>
      <c r="P687" s="103"/>
      <c r="Q687" s="103"/>
      <c r="R687" s="83"/>
      <c r="S687" s="103"/>
      <c r="T687" s="103"/>
      <c r="U687" s="103"/>
    </row>
    <row r="688" customFormat="false" ht="22.5" hidden="false" customHeight="true" outlineLevel="0" collapsed="false">
      <c r="A688" s="110"/>
      <c r="B688" s="110"/>
      <c r="C688" s="110"/>
      <c r="D688" s="122"/>
      <c r="E688" s="110"/>
      <c r="F688" s="128"/>
      <c r="G688" s="122"/>
      <c r="H688" s="131" t="b">
        <f aca="false">FALSE()</f>
        <v>0</v>
      </c>
      <c r="I688" s="131" t="b">
        <f aca="false">FALSE()</f>
        <v>0</v>
      </c>
      <c r="J688" s="130"/>
      <c r="K688" s="110"/>
      <c r="L688" s="83"/>
      <c r="M688" s="103"/>
      <c r="N688" s="103"/>
      <c r="O688" s="103"/>
      <c r="P688" s="103"/>
      <c r="Q688" s="103"/>
      <c r="R688" s="83"/>
      <c r="S688" s="103"/>
      <c r="T688" s="103"/>
      <c r="U688" s="103"/>
    </row>
    <row r="689" customFormat="false" ht="22.5" hidden="false" customHeight="true" outlineLevel="0" collapsed="false">
      <c r="A689" s="99"/>
      <c r="B689" s="99"/>
      <c r="C689" s="99"/>
      <c r="D689" s="121"/>
      <c r="E689" s="99"/>
      <c r="F689" s="124"/>
      <c r="G689" s="121"/>
      <c r="H689" s="132" t="b">
        <f aca="false">FALSE()</f>
        <v>0</v>
      </c>
      <c r="I689" s="132" t="b">
        <f aca="false">FALSE()</f>
        <v>0</v>
      </c>
      <c r="J689" s="126"/>
      <c r="K689" s="99"/>
      <c r="L689" s="83"/>
      <c r="M689" s="103"/>
      <c r="N689" s="103"/>
      <c r="O689" s="103"/>
      <c r="P689" s="103"/>
      <c r="Q689" s="103"/>
      <c r="R689" s="83"/>
      <c r="S689" s="103"/>
      <c r="T689" s="103"/>
      <c r="U689" s="103"/>
    </row>
    <row r="690" customFormat="false" ht="22.5" hidden="false" customHeight="true" outlineLevel="0" collapsed="false">
      <c r="A690" s="110"/>
      <c r="B690" s="110"/>
      <c r="C690" s="110"/>
      <c r="D690" s="122"/>
      <c r="E690" s="110"/>
      <c r="F690" s="128"/>
      <c r="G690" s="122"/>
      <c r="H690" s="131" t="b">
        <f aca="false">FALSE()</f>
        <v>0</v>
      </c>
      <c r="I690" s="131" t="b">
        <f aca="false">FALSE()</f>
        <v>0</v>
      </c>
      <c r="J690" s="130"/>
      <c r="K690" s="110"/>
      <c r="L690" s="83"/>
      <c r="M690" s="103"/>
      <c r="N690" s="103"/>
      <c r="O690" s="103"/>
      <c r="P690" s="103"/>
      <c r="Q690" s="103"/>
      <c r="R690" s="83"/>
      <c r="S690" s="103"/>
      <c r="T690" s="103"/>
      <c r="U690" s="103"/>
    </row>
    <row r="691" customFormat="false" ht="22.5" hidden="false" customHeight="true" outlineLevel="0" collapsed="false">
      <c r="A691" s="99"/>
      <c r="B691" s="99"/>
      <c r="C691" s="99"/>
      <c r="D691" s="121"/>
      <c r="E691" s="99"/>
      <c r="F691" s="124"/>
      <c r="G691" s="121"/>
      <c r="H691" s="132" t="b">
        <f aca="false">FALSE()</f>
        <v>0</v>
      </c>
      <c r="I691" s="132" t="b">
        <f aca="false">FALSE()</f>
        <v>0</v>
      </c>
      <c r="J691" s="126"/>
      <c r="K691" s="99"/>
      <c r="L691" s="83"/>
      <c r="M691" s="103"/>
      <c r="N691" s="103"/>
      <c r="O691" s="103"/>
      <c r="P691" s="103"/>
      <c r="Q691" s="103"/>
      <c r="R691" s="83"/>
      <c r="S691" s="103"/>
      <c r="T691" s="103"/>
      <c r="U691" s="103"/>
    </row>
    <row r="692" customFormat="false" ht="22.5" hidden="false" customHeight="true" outlineLevel="0" collapsed="false">
      <c r="A692" s="110"/>
      <c r="B692" s="110"/>
      <c r="C692" s="110"/>
      <c r="D692" s="122"/>
      <c r="E692" s="110"/>
      <c r="F692" s="128"/>
      <c r="G692" s="122"/>
      <c r="H692" s="131" t="b">
        <f aca="false">FALSE()</f>
        <v>0</v>
      </c>
      <c r="I692" s="131" t="b">
        <f aca="false">FALSE()</f>
        <v>0</v>
      </c>
      <c r="J692" s="130"/>
      <c r="K692" s="110"/>
      <c r="L692" s="83"/>
      <c r="M692" s="103"/>
      <c r="N692" s="103"/>
      <c r="O692" s="103"/>
      <c r="P692" s="103"/>
      <c r="Q692" s="103"/>
      <c r="R692" s="83"/>
      <c r="S692" s="103"/>
      <c r="T692" s="103"/>
      <c r="U692" s="103"/>
    </row>
    <row r="693" customFormat="false" ht="22.5" hidden="false" customHeight="true" outlineLevel="0" collapsed="false">
      <c r="A693" s="99"/>
      <c r="B693" s="99"/>
      <c r="C693" s="99"/>
      <c r="D693" s="121"/>
      <c r="E693" s="99"/>
      <c r="F693" s="124"/>
      <c r="G693" s="121"/>
      <c r="H693" s="132" t="b">
        <f aca="false">FALSE()</f>
        <v>0</v>
      </c>
      <c r="I693" s="132" t="b">
        <f aca="false">FALSE()</f>
        <v>0</v>
      </c>
      <c r="J693" s="126"/>
      <c r="K693" s="99"/>
      <c r="L693" s="83"/>
      <c r="M693" s="103"/>
      <c r="N693" s="103"/>
      <c r="O693" s="103"/>
      <c r="P693" s="103"/>
      <c r="Q693" s="103"/>
      <c r="R693" s="83"/>
      <c r="S693" s="103"/>
      <c r="T693" s="103"/>
      <c r="U693" s="103"/>
    </row>
    <row r="694" customFormat="false" ht="22.5" hidden="false" customHeight="true" outlineLevel="0" collapsed="false">
      <c r="A694" s="110"/>
      <c r="B694" s="110"/>
      <c r="C694" s="110"/>
      <c r="D694" s="122"/>
      <c r="E694" s="110"/>
      <c r="F694" s="128"/>
      <c r="G694" s="122"/>
      <c r="H694" s="131" t="b">
        <f aca="false">FALSE()</f>
        <v>0</v>
      </c>
      <c r="I694" s="131" t="b">
        <f aca="false">FALSE()</f>
        <v>0</v>
      </c>
      <c r="J694" s="130"/>
      <c r="K694" s="110"/>
      <c r="L694" s="83"/>
      <c r="M694" s="103"/>
      <c r="N694" s="103"/>
      <c r="O694" s="103"/>
      <c r="P694" s="103"/>
      <c r="Q694" s="103"/>
      <c r="R694" s="83"/>
      <c r="S694" s="103"/>
      <c r="T694" s="103"/>
      <c r="U694" s="103"/>
    </row>
    <row r="695" customFormat="false" ht="22.5" hidden="false" customHeight="true" outlineLevel="0" collapsed="false">
      <c r="A695" s="99"/>
      <c r="B695" s="99"/>
      <c r="C695" s="99"/>
      <c r="D695" s="121"/>
      <c r="E695" s="99"/>
      <c r="F695" s="124"/>
      <c r="G695" s="121"/>
      <c r="H695" s="132" t="b">
        <f aca="false">FALSE()</f>
        <v>0</v>
      </c>
      <c r="I695" s="132" t="b">
        <f aca="false">FALSE()</f>
        <v>0</v>
      </c>
      <c r="J695" s="126"/>
      <c r="K695" s="99"/>
      <c r="L695" s="83"/>
      <c r="M695" s="103"/>
      <c r="N695" s="103"/>
      <c r="O695" s="103"/>
      <c r="P695" s="103"/>
      <c r="Q695" s="103"/>
      <c r="R695" s="83"/>
      <c r="S695" s="103"/>
      <c r="T695" s="103"/>
      <c r="U695" s="103"/>
    </row>
    <row r="696" customFormat="false" ht="22.5" hidden="false" customHeight="true" outlineLevel="0" collapsed="false">
      <c r="A696" s="110"/>
      <c r="B696" s="110"/>
      <c r="C696" s="110"/>
      <c r="D696" s="122"/>
      <c r="E696" s="110"/>
      <c r="F696" s="128"/>
      <c r="G696" s="122"/>
      <c r="H696" s="131" t="b">
        <f aca="false">FALSE()</f>
        <v>0</v>
      </c>
      <c r="I696" s="131" t="b">
        <f aca="false">FALSE()</f>
        <v>0</v>
      </c>
      <c r="J696" s="130"/>
      <c r="K696" s="110"/>
      <c r="L696" s="83"/>
      <c r="M696" s="103"/>
      <c r="N696" s="103"/>
      <c r="O696" s="103"/>
      <c r="P696" s="103"/>
      <c r="Q696" s="103"/>
      <c r="R696" s="83"/>
      <c r="S696" s="103"/>
      <c r="T696" s="103"/>
      <c r="U696" s="103"/>
    </row>
    <row r="697" customFormat="false" ht="22.5" hidden="false" customHeight="true" outlineLevel="0" collapsed="false">
      <c r="A697" s="99"/>
      <c r="B697" s="99"/>
      <c r="C697" s="99"/>
      <c r="D697" s="121"/>
      <c r="E697" s="99"/>
      <c r="F697" s="124"/>
      <c r="G697" s="121"/>
      <c r="H697" s="132" t="b">
        <f aca="false">FALSE()</f>
        <v>0</v>
      </c>
      <c r="I697" s="132" t="b">
        <f aca="false">FALSE()</f>
        <v>0</v>
      </c>
      <c r="J697" s="126"/>
      <c r="K697" s="99"/>
      <c r="L697" s="83"/>
      <c r="M697" s="103"/>
      <c r="N697" s="103"/>
      <c r="O697" s="103"/>
      <c r="P697" s="103"/>
      <c r="Q697" s="103"/>
      <c r="R697" s="83"/>
      <c r="S697" s="103"/>
      <c r="T697" s="103"/>
      <c r="U697" s="103"/>
    </row>
    <row r="698" customFormat="false" ht="22.5" hidden="false" customHeight="true" outlineLevel="0" collapsed="false">
      <c r="A698" s="110"/>
      <c r="B698" s="110"/>
      <c r="C698" s="110"/>
      <c r="D698" s="122"/>
      <c r="E698" s="110"/>
      <c r="F698" s="128"/>
      <c r="G698" s="122"/>
      <c r="H698" s="131" t="b">
        <f aca="false">FALSE()</f>
        <v>0</v>
      </c>
      <c r="I698" s="131" t="b">
        <f aca="false">FALSE()</f>
        <v>0</v>
      </c>
      <c r="J698" s="130"/>
      <c r="K698" s="110"/>
      <c r="L698" s="83"/>
      <c r="M698" s="103"/>
      <c r="N698" s="103"/>
      <c r="O698" s="103"/>
      <c r="P698" s="103"/>
      <c r="Q698" s="103"/>
      <c r="R698" s="83"/>
      <c r="S698" s="103"/>
      <c r="T698" s="103"/>
      <c r="U698" s="103"/>
    </row>
    <row r="699" customFormat="false" ht="22.5" hidden="false" customHeight="true" outlineLevel="0" collapsed="false">
      <c r="A699" s="99"/>
      <c r="B699" s="99"/>
      <c r="C699" s="99"/>
      <c r="D699" s="121"/>
      <c r="E699" s="99"/>
      <c r="F699" s="124"/>
      <c r="G699" s="121"/>
      <c r="H699" s="132" t="b">
        <f aca="false">FALSE()</f>
        <v>0</v>
      </c>
      <c r="I699" s="132" t="b">
        <f aca="false">FALSE()</f>
        <v>0</v>
      </c>
      <c r="J699" s="126"/>
      <c r="K699" s="99"/>
      <c r="L699" s="83"/>
      <c r="M699" s="103"/>
      <c r="N699" s="103"/>
      <c r="O699" s="103"/>
      <c r="P699" s="103"/>
      <c r="Q699" s="103"/>
      <c r="R699" s="83"/>
      <c r="S699" s="103"/>
      <c r="T699" s="103"/>
      <c r="U699" s="103"/>
    </row>
    <row r="700" customFormat="false" ht="22.5" hidden="false" customHeight="true" outlineLevel="0" collapsed="false">
      <c r="A700" s="110"/>
      <c r="B700" s="110"/>
      <c r="C700" s="110"/>
      <c r="D700" s="122"/>
      <c r="E700" s="110"/>
      <c r="F700" s="128"/>
      <c r="G700" s="122"/>
      <c r="H700" s="131" t="b">
        <f aca="false">FALSE()</f>
        <v>0</v>
      </c>
      <c r="I700" s="131" t="b">
        <f aca="false">FALSE()</f>
        <v>0</v>
      </c>
      <c r="J700" s="130"/>
      <c r="K700" s="110"/>
      <c r="L700" s="83"/>
      <c r="M700" s="103"/>
      <c r="N700" s="103"/>
      <c r="O700" s="103"/>
      <c r="P700" s="103"/>
      <c r="Q700" s="103"/>
      <c r="R700" s="83"/>
      <c r="S700" s="103"/>
      <c r="T700" s="103"/>
      <c r="U700" s="103"/>
    </row>
    <row r="701" customFormat="false" ht="22.5" hidden="false" customHeight="true" outlineLevel="0" collapsed="false">
      <c r="A701" s="99"/>
      <c r="B701" s="99"/>
      <c r="C701" s="99"/>
      <c r="D701" s="121"/>
      <c r="E701" s="99"/>
      <c r="F701" s="124"/>
      <c r="G701" s="121"/>
      <c r="H701" s="132" t="b">
        <f aca="false">FALSE()</f>
        <v>0</v>
      </c>
      <c r="I701" s="132" t="b">
        <f aca="false">FALSE()</f>
        <v>0</v>
      </c>
      <c r="J701" s="126"/>
      <c r="K701" s="99"/>
      <c r="L701" s="83"/>
      <c r="M701" s="103"/>
      <c r="N701" s="103"/>
      <c r="O701" s="103"/>
      <c r="P701" s="103"/>
      <c r="Q701" s="103"/>
      <c r="R701" s="83"/>
      <c r="S701" s="103"/>
      <c r="T701" s="103"/>
      <c r="U701" s="103"/>
    </row>
    <row r="702" customFormat="false" ht="22.5" hidden="false" customHeight="true" outlineLevel="0" collapsed="false">
      <c r="A702" s="110"/>
      <c r="B702" s="110"/>
      <c r="C702" s="110"/>
      <c r="D702" s="122"/>
      <c r="E702" s="110"/>
      <c r="F702" s="128"/>
      <c r="G702" s="122"/>
      <c r="H702" s="131" t="b">
        <f aca="false">FALSE()</f>
        <v>0</v>
      </c>
      <c r="I702" s="131" t="b">
        <f aca="false">FALSE()</f>
        <v>0</v>
      </c>
      <c r="J702" s="130"/>
      <c r="K702" s="110"/>
      <c r="L702" s="83"/>
      <c r="M702" s="103"/>
      <c r="N702" s="103"/>
      <c r="O702" s="103"/>
      <c r="P702" s="103"/>
      <c r="Q702" s="103"/>
      <c r="R702" s="83"/>
      <c r="S702" s="103"/>
      <c r="T702" s="103"/>
      <c r="U702" s="103"/>
    </row>
    <row r="703" customFormat="false" ht="22.5" hidden="false" customHeight="true" outlineLevel="0" collapsed="false">
      <c r="A703" s="99"/>
      <c r="B703" s="99"/>
      <c r="C703" s="99"/>
      <c r="D703" s="121"/>
      <c r="E703" s="99"/>
      <c r="F703" s="124"/>
      <c r="G703" s="121"/>
      <c r="H703" s="132" t="b">
        <f aca="false">FALSE()</f>
        <v>0</v>
      </c>
      <c r="I703" s="132" t="b">
        <f aca="false">FALSE()</f>
        <v>0</v>
      </c>
      <c r="J703" s="126"/>
      <c r="K703" s="99"/>
      <c r="L703" s="83"/>
      <c r="M703" s="103"/>
      <c r="N703" s="103"/>
      <c r="O703" s="103"/>
      <c r="P703" s="103"/>
      <c r="Q703" s="103"/>
      <c r="R703" s="83"/>
      <c r="S703" s="103"/>
      <c r="T703" s="103"/>
      <c r="U703" s="103"/>
    </row>
    <row r="704" customFormat="false" ht="22.5" hidden="false" customHeight="true" outlineLevel="0" collapsed="false">
      <c r="A704" s="110"/>
      <c r="B704" s="110"/>
      <c r="C704" s="110"/>
      <c r="D704" s="122"/>
      <c r="E704" s="110"/>
      <c r="F704" s="128"/>
      <c r="G704" s="122"/>
      <c r="H704" s="131" t="b">
        <f aca="false">FALSE()</f>
        <v>0</v>
      </c>
      <c r="I704" s="131" t="b">
        <f aca="false">FALSE()</f>
        <v>0</v>
      </c>
      <c r="J704" s="130"/>
      <c r="K704" s="110"/>
      <c r="L704" s="83"/>
      <c r="M704" s="103"/>
      <c r="N704" s="103"/>
      <c r="O704" s="103"/>
      <c r="P704" s="103"/>
      <c r="Q704" s="103"/>
      <c r="R704" s="83"/>
      <c r="S704" s="103"/>
      <c r="T704" s="103"/>
      <c r="U704" s="103"/>
    </row>
    <row r="705" customFormat="false" ht="22.5" hidden="false" customHeight="true" outlineLevel="0" collapsed="false">
      <c r="A705" s="99"/>
      <c r="B705" s="99"/>
      <c r="C705" s="99"/>
      <c r="D705" s="121"/>
      <c r="E705" s="99"/>
      <c r="F705" s="124"/>
      <c r="G705" s="121"/>
      <c r="H705" s="132" t="b">
        <f aca="false">FALSE()</f>
        <v>0</v>
      </c>
      <c r="I705" s="132" t="b">
        <f aca="false">FALSE()</f>
        <v>0</v>
      </c>
      <c r="J705" s="126"/>
      <c r="K705" s="99"/>
      <c r="L705" s="83"/>
      <c r="M705" s="103"/>
      <c r="N705" s="103"/>
      <c r="O705" s="103"/>
      <c r="P705" s="103"/>
      <c r="Q705" s="103"/>
      <c r="R705" s="83"/>
      <c r="S705" s="103"/>
      <c r="T705" s="103"/>
      <c r="U705" s="103"/>
    </row>
    <row r="706" customFormat="false" ht="22.5" hidden="false" customHeight="true" outlineLevel="0" collapsed="false">
      <c r="A706" s="110"/>
      <c r="B706" s="110"/>
      <c r="C706" s="110"/>
      <c r="D706" s="122"/>
      <c r="E706" s="110"/>
      <c r="F706" s="128"/>
      <c r="G706" s="122"/>
      <c r="H706" s="131" t="b">
        <f aca="false">FALSE()</f>
        <v>0</v>
      </c>
      <c r="I706" s="131" t="b">
        <f aca="false">FALSE()</f>
        <v>0</v>
      </c>
      <c r="J706" s="130"/>
      <c r="K706" s="110"/>
      <c r="L706" s="83"/>
      <c r="M706" s="103"/>
      <c r="N706" s="103"/>
      <c r="O706" s="103"/>
      <c r="P706" s="103"/>
      <c r="Q706" s="103"/>
      <c r="R706" s="83"/>
      <c r="S706" s="103"/>
      <c r="T706" s="103"/>
      <c r="U706" s="103"/>
    </row>
    <row r="707" customFormat="false" ht="22.5" hidden="false" customHeight="true" outlineLevel="0" collapsed="false">
      <c r="A707" s="99"/>
      <c r="B707" s="99"/>
      <c r="C707" s="99"/>
      <c r="D707" s="121"/>
      <c r="E707" s="99"/>
      <c r="F707" s="124"/>
      <c r="G707" s="121"/>
      <c r="H707" s="132" t="b">
        <f aca="false">FALSE()</f>
        <v>0</v>
      </c>
      <c r="I707" s="132" t="b">
        <f aca="false">FALSE()</f>
        <v>0</v>
      </c>
      <c r="J707" s="126"/>
      <c r="K707" s="99"/>
      <c r="L707" s="83"/>
      <c r="M707" s="103"/>
      <c r="N707" s="103"/>
      <c r="O707" s="103"/>
      <c r="P707" s="103"/>
      <c r="Q707" s="103"/>
      <c r="R707" s="83"/>
      <c r="S707" s="103"/>
      <c r="T707" s="103"/>
      <c r="U707" s="103"/>
    </row>
    <row r="708" customFormat="false" ht="22.5" hidden="false" customHeight="true" outlineLevel="0" collapsed="false">
      <c r="A708" s="110"/>
      <c r="B708" s="110"/>
      <c r="C708" s="110"/>
      <c r="D708" s="122"/>
      <c r="E708" s="110"/>
      <c r="F708" s="128"/>
      <c r="G708" s="122"/>
      <c r="H708" s="131" t="b">
        <f aca="false">FALSE()</f>
        <v>0</v>
      </c>
      <c r="I708" s="131" t="b">
        <f aca="false">FALSE()</f>
        <v>0</v>
      </c>
      <c r="J708" s="130"/>
      <c r="K708" s="110"/>
      <c r="L708" s="83"/>
      <c r="M708" s="103"/>
      <c r="N708" s="103"/>
      <c r="O708" s="103"/>
      <c r="P708" s="103"/>
      <c r="Q708" s="103"/>
      <c r="R708" s="83"/>
      <c r="S708" s="103"/>
      <c r="T708" s="103"/>
      <c r="U708" s="103"/>
    </row>
    <row r="709" customFormat="false" ht="22.5" hidden="false" customHeight="true" outlineLevel="0" collapsed="false">
      <c r="A709" s="99"/>
      <c r="B709" s="99"/>
      <c r="C709" s="99"/>
      <c r="D709" s="121"/>
      <c r="E709" s="99"/>
      <c r="F709" s="124"/>
      <c r="G709" s="121"/>
      <c r="H709" s="132" t="b">
        <f aca="false">FALSE()</f>
        <v>0</v>
      </c>
      <c r="I709" s="132" t="b">
        <f aca="false">FALSE()</f>
        <v>0</v>
      </c>
      <c r="J709" s="126"/>
      <c r="K709" s="99"/>
      <c r="L709" s="83"/>
      <c r="M709" s="103"/>
      <c r="N709" s="103"/>
      <c r="O709" s="103"/>
      <c r="P709" s="103"/>
      <c r="Q709" s="103"/>
      <c r="R709" s="83"/>
      <c r="S709" s="103"/>
      <c r="T709" s="103"/>
      <c r="U709" s="103"/>
    </row>
    <row r="710" customFormat="false" ht="22.5" hidden="false" customHeight="true" outlineLevel="0" collapsed="false">
      <c r="A710" s="110"/>
      <c r="B710" s="110"/>
      <c r="C710" s="110"/>
      <c r="D710" s="122"/>
      <c r="E710" s="110"/>
      <c r="F710" s="128"/>
      <c r="G710" s="122"/>
      <c r="H710" s="131" t="b">
        <f aca="false">FALSE()</f>
        <v>0</v>
      </c>
      <c r="I710" s="131" t="b">
        <f aca="false">FALSE()</f>
        <v>0</v>
      </c>
      <c r="J710" s="130"/>
      <c r="K710" s="110"/>
      <c r="L710" s="83"/>
      <c r="M710" s="103"/>
      <c r="N710" s="103"/>
      <c r="O710" s="103"/>
      <c r="P710" s="103"/>
      <c r="Q710" s="103"/>
      <c r="R710" s="83"/>
      <c r="S710" s="103"/>
      <c r="T710" s="103"/>
      <c r="U710" s="103"/>
    </row>
    <row r="711" customFormat="false" ht="22.5" hidden="false" customHeight="true" outlineLevel="0" collapsed="false">
      <c r="A711" s="99"/>
      <c r="B711" s="99"/>
      <c r="C711" s="99"/>
      <c r="D711" s="121"/>
      <c r="E711" s="99"/>
      <c r="F711" s="124"/>
      <c r="G711" s="121"/>
      <c r="H711" s="132" t="b">
        <f aca="false">FALSE()</f>
        <v>0</v>
      </c>
      <c r="I711" s="132" t="b">
        <f aca="false">FALSE()</f>
        <v>0</v>
      </c>
      <c r="J711" s="126"/>
      <c r="K711" s="99"/>
      <c r="L711" s="83"/>
      <c r="M711" s="103"/>
      <c r="N711" s="103"/>
      <c r="O711" s="103"/>
      <c r="P711" s="103"/>
      <c r="Q711" s="103"/>
      <c r="R711" s="83"/>
      <c r="S711" s="103"/>
      <c r="T711" s="103"/>
      <c r="U711" s="103"/>
    </row>
    <row r="712" customFormat="false" ht="22.5" hidden="false" customHeight="true" outlineLevel="0" collapsed="false">
      <c r="A712" s="110"/>
      <c r="B712" s="110"/>
      <c r="C712" s="110"/>
      <c r="D712" s="122"/>
      <c r="E712" s="110"/>
      <c r="F712" s="128"/>
      <c r="G712" s="122"/>
      <c r="H712" s="131" t="b">
        <f aca="false">FALSE()</f>
        <v>0</v>
      </c>
      <c r="I712" s="131" t="b">
        <f aca="false">FALSE()</f>
        <v>0</v>
      </c>
      <c r="J712" s="130"/>
      <c r="K712" s="110"/>
      <c r="L712" s="83"/>
      <c r="M712" s="103"/>
      <c r="N712" s="103"/>
      <c r="O712" s="103"/>
      <c r="P712" s="103"/>
      <c r="Q712" s="103"/>
      <c r="R712" s="83"/>
      <c r="S712" s="103"/>
      <c r="T712" s="103"/>
      <c r="U712" s="103"/>
    </row>
    <row r="713" customFormat="false" ht="22.5" hidden="false" customHeight="true" outlineLevel="0" collapsed="false">
      <c r="A713" s="99"/>
      <c r="B713" s="99"/>
      <c r="C713" s="99"/>
      <c r="D713" s="121"/>
      <c r="E713" s="99"/>
      <c r="F713" s="124"/>
      <c r="G713" s="121"/>
      <c r="H713" s="132" t="b">
        <f aca="false">FALSE()</f>
        <v>0</v>
      </c>
      <c r="I713" s="132" t="b">
        <f aca="false">FALSE()</f>
        <v>0</v>
      </c>
      <c r="J713" s="126"/>
      <c r="K713" s="99"/>
      <c r="L713" s="83"/>
      <c r="M713" s="103"/>
      <c r="N713" s="103"/>
      <c r="O713" s="103"/>
      <c r="P713" s="103"/>
      <c r="Q713" s="103"/>
      <c r="R713" s="83"/>
      <c r="S713" s="103"/>
      <c r="T713" s="103"/>
      <c r="U713" s="103"/>
    </row>
    <row r="714" customFormat="false" ht="22.5" hidden="false" customHeight="true" outlineLevel="0" collapsed="false">
      <c r="A714" s="110"/>
      <c r="B714" s="110"/>
      <c r="C714" s="110"/>
      <c r="D714" s="122"/>
      <c r="E714" s="110"/>
      <c r="F714" s="128"/>
      <c r="G714" s="122"/>
      <c r="H714" s="131" t="b">
        <f aca="false">FALSE()</f>
        <v>0</v>
      </c>
      <c r="I714" s="131" t="b">
        <f aca="false">FALSE()</f>
        <v>0</v>
      </c>
      <c r="J714" s="130"/>
      <c r="K714" s="110"/>
      <c r="L714" s="83"/>
      <c r="M714" s="103"/>
      <c r="N714" s="103"/>
      <c r="O714" s="103"/>
      <c r="P714" s="103"/>
      <c r="Q714" s="103"/>
      <c r="R714" s="83"/>
      <c r="S714" s="103"/>
      <c r="T714" s="103"/>
      <c r="U714" s="103"/>
    </row>
    <row r="715" customFormat="false" ht="22.5" hidden="false" customHeight="true" outlineLevel="0" collapsed="false">
      <c r="A715" s="99"/>
      <c r="B715" s="99"/>
      <c r="C715" s="99"/>
      <c r="D715" s="121"/>
      <c r="E715" s="99"/>
      <c r="F715" s="124"/>
      <c r="G715" s="121"/>
      <c r="H715" s="132" t="b">
        <f aca="false">FALSE()</f>
        <v>0</v>
      </c>
      <c r="I715" s="132" t="b">
        <f aca="false">FALSE()</f>
        <v>0</v>
      </c>
      <c r="J715" s="126"/>
      <c r="K715" s="99"/>
      <c r="L715" s="83"/>
      <c r="M715" s="103"/>
      <c r="N715" s="103"/>
      <c r="O715" s="103"/>
      <c r="P715" s="103"/>
      <c r="Q715" s="103"/>
      <c r="R715" s="83"/>
      <c r="S715" s="103"/>
      <c r="T715" s="103"/>
      <c r="U715" s="103"/>
    </row>
    <row r="716" customFormat="false" ht="22.5" hidden="false" customHeight="true" outlineLevel="0" collapsed="false">
      <c r="A716" s="110"/>
      <c r="B716" s="110"/>
      <c r="C716" s="110"/>
      <c r="D716" s="122"/>
      <c r="E716" s="110"/>
      <c r="F716" s="128"/>
      <c r="G716" s="122"/>
      <c r="H716" s="131" t="b">
        <f aca="false">FALSE()</f>
        <v>0</v>
      </c>
      <c r="I716" s="131" t="b">
        <f aca="false">FALSE()</f>
        <v>0</v>
      </c>
      <c r="J716" s="130"/>
      <c r="K716" s="110"/>
      <c r="L716" s="83"/>
      <c r="M716" s="103"/>
      <c r="N716" s="103"/>
      <c r="O716" s="103"/>
      <c r="P716" s="103"/>
      <c r="Q716" s="103"/>
      <c r="R716" s="83"/>
      <c r="S716" s="103"/>
      <c r="T716" s="103"/>
      <c r="U716" s="103"/>
    </row>
    <row r="717" customFormat="false" ht="22.5" hidden="false" customHeight="true" outlineLevel="0" collapsed="false">
      <c r="A717" s="99"/>
      <c r="B717" s="99"/>
      <c r="C717" s="99"/>
      <c r="D717" s="121"/>
      <c r="E717" s="99"/>
      <c r="F717" s="124"/>
      <c r="G717" s="121"/>
      <c r="H717" s="132" t="b">
        <f aca="false">FALSE()</f>
        <v>0</v>
      </c>
      <c r="I717" s="132" t="b">
        <f aca="false">FALSE()</f>
        <v>0</v>
      </c>
      <c r="J717" s="126"/>
      <c r="K717" s="99"/>
      <c r="L717" s="83"/>
      <c r="M717" s="103"/>
      <c r="N717" s="103"/>
      <c r="O717" s="103"/>
      <c r="P717" s="103"/>
      <c r="Q717" s="103"/>
      <c r="R717" s="83"/>
      <c r="S717" s="103"/>
      <c r="T717" s="103"/>
      <c r="U717" s="103"/>
    </row>
    <row r="718" customFormat="false" ht="22.5" hidden="false" customHeight="true" outlineLevel="0" collapsed="false">
      <c r="A718" s="110"/>
      <c r="B718" s="110"/>
      <c r="C718" s="110"/>
      <c r="D718" s="122"/>
      <c r="E718" s="110"/>
      <c r="F718" s="128"/>
      <c r="G718" s="122"/>
      <c r="H718" s="131" t="b">
        <f aca="false">FALSE()</f>
        <v>0</v>
      </c>
      <c r="I718" s="131" t="b">
        <f aca="false">FALSE()</f>
        <v>0</v>
      </c>
      <c r="J718" s="130"/>
      <c r="K718" s="110"/>
      <c r="L718" s="83"/>
      <c r="M718" s="103"/>
      <c r="N718" s="103"/>
      <c r="O718" s="103"/>
      <c r="P718" s="103"/>
      <c r="Q718" s="103"/>
      <c r="R718" s="83"/>
      <c r="S718" s="103"/>
      <c r="T718" s="103"/>
      <c r="U718" s="103"/>
    </row>
    <row r="719" customFormat="false" ht="22.5" hidden="false" customHeight="true" outlineLevel="0" collapsed="false">
      <c r="A719" s="99"/>
      <c r="B719" s="99"/>
      <c r="C719" s="99"/>
      <c r="D719" s="121"/>
      <c r="E719" s="99"/>
      <c r="F719" s="124"/>
      <c r="G719" s="121"/>
      <c r="H719" s="132" t="b">
        <f aca="false">FALSE()</f>
        <v>0</v>
      </c>
      <c r="I719" s="132" t="b">
        <f aca="false">FALSE()</f>
        <v>0</v>
      </c>
      <c r="J719" s="126"/>
      <c r="K719" s="99"/>
      <c r="L719" s="83"/>
      <c r="M719" s="103"/>
      <c r="N719" s="103"/>
      <c r="O719" s="103"/>
      <c r="P719" s="103"/>
      <c r="Q719" s="103"/>
      <c r="R719" s="83"/>
      <c r="S719" s="103"/>
      <c r="T719" s="103"/>
      <c r="U719" s="103"/>
    </row>
    <row r="720" customFormat="false" ht="22.5" hidden="false" customHeight="true" outlineLevel="0" collapsed="false">
      <c r="A720" s="110"/>
      <c r="B720" s="110"/>
      <c r="C720" s="110"/>
      <c r="D720" s="122"/>
      <c r="E720" s="110"/>
      <c r="F720" s="128"/>
      <c r="G720" s="122"/>
      <c r="H720" s="131" t="b">
        <f aca="false">FALSE()</f>
        <v>0</v>
      </c>
      <c r="I720" s="131" t="b">
        <f aca="false">FALSE()</f>
        <v>0</v>
      </c>
      <c r="J720" s="130"/>
      <c r="K720" s="110"/>
      <c r="L720" s="83"/>
      <c r="M720" s="103"/>
      <c r="N720" s="103"/>
      <c r="O720" s="103"/>
      <c r="P720" s="103"/>
      <c r="Q720" s="103"/>
      <c r="R720" s="83"/>
      <c r="S720" s="103"/>
      <c r="T720" s="103"/>
      <c r="U720" s="103"/>
    </row>
    <row r="721" customFormat="false" ht="22.5" hidden="false" customHeight="true" outlineLevel="0" collapsed="false">
      <c r="A721" s="99"/>
      <c r="B721" s="99"/>
      <c r="C721" s="99"/>
      <c r="D721" s="121"/>
      <c r="E721" s="99"/>
      <c r="F721" s="124"/>
      <c r="G721" s="121"/>
      <c r="H721" s="132" t="b">
        <f aca="false">FALSE()</f>
        <v>0</v>
      </c>
      <c r="I721" s="132" t="b">
        <f aca="false">FALSE()</f>
        <v>0</v>
      </c>
      <c r="J721" s="126"/>
      <c r="K721" s="99"/>
      <c r="L721" s="83"/>
      <c r="M721" s="103"/>
      <c r="N721" s="103"/>
      <c r="O721" s="103"/>
      <c r="P721" s="103"/>
      <c r="Q721" s="103"/>
      <c r="R721" s="83"/>
      <c r="S721" s="103"/>
      <c r="T721" s="103"/>
      <c r="U721" s="103"/>
    </row>
    <row r="722" customFormat="false" ht="22.5" hidden="false" customHeight="true" outlineLevel="0" collapsed="false">
      <c r="A722" s="110"/>
      <c r="B722" s="110"/>
      <c r="C722" s="110"/>
      <c r="D722" s="122"/>
      <c r="E722" s="110"/>
      <c r="F722" s="128"/>
      <c r="G722" s="122"/>
      <c r="H722" s="131" t="b">
        <f aca="false">FALSE()</f>
        <v>0</v>
      </c>
      <c r="I722" s="131" t="b">
        <f aca="false">FALSE()</f>
        <v>0</v>
      </c>
      <c r="J722" s="130"/>
      <c r="K722" s="110"/>
      <c r="L722" s="83"/>
      <c r="M722" s="103"/>
      <c r="N722" s="103"/>
      <c r="O722" s="103"/>
      <c r="P722" s="103"/>
      <c r="Q722" s="103"/>
      <c r="R722" s="83"/>
      <c r="S722" s="103"/>
      <c r="T722" s="103"/>
      <c r="U722" s="103"/>
    </row>
    <row r="723" customFormat="false" ht="22.5" hidden="false" customHeight="true" outlineLevel="0" collapsed="false">
      <c r="A723" s="99"/>
      <c r="B723" s="99"/>
      <c r="C723" s="99"/>
      <c r="D723" s="121"/>
      <c r="E723" s="99"/>
      <c r="F723" s="124"/>
      <c r="G723" s="121"/>
      <c r="H723" s="132" t="b">
        <f aca="false">FALSE()</f>
        <v>0</v>
      </c>
      <c r="I723" s="132" t="b">
        <f aca="false">FALSE()</f>
        <v>0</v>
      </c>
      <c r="J723" s="126"/>
      <c r="K723" s="99"/>
      <c r="L723" s="83"/>
      <c r="M723" s="103"/>
      <c r="N723" s="103"/>
      <c r="O723" s="103"/>
      <c r="P723" s="103"/>
      <c r="Q723" s="103"/>
      <c r="R723" s="83"/>
      <c r="S723" s="103"/>
      <c r="T723" s="103"/>
      <c r="U723" s="103"/>
    </row>
    <row r="724" customFormat="false" ht="22.5" hidden="false" customHeight="true" outlineLevel="0" collapsed="false">
      <c r="A724" s="110"/>
      <c r="B724" s="110"/>
      <c r="C724" s="110"/>
      <c r="D724" s="122"/>
      <c r="E724" s="110"/>
      <c r="F724" s="128"/>
      <c r="G724" s="122"/>
      <c r="H724" s="131" t="b">
        <f aca="false">FALSE()</f>
        <v>0</v>
      </c>
      <c r="I724" s="131" t="b">
        <f aca="false">FALSE()</f>
        <v>0</v>
      </c>
      <c r="J724" s="130"/>
      <c r="K724" s="110"/>
      <c r="L724" s="83"/>
      <c r="M724" s="103"/>
      <c r="N724" s="103"/>
      <c r="O724" s="103"/>
      <c r="P724" s="103"/>
      <c r="Q724" s="103"/>
      <c r="R724" s="83"/>
      <c r="S724" s="103"/>
      <c r="T724" s="103"/>
      <c r="U724" s="103"/>
    </row>
    <row r="725" customFormat="false" ht="22.5" hidden="false" customHeight="true" outlineLevel="0" collapsed="false">
      <c r="A725" s="99"/>
      <c r="B725" s="99"/>
      <c r="C725" s="99"/>
      <c r="D725" s="121"/>
      <c r="E725" s="99"/>
      <c r="F725" s="124"/>
      <c r="G725" s="121"/>
      <c r="H725" s="132" t="b">
        <f aca="false">FALSE()</f>
        <v>0</v>
      </c>
      <c r="I725" s="132" t="b">
        <f aca="false">FALSE()</f>
        <v>0</v>
      </c>
      <c r="J725" s="126"/>
      <c r="K725" s="99"/>
      <c r="L725" s="83"/>
      <c r="M725" s="103"/>
      <c r="N725" s="103"/>
      <c r="O725" s="103"/>
      <c r="P725" s="103"/>
      <c r="Q725" s="103"/>
      <c r="R725" s="83"/>
      <c r="S725" s="103"/>
      <c r="T725" s="103"/>
      <c r="U725" s="103"/>
    </row>
    <row r="726" customFormat="false" ht="22.5" hidden="false" customHeight="true" outlineLevel="0" collapsed="false">
      <c r="A726" s="110"/>
      <c r="B726" s="110"/>
      <c r="C726" s="110"/>
      <c r="D726" s="122"/>
      <c r="E726" s="110"/>
      <c r="F726" s="128"/>
      <c r="G726" s="122"/>
      <c r="H726" s="131" t="b">
        <f aca="false">FALSE()</f>
        <v>0</v>
      </c>
      <c r="I726" s="131" t="b">
        <f aca="false">FALSE()</f>
        <v>0</v>
      </c>
      <c r="J726" s="130"/>
      <c r="K726" s="110"/>
      <c r="L726" s="83"/>
      <c r="M726" s="103"/>
      <c r="N726" s="103"/>
      <c r="O726" s="103"/>
      <c r="P726" s="103"/>
      <c r="Q726" s="103"/>
      <c r="R726" s="83"/>
      <c r="S726" s="103"/>
      <c r="T726" s="103"/>
      <c r="U726" s="103"/>
    </row>
    <row r="727" customFormat="false" ht="22.5" hidden="false" customHeight="true" outlineLevel="0" collapsed="false">
      <c r="A727" s="99"/>
      <c r="B727" s="99"/>
      <c r="C727" s="99"/>
      <c r="D727" s="121"/>
      <c r="E727" s="99"/>
      <c r="F727" s="124"/>
      <c r="G727" s="121"/>
      <c r="H727" s="132" t="b">
        <f aca="false">FALSE()</f>
        <v>0</v>
      </c>
      <c r="I727" s="132" t="b">
        <f aca="false">FALSE()</f>
        <v>0</v>
      </c>
      <c r="J727" s="126"/>
      <c r="K727" s="99"/>
      <c r="L727" s="83"/>
      <c r="M727" s="103"/>
      <c r="N727" s="103"/>
      <c r="O727" s="103"/>
      <c r="P727" s="103"/>
      <c r="Q727" s="103"/>
      <c r="R727" s="83"/>
      <c r="S727" s="103"/>
      <c r="T727" s="103"/>
      <c r="U727" s="103"/>
    </row>
    <row r="728" customFormat="false" ht="22.5" hidden="false" customHeight="true" outlineLevel="0" collapsed="false">
      <c r="A728" s="110"/>
      <c r="B728" s="110"/>
      <c r="C728" s="110"/>
      <c r="D728" s="122"/>
      <c r="E728" s="110"/>
      <c r="F728" s="128"/>
      <c r="G728" s="122"/>
      <c r="H728" s="131" t="b">
        <f aca="false">FALSE()</f>
        <v>0</v>
      </c>
      <c r="I728" s="131" t="b">
        <f aca="false">FALSE()</f>
        <v>0</v>
      </c>
      <c r="J728" s="130"/>
      <c r="K728" s="110"/>
      <c r="L728" s="83"/>
      <c r="M728" s="103"/>
      <c r="N728" s="103"/>
      <c r="O728" s="103"/>
      <c r="P728" s="103"/>
      <c r="Q728" s="103"/>
      <c r="R728" s="83"/>
      <c r="S728" s="103"/>
      <c r="T728" s="103"/>
      <c r="U728" s="103"/>
    </row>
    <row r="729" customFormat="false" ht="22.5" hidden="false" customHeight="true" outlineLevel="0" collapsed="false">
      <c r="A729" s="99"/>
      <c r="B729" s="99"/>
      <c r="C729" s="99"/>
      <c r="D729" s="121"/>
      <c r="E729" s="99"/>
      <c r="F729" s="124"/>
      <c r="G729" s="121"/>
      <c r="H729" s="132" t="b">
        <f aca="false">FALSE()</f>
        <v>0</v>
      </c>
      <c r="I729" s="132" t="b">
        <f aca="false">FALSE()</f>
        <v>0</v>
      </c>
      <c r="J729" s="126"/>
      <c r="K729" s="99"/>
      <c r="L729" s="83"/>
      <c r="M729" s="103"/>
      <c r="N729" s="103"/>
      <c r="O729" s="103"/>
      <c r="P729" s="103"/>
      <c r="Q729" s="103"/>
      <c r="R729" s="83"/>
      <c r="S729" s="103"/>
      <c r="T729" s="103"/>
      <c r="U729" s="103"/>
    </row>
    <row r="730" customFormat="false" ht="22.5" hidden="false" customHeight="true" outlineLevel="0" collapsed="false">
      <c r="A730" s="110"/>
      <c r="B730" s="110"/>
      <c r="C730" s="110"/>
      <c r="D730" s="122"/>
      <c r="E730" s="110"/>
      <c r="F730" s="128"/>
      <c r="G730" s="122"/>
      <c r="H730" s="131" t="b">
        <f aca="false">FALSE()</f>
        <v>0</v>
      </c>
      <c r="I730" s="131" t="b">
        <f aca="false">FALSE()</f>
        <v>0</v>
      </c>
      <c r="J730" s="130"/>
      <c r="K730" s="110"/>
      <c r="L730" s="83"/>
      <c r="M730" s="103"/>
      <c r="N730" s="103"/>
      <c r="O730" s="103"/>
      <c r="P730" s="103"/>
      <c r="Q730" s="103"/>
      <c r="R730" s="83"/>
      <c r="S730" s="103"/>
      <c r="T730" s="103"/>
      <c r="U730" s="103"/>
    </row>
    <row r="731" customFormat="false" ht="22.5" hidden="false" customHeight="true" outlineLevel="0" collapsed="false">
      <c r="A731" s="99"/>
      <c r="B731" s="99"/>
      <c r="C731" s="99"/>
      <c r="D731" s="121"/>
      <c r="E731" s="99"/>
      <c r="F731" s="124"/>
      <c r="G731" s="121"/>
      <c r="H731" s="132" t="b">
        <f aca="false">FALSE()</f>
        <v>0</v>
      </c>
      <c r="I731" s="132" t="b">
        <f aca="false">FALSE()</f>
        <v>0</v>
      </c>
      <c r="J731" s="126"/>
      <c r="K731" s="99"/>
      <c r="L731" s="83"/>
      <c r="M731" s="103"/>
      <c r="N731" s="103"/>
      <c r="O731" s="103"/>
      <c r="P731" s="103"/>
      <c r="Q731" s="103"/>
      <c r="R731" s="83"/>
      <c r="S731" s="103"/>
      <c r="T731" s="103"/>
      <c r="U731" s="103"/>
    </row>
    <row r="732" customFormat="false" ht="22.5" hidden="false" customHeight="true" outlineLevel="0" collapsed="false">
      <c r="A732" s="110"/>
      <c r="B732" s="110"/>
      <c r="C732" s="110"/>
      <c r="D732" s="122"/>
      <c r="E732" s="110"/>
      <c r="F732" s="128"/>
      <c r="G732" s="122"/>
      <c r="H732" s="131" t="b">
        <f aca="false">FALSE()</f>
        <v>0</v>
      </c>
      <c r="I732" s="131" t="b">
        <f aca="false">FALSE()</f>
        <v>0</v>
      </c>
      <c r="J732" s="130"/>
      <c r="K732" s="110"/>
      <c r="L732" s="83"/>
      <c r="M732" s="103"/>
      <c r="N732" s="103"/>
      <c r="O732" s="103"/>
      <c r="P732" s="103"/>
      <c r="Q732" s="103"/>
      <c r="R732" s="83"/>
      <c r="S732" s="103"/>
      <c r="T732" s="103"/>
      <c r="U732" s="103"/>
    </row>
    <row r="733" customFormat="false" ht="22.5" hidden="false" customHeight="true" outlineLevel="0" collapsed="false">
      <c r="A733" s="99"/>
      <c r="B733" s="99"/>
      <c r="C733" s="99"/>
      <c r="D733" s="121"/>
      <c r="E733" s="99"/>
      <c r="F733" s="124"/>
      <c r="G733" s="121"/>
      <c r="H733" s="132" t="b">
        <f aca="false">FALSE()</f>
        <v>0</v>
      </c>
      <c r="I733" s="132" t="b">
        <f aca="false">FALSE()</f>
        <v>0</v>
      </c>
      <c r="J733" s="126"/>
      <c r="K733" s="99"/>
      <c r="L733" s="83"/>
      <c r="M733" s="103"/>
      <c r="N733" s="103"/>
      <c r="O733" s="103"/>
      <c r="P733" s="103"/>
      <c r="Q733" s="103"/>
      <c r="R733" s="83"/>
      <c r="S733" s="103"/>
      <c r="T733" s="103"/>
      <c r="U733" s="103"/>
    </row>
    <row r="734" customFormat="false" ht="22.5" hidden="false" customHeight="true" outlineLevel="0" collapsed="false">
      <c r="A734" s="110"/>
      <c r="B734" s="110"/>
      <c r="C734" s="110"/>
      <c r="D734" s="122"/>
      <c r="E734" s="110"/>
      <c r="F734" s="128"/>
      <c r="G734" s="122"/>
      <c r="H734" s="131" t="b">
        <f aca="false">FALSE()</f>
        <v>0</v>
      </c>
      <c r="I734" s="131" t="b">
        <f aca="false">FALSE()</f>
        <v>0</v>
      </c>
      <c r="J734" s="130"/>
      <c r="K734" s="110"/>
      <c r="L734" s="83"/>
      <c r="M734" s="103"/>
      <c r="N734" s="103"/>
      <c r="O734" s="103"/>
      <c r="P734" s="103"/>
      <c r="Q734" s="103"/>
      <c r="R734" s="83"/>
      <c r="S734" s="103"/>
      <c r="T734" s="103"/>
      <c r="U734" s="103"/>
    </row>
    <row r="735" customFormat="false" ht="22.5" hidden="false" customHeight="true" outlineLevel="0" collapsed="false">
      <c r="A735" s="99"/>
      <c r="B735" s="99"/>
      <c r="C735" s="99"/>
      <c r="D735" s="121"/>
      <c r="E735" s="99"/>
      <c r="F735" s="124"/>
      <c r="G735" s="121"/>
      <c r="H735" s="132" t="b">
        <f aca="false">FALSE()</f>
        <v>0</v>
      </c>
      <c r="I735" s="132" t="b">
        <f aca="false">FALSE()</f>
        <v>0</v>
      </c>
      <c r="J735" s="126"/>
      <c r="K735" s="99"/>
      <c r="L735" s="83"/>
      <c r="M735" s="103"/>
      <c r="N735" s="103"/>
      <c r="O735" s="103"/>
      <c r="P735" s="103"/>
      <c r="Q735" s="103"/>
      <c r="R735" s="83"/>
      <c r="S735" s="103"/>
      <c r="T735" s="103"/>
      <c r="U735" s="103"/>
    </row>
    <row r="736" customFormat="false" ht="22.5" hidden="false" customHeight="true" outlineLevel="0" collapsed="false">
      <c r="A736" s="110"/>
      <c r="B736" s="110"/>
      <c r="C736" s="110"/>
      <c r="D736" s="122"/>
      <c r="E736" s="110"/>
      <c r="F736" s="128"/>
      <c r="G736" s="122"/>
      <c r="H736" s="131" t="b">
        <f aca="false">FALSE()</f>
        <v>0</v>
      </c>
      <c r="I736" s="131" t="b">
        <f aca="false">FALSE()</f>
        <v>0</v>
      </c>
      <c r="J736" s="130"/>
      <c r="K736" s="110"/>
      <c r="L736" s="83"/>
      <c r="M736" s="103"/>
      <c r="N736" s="103"/>
      <c r="O736" s="103"/>
      <c r="P736" s="103"/>
      <c r="Q736" s="103"/>
      <c r="R736" s="83"/>
      <c r="S736" s="103"/>
      <c r="T736" s="103"/>
      <c r="U736" s="103"/>
    </row>
    <row r="737" customFormat="false" ht="22.5" hidden="false" customHeight="true" outlineLevel="0" collapsed="false">
      <c r="A737" s="99"/>
      <c r="B737" s="99"/>
      <c r="C737" s="99"/>
      <c r="D737" s="121"/>
      <c r="E737" s="99"/>
      <c r="F737" s="124"/>
      <c r="G737" s="121"/>
      <c r="H737" s="132" t="b">
        <f aca="false">FALSE()</f>
        <v>0</v>
      </c>
      <c r="I737" s="132" t="b">
        <f aca="false">FALSE()</f>
        <v>0</v>
      </c>
      <c r="J737" s="126"/>
      <c r="K737" s="99"/>
      <c r="L737" s="83"/>
      <c r="M737" s="103"/>
      <c r="N737" s="103"/>
      <c r="O737" s="103"/>
      <c r="P737" s="103"/>
      <c r="Q737" s="103"/>
      <c r="R737" s="83"/>
      <c r="S737" s="103"/>
      <c r="T737" s="103"/>
      <c r="U737" s="103"/>
    </row>
    <row r="738" customFormat="false" ht="22.5" hidden="false" customHeight="true" outlineLevel="0" collapsed="false">
      <c r="A738" s="110"/>
      <c r="B738" s="110"/>
      <c r="C738" s="110"/>
      <c r="D738" s="122"/>
      <c r="E738" s="110"/>
      <c r="F738" s="128"/>
      <c r="G738" s="122"/>
      <c r="H738" s="131" t="b">
        <f aca="false">FALSE()</f>
        <v>0</v>
      </c>
      <c r="I738" s="131" t="b">
        <f aca="false">FALSE()</f>
        <v>0</v>
      </c>
      <c r="J738" s="130"/>
      <c r="K738" s="110"/>
      <c r="L738" s="83"/>
      <c r="M738" s="103"/>
      <c r="N738" s="103"/>
      <c r="O738" s="103"/>
      <c r="P738" s="103"/>
      <c r="Q738" s="103"/>
      <c r="R738" s="83"/>
      <c r="S738" s="103"/>
      <c r="T738" s="103"/>
      <c r="U738" s="103"/>
    </row>
    <row r="739" customFormat="false" ht="22.5" hidden="false" customHeight="true" outlineLevel="0" collapsed="false">
      <c r="A739" s="99"/>
      <c r="B739" s="99"/>
      <c r="C739" s="99"/>
      <c r="D739" s="121"/>
      <c r="E739" s="99"/>
      <c r="F739" s="124"/>
      <c r="G739" s="121"/>
      <c r="H739" s="132" t="b">
        <f aca="false">FALSE()</f>
        <v>0</v>
      </c>
      <c r="I739" s="132" t="b">
        <f aca="false">FALSE()</f>
        <v>0</v>
      </c>
      <c r="J739" s="126"/>
      <c r="K739" s="99"/>
      <c r="L739" s="83"/>
      <c r="M739" s="103"/>
      <c r="N739" s="103"/>
      <c r="O739" s="103"/>
      <c r="P739" s="103"/>
      <c r="Q739" s="103"/>
      <c r="R739" s="83"/>
      <c r="S739" s="103"/>
      <c r="T739" s="103"/>
      <c r="U739" s="103"/>
    </row>
    <row r="740" customFormat="false" ht="22.5" hidden="false" customHeight="true" outlineLevel="0" collapsed="false">
      <c r="A740" s="110"/>
      <c r="B740" s="110"/>
      <c r="C740" s="110"/>
      <c r="D740" s="122"/>
      <c r="E740" s="110"/>
      <c r="F740" s="128"/>
      <c r="G740" s="122"/>
      <c r="H740" s="131" t="b">
        <f aca="false">FALSE()</f>
        <v>0</v>
      </c>
      <c r="I740" s="131" t="b">
        <f aca="false">FALSE()</f>
        <v>0</v>
      </c>
      <c r="J740" s="130"/>
      <c r="K740" s="110"/>
      <c r="L740" s="83"/>
      <c r="M740" s="103"/>
      <c r="N740" s="103"/>
      <c r="O740" s="103"/>
      <c r="P740" s="103"/>
      <c r="Q740" s="103"/>
      <c r="R740" s="83"/>
      <c r="S740" s="103"/>
      <c r="T740" s="103"/>
      <c r="U740" s="103"/>
    </row>
    <row r="741" customFormat="false" ht="22.5" hidden="false" customHeight="true" outlineLevel="0" collapsed="false">
      <c r="A741" s="99"/>
      <c r="B741" s="99"/>
      <c r="C741" s="99"/>
      <c r="D741" s="121"/>
      <c r="E741" s="99"/>
      <c r="F741" s="124"/>
      <c r="G741" s="121"/>
      <c r="H741" s="132" t="b">
        <f aca="false">FALSE()</f>
        <v>0</v>
      </c>
      <c r="I741" s="132" t="b">
        <f aca="false">FALSE()</f>
        <v>0</v>
      </c>
      <c r="J741" s="126"/>
      <c r="K741" s="99"/>
      <c r="L741" s="83"/>
      <c r="M741" s="103"/>
      <c r="N741" s="103"/>
      <c r="O741" s="103"/>
      <c r="P741" s="103"/>
      <c r="Q741" s="103"/>
      <c r="R741" s="83"/>
      <c r="S741" s="103"/>
      <c r="T741" s="103"/>
      <c r="U741" s="103"/>
    </row>
    <row r="742" customFormat="false" ht="22.5" hidden="false" customHeight="true" outlineLevel="0" collapsed="false">
      <c r="A742" s="110"/>
      <c r="B742" s="110"/>
      <c r="C742" s="110"/>
      <c r="D742" s="122"/>
      <c r="E742" s="110"/>
      <c r="F742" s="128"/>
      <c r="G742" s="122"/>
      <c r="H742" s="131" t="b">
        <f aca="false">FALSE()</f>
        <v>0</v>
      </c>
      <c r="I742" s="131" t="b">
        <f aca="false">FALSE()</f>
        <v>0</v>
      </c>
      <c r="J742" s="130"/>
      <c r="K742" s="110"/>
      <c r="L742" s="83"/>
      <c r="M742" s="103"/>
      <c r="N742" s="103"/>
      <c r="O742" s="103"/>
      <c r="P742" s="103"/>
      <c r="Q742" s="103"/>
      <c r="R742" s="83"/>
      <c r="S742" s="103"/>
      <c r="T742" s="103"/>
      <c r="U742" s="103"/>
    </row>
    <row r="743" customFormat="false" ht="22.5" hidden="false" customHeight="true" outlineLevel="0" collapsed="false">
      <c r="A743" s="99"/>
      <c r="B743" s="99"/>
      <c r="C743" s="99"/>
      <c r="D743" s="121"/>
      <c r="E743" s="99"/>
      <c r="F743" s="124"/>
      <c r="G743" s="121"/>
      <c r="H743" s="132" t="b">
        <f aca="false">FALSE()</f>
        <v>0</v>
      </c>
      <c r="I743" s="132" t="b">
        <f aca="false">FALSE()</f>
        <v>0</v>
      </c>
      <c r="J743" s="126"/>
      <c r="K743" s="99"/>
      <c r="L743" s="83"/>
      <c r="M743" s="103"/>
      <c r="N743" s="103"/>
      <c r="O743" s="103"/>
      <c r="P743" s="103"/>
      <c r="Q743" s="103"/>
      <c r="R743" s="83"/>
      <c r="S743" s="103"/>
      <c r="T743" s="103"/>
      <c r="U743" s="103"/>
    </row>
    <row r="744" customFormat="false" ht="22.5" hidden="false" customHeight="true" outlineLevel="0" collapsed="false">
      <c r="A744" s="110"/>
      <c r="B744" s="110"/>
      <c r="C744" s="110"/>
      <c r="D744" s="122"/>
      <c r="E744" s="110"/>
      <c r="F744" s="128"/>
      <c r="G744" s="122"/>
      <c r="H744" s="131" t="b">
        <f aca="false">FALSE()</f>
        <v>0</v>
      </c>
      <c r="I744" s="131" t="b">
        <f aca="false">FALSE()</f>
        <v>0</v>
      </c>
      <c r="J744" s="130"/>
      <c r="K744" s="110"/>
      <c r="L744" s="83"/>
      <c r="M744" s="103"/>
      <c r="N744" s="103"/>
      <c r="O744" s="103"/>
      <c r="P744" s="103"/>
      <c r="Q744" s="103"/>
      <c r="R744" s="83"/>
      <c r="S744" s="103"/>
      <c r="T744" s="103"/>
      <c r="U744" s="103"/>
    </row>
    <row r="745" customFormat="false" ht="22.5" hidden="false" customHeight="true" outlineLevel="0" collapsed="false">
      <c r="A745" s="99"/>
      <c r="B745" s="99"/>
      <c r="C745" s="99"/>
      <c r="D745" s="121"/>
      <c r="E745" s="99"/>
      <c r="F745" s="124"/>
      <c r="G745" s="121"/>
      <c r="H745" s="132" t="b">
        <f aca="false">FALSE()</f>
        <v>0</v>
      </c>
      <c r="I745" s="132" t="b">
        <f aca="false">FALSE()</f>
        <v>0</v>
      </c>
      <c r="J745" s="126"/>
      <c r="K745" s="99"/>
      <c r="L745" s="83"/>
      <c r="M745" s="103"/>
      <c r="N745" s="103"/>
      <c r="O745" s="103"/>
      <c r="P745" s="103"/>
      <c r="Q745" s="103"/>
      <c r="R745" s="83"/>
      <c r="S745" s="103"/>
      <c r="T745" s="103"/>
      <c r="U745" s="103"/>
    </row>
    <row r="746" customFormat="false" ht="22.5" hidden="false" customHeight="true" outlineLevel="0" collapsed="false">
      <c r="A746" s="110"/>
      <c r="B746" s="110"/>
      <c r="C746" s="110"/>
      <c r="D746" s="122"/>
      <c r="E746" s="110"/>
      <c r="F746" s="128"/>
      <c r="G746" s="122"/>
      <c r="H746" s="131" t="b">
        <f aca="false">FALSE()</f>
        <v>0</v>
      </c>
      <c r="I746" s="131" t="b">
        <f aca="false">FALSE()</f>
        <v>0</v>
      </c>
      <c r="J746" s="130"/>
      <c r="K746" s="110"/>
      <c r="L746" s="83"/>
      <c r="M746" s="103"/>
      <c r="N746" s="103"/>
      <c r="O746" s="103"/>
      <c r="P746" s="103"/>
      <c r="Q746" s="103"/>
      <c r="R746" s="83"/>
      <c r="S746" s="103"/>
      <c r="T746" s="103"/>
      <c r="U746" s="103"/>
    </row>
    <row r="747" customFormat="false" ht="22.5" hidden="false" customHeight="true" outlineLevel="0" collapsed="false">
      <c r="A747" s="99"/>
      <c r="B747" s="99"/>
      <c r="C747" s="99"/>
      <c r="D747" s="121"/>
      <c r="E747" s="99"/>
      <c r="F747" s="124"/>
      <c r="G747" s="121"/>
      <c r="H747" s="132" t="b">
        <f aca="false">FALSE()</f>
        <v>0</v>
      </c>
      <c r="I747" s="132" t="b">
        <f aca="false">FALSE()</f>
        <v>0</v>
      </c>
      <c r="J747" s="126"/>
      <c r="K747" s="99"/>
      <c r="L747" s="83"/>
      <c r="M747" s="103"/>
      <c r="N747" s="103"/>
      <c r="O747" s="103"/>
      <c r="P747" s="103"/>
      <c r="Q747" s="103"/>
      <c r="R747" s="83"/>
      <c r="S747" s="103"/>
      <c r="T747" s="103"/>
      <c r="U747" s="103"/>
    </row>
    <row r="748" customFormat="false" ht="22.5" hidden="false" customHeight="true" outlineLevel="0" collapsed="false">
      <c r="A748" s="110"/>
      <c r="B748" s="110"/>
      <c r="C748" s="110"/>
      <c r="D748" s="122"/>
      <c r="E748" s="110"/>
      <c r="F748" s="128"/>
      <c r="G748" s="122"/>
      <c r="H748" s="131" t="b">
        <f aca="false">FALSE()</f>
        <v>0</v>
      </c>
      <c r="I748" s="131" t="b">
        <f aca="false">FALSE()</f>
        <v>0</v>
      </c>
      <c r="J748" s="130"/>
      <c r="K748" s="110"/>
      <c r="L748" s="83"/>
      <c r="M748" s="103"/>
      <c r="N748" s="103"/>
      <c r="O748" s="103"/>
      <c r="P748" s="103"/>
      <c r="Q748" s="103"/>
      <c r="R748" s="83"/>
      <c r="S748" s="103"/>
      <c r="T748" s="103"/>
      <c r="U748" s="103"/>
    </row>
    <row r="749" customFormat="false" ht="22.5" hidden="false" customHeight="true" outlineLevel="0" collapsed="false">
      <c r="A749" s="99"/>
      <c r="B749" s="99"/>
      <c r="C749" s="99"/>
      <c r="D749" s="121"/>
      <c r="E749" s="99"/>
      <c r="F749" s="124"/>
      <c r="G749" s="121"/>
      <c r="H749" s="132" t="b">
        <f aca="false">FALSE()</f>
        <v>0</v>
      </c>
      <c r="I749" s="132" t="b">
        <f aca="false">FALSE()</f>
        <v>0</v>
      </c>
      <c r="J749" s="126"/>
      <c r="K749" s="99"/>
      <c r="L749" s="83"/>
      <c r="M749" s="103"/>
      <c r="N749" s="103"/>
      <c r="O749" s="103"/>
      <c r="P749" s="103"/>
      <c r="Q749" s="103"/>
      <c r="R749" s="83"/>
      <c r="S749" s="103"/>
      <c r="T749" s="103"/>
      <c r="U749" s="103"/>
    </row>
    <row r="750" customFormat="false" ht="22.5" hidden="false" customHeight="true" outlineLevel="0" collapsed="false">
      <c r="A750" s="110"/>
      <c r="B750" s="110"/>
      <c r="C750" s="110"/>
      <c r="D750" s="122"/>
      <c r="E750" s="110"/>
      <c r="F750" s="128"/>
      <c r="G750" s="122"/>
      <c r="H750" s="131" t="b">
        <f aca="false">FALSE()</f>
        <v>0</v>
      </c>
      <c r="I750" s="131" t="b">
        <f aca="false">FALSE()</f>
        <v>0</v>
      </c>
      <c r="J750" s="130"/>
      <c r="K750" s="110"/>
      <c r="L750" s="83"/>
      <c r="M750" s="103"/>
      <c r="N750" s="103"/>
      <c r="O750" s="103"/>
      <c r="P750" s="103"/>
      <c r="Q750" s="103"/>
      <c r="R750" s="83"/>
      <c r="S750" s="103"/>
      <c r="T750" s="103"/>
      <c r="U750" s="103"/>
    </row>
    <row r="751" customFormat="false" ht="22.5" hidden="false" customHeight="true" outlineLevel="0" collapsed="false">
      <c r="A751" s="99"/>
      <c r="B751" s="99"/>
      <c r="C751" s="99"/>
      <c r="D751" s="121"/>
      <c r="E751" s="99"/>
      <c r="F751" s="124"/>
      <c r="G751" s="121"/>
      <c r="H751" s="132" t="b">
        <f aca="false">FALSE()</f>
        <v>0</v>
      </c>
      <c r="I751" s="132" t="b">
        <f aca="false">FALSE()</f>
        <v>0</v>
      </c>
      <c r="J751" s="126"/>
      <c r="K751" s="99"/>
      <c r="L751" s="83"/>
      <c r="M751" s="103"/>
      <c r="N751" s="103"/>
      <c r="O751" s="103"/>
      <c r="P751" s="103"/>
      <c r="Q751" s="103"/>
      <c r="R751" s="83"/>
      <c r="S751" s="103"/>
      <c r="T751" s="103"/>
      <c r="U751" s="103"/>
    </row>
    <row r="752" customFormat="false" ht="22.5" hidden="false" customHeight="true" outlineLevel="0" collapsed="false">
      <c r="A752" s="110"/>
      <c r="B752" s="110"/>
      <c r="C752" s="110"/>
      <c r="D752" s="122"/>
      <c r="E752" s="110"/>
      <c r="F752" s="128"/>
      <c r="G752" s="122"/>
      <c r="H752" s="131" t="b">
        <f aca="false">FALSE()</f>
        <v>0</v>
      </c>
      <c r="I752" s="131" t="b">
        <f aca="false">FALSE()</f>
        <v>0</v>
      </c>
      <c r="J752" s="130"/>
      <c r="K752" s="110"/>
      <c r="L752" s="83"/>
      <c r="M752" s="103"/>
      <c r="N752" s="103"/>
      <c r="O752" s="103"/>
      <c r="P752" s="103"/>
      <c r="Q752" s="103"/>
      <c r="R752" s="83"/>
      <c r="S752" s="103"/>
      <c r="T752" s="103"/>
      <c r="U752" s="103"/>
    </row>
    <row r="753" customFormat="false" ht="22.5" hidden="false" customHeight="true" outlineLevel="0" collapsed="false">
      <c r="A753" s="99"/>
      <c r="B753" s="99"/>
      <c r="C753" s="99"/>
      <c r="D753" s="121"/>
      <c r="E753" s="99"/>
      <c r="F753" s="124"/>
      <c r="G753" s="121"/>
      <c r="H753" s="132" t="b">
        <f aca="false">FALSE()</f>
        <v>0</v>
      </c>
      <c r="I753" s="132" t="b">
        <f aca="false">FALSE()</f>
        <v>0</v>
      </c>
      <c r="J753" s="126"/>
      <c r="K753" s="99"/>
      <c r="L753" s="83"/>
      <c r="M753" s="103"/>
      <c r="N753" s="103"/>
      <c r="O753" s="103"/>
      <c r="P753" s="103"/>
      <c r="Q753" s="103"/>
      <c r="R753" s="83"/>
      <c r="S753" s="103"/>
      <c r="T753" s="103"/>
      <c r="U753" s="103"/>
    </row>
    <row r="754" customFormat="false" ht="22.5" hidden="false" customHeight="true" outlineLevel="0" collapsed="false">
      <c r="A754" s="110"/>
      <c r="B754" s="110"/>
      <c r="C754" s="110"/>
      <c r="D754" s="122"/>
      <c r="E754" s="110"/>
      <c r="F754" s="128"/>
      <c r="G754" s="122"/>
      <c r="H754" s="131" t="b">
        <f aca="false">FALSE()</f>
        <v>0</v>
      </c>
      <c r="I754" s="131" t="b">
        <f aca="false">FALSE()</f>
        <v>0</v>
      </c>
      <c r="J754" s="130"/>
      <c r="K754" s="110"/>
      <c r="L754" s="83"/>
      <c r="M754" s="103"/>
      <c r="N754" s="103"/>
      <c r="O754" s="103"/>
      <c r="P754" s="103"/>
      <c r="Q754" s="103"/>
      <c r="R754" s="83"/>
      <c r="S754" s="103"/>
      <c r="T754" s="103"/>
      <c r="U754" s="103"/>
    </row>
    <row r="755" customFormat="false" ht="22.5" hidden="false" customHeight="true" outlineLevel="0" collapsed="false">
      <c r="A755" s="99"/>
      <c r="B755" s="99"/>
      <c r="C755" s="99"/>
      <c r="D755" s="121"/>
      <c r="E755" s="99"/>
      <c r="F755" s="124"/>
      <c r="G755" s="121"/>
      <c r="H755" s="132" t="b">
        <f aca="false">FALSE()</f>
        <v>0</v>
      </c>
      <c r="I755" s="132" t="b">
        <f aca="false">FALSE()</f>
        <v>0</v>
      </c>
      <c r="J755" s="126"/>
      <c r="K755" s="99"/>
      <c r="L755" s="83"/>
      <c r="M755" s="103"/>
      <c r="N755" s="103"/>
      <c r="O755" s="103"/>
      <c r="P755" s="103"/>
      <c r="Q755" s="103"/>
      <c r="R755" s="83"/>
      <c r="S755" s="103"/>
      <c r="T755" s="103"/>
      <c r="U755" s="103"/>
    </row>
    <row r="756" customFormat="false" ht="22.5" hidden="false" customHeight="true" outlineLevel="0" collapsed="false">
      <c r="A756" s="110"/>
      <c r="B756" s="110"/>
      <c r="C756" s="110"/>
      <c r="D756" s="122"/>
      <c r="E756" s="110"/>
      <c r="F756" s="128"/>
      <c r="G756" s="122"/>
      <c r="H756" s="131" t="b">
        <f aca="false">FALSE()</f>
        <v>0</v>
      </c>
      <c r="I756" s="131" t="b">
        <f aca="false">FALSE()</f>
        <v>0</v>
      </c>
      <c r="J756" s="130"/>
      <c r="K756" s="110"/>
      <c r="L756" s="83"/>
      <c r="M756" s="103"/>
      <c r="N756" s="103"/>
      <c r="O756" s="103"/>
      <c r="P756" s="103"/>
      <c r="Q756" s="103"/>
      <c r="R756" s="83"/>
      <c r="S756" s="103"/>
      <c r="T756" s="103"/>
      <c r="U756" s="103"/>
    </row>
    <row r="757" customFormat="false" ht="22.5" hidden="false" customHeight="true" outlineLevel="0" collapsed="false">
      <c r="A757" s="99"/>
      <c r="B757" s="99"/>
      <c r="C757" s="99"/>
      <c r="D757" s="121"/>
      <c r="E757" s="99"/>
      <c r="F757" s="124"/>
      <c r="G757" s="121"/>
      <c r="H757" s="132" t="b">
        <f aca="false">FALSE()</f>
        <v>0</v>
      </c>
      <c r="I757" s="132" t="b">
        <f aca="false">FALSE()</f>
        <v>0</v>
      </c>
      <c r="J757" s="126"/>
      <c r="K757" s="99"/>
      <c r="L757" s="83"/>
      <c r="M757" s="103"/>
      <c r="N757" s="103"/>
      <c r="O757" s="103"/>
      <c r="P757" s="103"/>
      <c r="Q757" s="103"/>
      <c r="R757" s="83"/>
      <c r="S757" s="103"/>
      <c r="T757" s="103"/>
      <c r="U757" s="103"/>
    </row>
    <row r="758" customFormat="false" ht="22.5" hidden="false" customHeight="true" outlineLevel="0" collapsed="false">
      <c r="A758" s="110"/>
      <c r="B758" s="110"/>
      <c r="C758" s="110"/>
      <c r="D758" s="122"/>
      <c r="E758" s="110"/>
      <c r="F758" s="128"/>
      <c r="G758" s="122"/>
      <c r="H758" s="131" t="b">
        <f aca="false">FALSE()</f>
        <v>0</v>
      </c>
      <c r="I758" s="131" t="b">
        <f aca="false">FALSE()</f>
        <v>0</v>
      </c>
      <c r="J758" s="130"/>
      <c r="K758" s="110"/>
      <c r="L758" s="83"/>
      <c r="M758" s="103"/>
      <c r="N758" s="103"/>
      <c r="O758" s="103"/>
      <c r="P758" s="103"/>
      <c r="Q758" s="103"/>
      <c r="R758" s="83"/>
      <c r="S758" s="103"/>
      <c r="T758" s="103"/>
      <c r="U758" s="103"/>
    </row>
    <row r="759" customFormat="false" ht="22.5" hidden="false" customHeight="true" outlineLevel="0" collapsed="false">
      <c r="A759" s="99"/>
      <c r="B759" s="99"/>
      <c r="C759" s="99"/>
      <c r="D759" s="121"/>
      <c r="E759" s="99"/>
      <c r="F759" s="124"/>
      <c r="G759" s="121"/>
      <c r="H759" s="132" t="b">
        <f aca="false">FALSE()</f>
        <v>0</v>
      </c>
      <c r="I759" s="132" t="b">
        <f aca="false">FALSE()</f>
        <v>0</v>
      </c>
      <c r="J759" s="126"/>
      <c r="K759" s="99"/>
      <c r="L759" s="83"/>
      <c r="M759" s="103"/>
      <c r="N759" s="103"/>
      <c r="O759" s="103"/>
      <c r="P759" s="103"/>
      <c r="Q759" s="103"/>
      <c r="R759" s="83"/>
      <c r="S759" s="103"/>
      <c r="T759" s="103"/>
      <c r="U759" s="103"/>
    </row>
    <row r="760" customFormat="false" ht="22.5" hidden="false" customHeight="true" outlineLevel="0" collapsed="false">
      <c r="A760" s="110"/>
      <c r="B760" s="110"/>
      <c r="C760" s="110"/>
      <c r="D760" s="122"/>
      <c r="E760" s="110"/>
      <c r="F760" s="128"/>
      <c r="G760" s="122"/>
      <c r="H760" s="131" t="b">
        <f aca="false">FALSE()</f>
        <v>0</v>
      </c>
      <c r="I760" s="131" t="b">
        <f aca="false">FALSE()</f>
        <v>0</v>
      </c>
      <c r="J760" s="130"/>
      <c r="K760" s="110"/>
      <c r="L760" s="83"/>
      <c r="M760" s="103"/>
      <c r="N760" s="103"/>
      <c r="O760" s="103"/>
      <c r="P760" s="103"/>
      <c r="Q760" s="103"/>
      <c r="R760" s="83"/>
      <c r="S760" s="103"/>
      <c r="T760" s="103"/>
      <c r="U760" s="103"/>
    </row>
    <row r="761" customFormat="false" ht="22.5" hidden="false" customHeight="true" outlineLevel="0" collapsed="false">
      <c r="A761" s="99"/>
      <c r="B761" s="99"/>
      <c r="C761" s="99"/>
      <c r="D761" s="121"/>
      <c r="E761" s="99"/>
      <c r="F761" s="124"/>
      <c r="G761" s="121"/>
      <c r="H761" s="132" t="b">
        <f aca="false">FALSE()</f>
        <v>0</v>
      </c>
      <c r="I761" s="132" t="b">
        <f aca="false">FALSE()</f>
        <v>0</v>
      </c>
      <c r="J761" s="126"/>
      <c r="K761" s="99"/>
      <c r="L761" s="83"/>
      <c r="M761" s="103"/>
      <c r="N761" s="103"/>
      <c r="O761" s="103"/>
      <c r="P761" s="103"/>
      <c r="Q761" s="103"/>
      <c r="R761" s="83"/>
      <c r="S761" s="103"/>
      <c r="T761" s="103"/>
      <c r="U761" s="103"/>
    </row>
    <row r="762" customFormat="false" ht="22.5" hidden="false" customHeight="true" outlineLevel="0" collapsed="false">
      <c r="A762" s="110"/>
      <c r="B762" s="110"/>
      <c r="C762" s="110"/>
      <c r="D762" s="122"/>
      <c r="E762" s="110"/>
      <c r="F762" s="128"/>
      <c r="G762" s="122"/>
      <c r="H762" s="131" t="b">
        <f aca="false">FALSE()</f>
        <v>0</v>
      </c>
      <c r="I762" s="131" t="b">
        <f aca="false">FALSE()</f>
        <v>0</v>
      </c>
      <c r="J762" s="130"/>
      <c r="K762" s="110"/>
      <c r="L762" s="83"/>
      <c r="M762" s="103"/>
      <c r="N762" s="103"/>
      <c r="O762" s="103"/>
      <c r="P762" s="103"/>
      <c r="Q762" s="103"/>
      <c r="R762" s="83"/>
      <c r="S762" s="103"/>
      <c r="T762" s="103"/>
      <c r="U762" s="103"/>
    </row>
    <row r="763" customFormat="false" ht="22.5" hidden="false" customHeight="true" outlineLevel="0" collapsed="false">
      <c r="A763" s="99"/>
      <c r="B763" s="99"/>
      <c r="C763" s="99"/>
      <c r="D763" s="121"/>
      <c r="E763" s="99"/>
      <c r="F763" s="124"/>
      <c r="G763" s="121"/>
      <c r="H763" s="132" t="b">
        <f aca="false">FALSE()</f>
        <v>0</v>
      </c>
      <c r="I763" s="132" t="b">
        <f aca="false">FALSE()</f>
        <v>0</v>
      </c>
      <c r="J763" s="126"/>
      <c r="K763" s="99"/>
      <c r="L763" s="83"/>
      <c r="M763" s="103"/>
      <c r="N763" s="103"/>
      <c r="O763" s="103"/>
      <c r="P763" s="103"/>
      <c r="Q763" s="103"/>
      <c r="R763" s="83"/>
      <c r="S763" s="103"/>
      <c r="T763" s="103"/>
      <c r="U763" s="103"/>
    </row>
    <row r="764" customFormat="false" ht="22.5" hidden="false" customHeight="true" outlineLevel="0" collapsed="false">
      <c r="A764" s="110"/>
      <c r="B764" s="110"/>
      <c r="C764" s="110"/>
      <c r="D764" s="122"/>
      <c r="E764" s="110"/>
      <c r="F764" s="128"/>
      <c r="G764" s="122"/>
      <c r="H764" s="131" t="b">
        <f aca="false">FALSE()</f>
        <v>0</v>
      </c>
      <c r="I764" s="131" t="b">
        <f aca="false">FALSE()</f>
        <v>0</v>
      </c>
      <c r="J764" s="130"/>
      <c r="K764" s="110"/>
      <c r="L764" s="83"/>
      <c r="M764" s="103"/>
      <c r="N764" s="103"/>
      <c r="O764" s="103"/>
      <c r="P764" s="103"/>
      <c r="Q764" s="103"/>
      <c r="R764" s="83"/>
      <c r="S764" s="103"/>
      <c r="T764" s="103"/>
      <c r="U764" s="103"/>
    </row>
    <row r="765" customFormat="false" ht="22.5" hidden="false" customHeight="true" outlineLevel="0" collapsed="false">
      <c r="A765" s="99"/>
      <c r="B765" s="99"/>
      <c r="C765" s="99"/>
      <c r="D765" s="121"/>
      <c r="E765" s="99"/>
      <c r="F765" s="124"/>
      <c r="G765" s="121"/>
      <c r="H765" s="132" t="b">
        <f aca="false">FALSE()</f>
        <v>0</v>
      </c>
      <c r="I765" s="132" t="b">
        <f aca="false">FALSE()</f>
        <v>0</v>
      </c>
      <c r="J765" s="126"/>
      <c r="K765" s="99"/>
      <c r="L765" s="83"/>
      <c r="M765" s="103"/>
      <c r="N765" s="103"/>
      <c r="O765" s="103"/>
      <c r="P765" s="103"/>
      <c r="Q765" s="103"/>
      <c r="R765" s="83"/>
      <c r="S765" s="103"/>
      <c r="T765" s="103"/>
      <c r="U765" s="103"/>
    </row>
    <row r="766" customFormat="false" ht="22.5" hidden="false" customHeight="true" outlineLevel="0" collapsed="false">
      <c r="A766" s="110"/>
      <c r="B766" s="110"/>
      <c r="C766" s="110"/>
      <c r="D766" s="122"/>
      <c r="E766" s="110"/>
      <c r="F766" s="128"/>
      <c r="G766" s="122"/>
      <c r="H766" s="131" t="b">
        <f aca="false">FALSE()</f>
        <v>0</v>
      </c>
      <c r="I766" s="131" t="b">
        <f aca="false">FALSE()</f>
        <v>0</v>
      </c>
      <c r="J766" s="130"/>
      <c r="K766" s="110"/>
      <c r="L766" s="83"/>
      <c r="M766" s="103"/>
      <c r="N766" s="103"/>
      <c r="O766" s="103"/>
      <c r="P766" s="103"/>
      <c r="Q766" s="103"/>
      <c r="R766" s="83"/>
      <c r="S766" s="103"/>
      <c r="T766" s="103"/>
      <c r="U766" s="103"/>
    </row>
    <row r="767" customFormat="false" ht="22.5" hidden="false" customHeight="true" outlineLevel="0" collapsed="false">
      <c r="A767" s="99"/>
      <c r="B767" s="99"/>
      <c r="C767" s="99"/>
      <c r="D767" s="121"/>
      <c r="E767" s="99"/>
      <c r="F767" s="124"/>
      <c r="G767" s="121"/>
      <c r="H767" s="132" t="b">
        <f aca="false">FALSE()</f>
        <v>0</v>
      </c>
      <c r="I767" s="132" t="b">
        <f aca="false">FALSE()</f>
        <v>0</v>
      </c>
      <c r="J767" s="126"/>
      <c r="K767" s="99"/>
      <c r="L767" s="83"/>
      <c r="M767" s="103"/>
      <c r="N767" s="103"/>
      <c r="O767" s="103"/>
      <c r="P767" s="103"/>
      <c r="Q767" s="103"/>
      <c r="R767" s="83"/>
      <c r="S767" s="103"/>
      <c r="T767" s="103"/>
      <c r="U767" s="103"/>
    </row>
    <row r="768" customFormat="false" ht="22.5" hidden="false" customHeight="true" outlineLevel="0" collapsed="false">
      <c r="A768" s="110"/>
      <c r="B768" s="110"/>
      <c r="C768" s="110"/>
      <c r="D768" s="122"/>
      <c r="E768" s="110"/>
      <c r="F768" s="128"/>
      <c r="G768" s="122"/>
      <c r="H768" s="131" t="b">
        <f aca="false">FALSE()</f>
        <v>0</v>
      </c>
      <c r="I768" s="131" t="b">
        <f aca="false">FALSE()</f>
        <v>0</v>
      </c>
      <c r="J768" s="130"/>
      <c r="K768" s="110"/>
      <c r="L768" s="83"/>
      <c r="M768" s="103"/>
      <c r="N768" s="103"/>
      <c r="O768" s="103"/>
      <c r="P768" s="103"/>
      <c r="Q768" s="103"/>
      <c r="R768" s="83"/>
      <c r="S768" s="103"/>
      <c r="T768" s="103"/>
      <c r="U768" s="103"/>
    </row>
    <row r="769" customFormat="false" ht="22.5" hidden="false" customHeight="true" outlineLevel="0" collapsed="false">
      <c r="A769" s="99"/>
      <c r="B769" s="99"/>
      <c r="C769" s="99"/>
      <c r="D769" s="121"/>
      <c r="E769" s="99"/>
      <c r="F769" s="124"/>
      <c r="G769" s="121"/>
      <c r="H769" s="132" t="b">
        <f aca="false">FALSE()</f>
        <v>0</v>
      </c>
      <c r="I769" s="132" t="b">
        <f aca="false">FALSE()</f>
        <v>0</v>
      </c>
      <c r="J769" s="126"/>
      <c r="K769" s="99"/>
      <c r="L769" s="83"/>
      <c r="M769" s="103"/>
      <c r="N769" s="103"/>
      <c r="O769" s="103"/>
      <c r="P769" s="103"/>
      <c r="Q769" s="103"/>
      <c r="R769" s="83"/>
      <c r="S769" s="103"/>
      <c r="T769" s="103"/>
      <c r="U769" s="103"/>
    </row>
    <row r="770" customFormat="false" ht="22.5" hidden="false" customHeight="true" outlineLevel="0" collapsed="false">
      <c r="A770" s="110"/>
      <c r="B770" s="110"/>
      <c r="C770" s="110"/>
      <c r="D770" s="122"/>
      <c r="E770" s="110"/>
      <c r="F770" s="128"/>
      <c r="G770" s="122"/>
      <c r="H770" s="131" t="b">
        <f aca="false">FALSE()</f>
        <v>0</v>
      </c>
      <c r="I770" s="131" t="b">
        <f aca="false">FALSE()</f>
        <v>0</v>
      </c>
      <c r="J770" s="130"/>
      <c r="K770" s="110"/>
      <c r="L770" s="83"/>
      <c r="M770" s="103"/>
      <c r="N770" s="103"/>
      <c r="O770" s="103"/>
      <c r="P770" s="103"/>
      <c r="Q770" s="103"/>
      <c r="R770" s="83"/>
      <c r="S770" s="103"/>
      <c r="T770" s="103"/>
      <c r="U770" s="103"/>
    </row>
    <row r="771" customFormat="false" ht="22.5" hidden="false" customHeight="true" outlineLevel="0" collapsed="false">
      <c r="A771" s="99"/>
      <c r="B771" s="99"/>
      <c r="C771" s="99"/>
      <c r="D771" s="121"/>
      <c r="E771" s="99"/>
      <c r="F771" s="124"/>
      <c r="G771" s="121"/>
      <c r="H771" s="132" t="b">
        <f aca="false">FALSE()</f>
        <v>0</v>
      </c>
      <c r="I771" s="132" t="b">
        <f aca="false">FALSE()</f>
        <v>0</v>
      </c>
      <c r="J771" s="126"/>
      <c r="K771" s="99"/>
      <c r="L771" s="83"/>
      <c r="M771" s="103"/>
      <c r="N771" s="103"/>
      <c r="O771" s="103"/>
      <c r="P771" s="103"/>
      <c r="Q771" s="103"/>
      <c r="R771" s="83"/>
      <c r="S771" s="103"/>
      <c r="T771" s="103"/>
      <c r="U771" s="103"/>
    </row>
    <row r="772" customFormat="false" ht="22.5" hidden="false" customHeight="true" outlineLevel="0" collapsed="false">
      <c r="A772" s="110"/>
      <c r="B772" s="110"/>
      <c r="C772" s="110"/>
      <c r="D772" s="122"/>
      <c r="E772" s="110"/>
      <c r="F772" s="128"/>
      <c r="G772" s="122"/>
      <c r="H772" s="131" t="b">
        <f aca="false">FALSE()</f>
        <v>0</v>
      </c>
      <c r="I772" s="131" t="b">
        <f aca="false">FALSE()</f>
        <v>0</v>
      </c>
      <c r="J772" s="130"/>
      <c r="K772" s="110"/>
      <c r="L772" s="83"/>
      <c r="M772" s="103"/>
      <c r="N772" s="103"/>
      <c r="O772" s="103"/>
      <c r="P772" s="103"/>
      <c r="Q772" s="103"/>
      <c r="R772" s="83"/>
      <c r="S772" s="103"/>
      <c r="T772" s="103"/>
      <c r="U772" s="103"/>
    </row>
    <row r="773" customFormat="false" ht="22.5" hidden="false" customHeight="true" outlineLevel="0" collapsed="false">
      <c r="A773" s="99"/>
      <c r="B773" s="99"/>
      <c r="C773" s="99"/>
      <c r="D773" s="121"/>
      <c r="E773" s="99"/>
      <c r="F773" s="124"/>
      <c r="G773" s="121"/>
      <c r="H773" s="132" t="b">
        <f aca="false">FALSE()</f>
        <v>0</v>
      </c>
      <c r="I773" s="132" t="b">
        <f aca="false">FALSE()</f>
        <v>0</v>
      </c>
      <c r="J773" s="126"/>
      <c r="K773" s="99"/>
      <c r="L773" s="83"/>
      <c r="M773" s="103"/>
      <c r="N773" s="103"/>
      <c r="O773" s="103"/>
      <c r="P773" s="103"/>
      <c r="Q773" s="103"/>
      <c r="R773" s="83"/>
      <c r="S773" s="103"/>
      <c r="T773" s="103"/>
      <c r="U773" s="103"/>
    </row>
    <row r="774" customFormat="false" ht="22.5" hidden="false" customHeight="true" outlineLevel="0" collapsed="false">
      <c r="A774" s="110"/>
      <c r="B774" s="110"/>
      <c r="C774" s="110"/>
      <c r="D774" s="122"/>
      <c r="E774" s="110"/>
      <c r="F774" s="128"/>
      <c r="G774" s="122"/>
      <c r="H774" s="131" t="b">
        <f aca="false">FALSE()</f>
        <v>0</v>
      </c>
      <c r="I774" s="131" t="b">
        <f aca="false">FALSE()</f>
        <v>0</v>
      </c>
      <c r="J774" s="130"/>
      <c r="K774" s="110"/>
      <c r="L774" s="83"/>
      <c r="M774" s="103"/>
      <c r="N774" s="103"/>
      <c r="O774" s="103"/>
      <c r="P774" s="103"/>
      <c r="Q774" s="103"/>
      <c r="R774" s="83"/>
      <c r="S774" s="103"/>
      <c r="T774" s="103"/>
      <c r="U774" s="103"/>
    </row>
    <row r="775" customFormat="false" ht="22.5" hidden="false" customHeight="true" outlineLevel="0" collapsed="false">
      <c r="A775" s="99"/>
      <c r="B775" s="99"/>
      <c r="C775" s="99"/>
      <c r="D775" s="121"/>
      <c r="E775" s="99"/>
      <c r="F775" s="124"/>
      <c r="G775" s="121"/>
      <c r="H775" s="132" t="b">
        <f aca="false">FALSE()</f>
        <v>0</v>
      </c>
      <c r="I775" s="132" t="b">
        <f aca="false">FALSE()</f>
        <v>0</v>
      </c>
      <c r="J775" s="126"/>
      <c r="K775" s="99"/>
      <c r="L775" s="83"/>
      <c r="M775" s="103"/>
      <c r="N775" s="103"/>
      <c r="O775" s="103"/>
      <c r="P775" s="103"/>
      <c r="Q775" s="103"/>
      <c r="R775" s="83"/>
      <c r="S775" s="103"/>
      <c r="T775" s="103"/>
      <c r="U775" s="103"/>
    </row>
    <row r="776" customFormat="false" ht="22.5" hidden="false" customHeight="true" outlineLevel="0" collapsed="false">
      <c r="A776" s="110"/>
      <c r="B776" s="110"/>
      <c r="C776" s="110"/>
      <c r="D776" s="122"/>
      <c r="E776" s="110"/>
      <c r="F776" s="128"/>
      <c r="G776" s="122"/>
      <c r="H776" s="131" t="b">
        <f aca="false">FALSE()</f>
        <v>0</v>
      </c>
      <c r="I776" s="131" t="b">
        <f aca="false">FALSE()</f>
        <v>0</v>
      </c>
      <c r="J776" s="130"/>
      <c r="K776" s="110"/>
      <c r="L776" s="83"/>
      <c r="M776" s="103"/>
      <c r="N776" s="103"/>
      <c r="O776" s="103"/>
      <c r="P776" s="103"/>
      <c r="Q776" s="103"/>
      <c r="R776" s="83"/>
      <c r="S776" s="103"/>
      <c r="T776" s="103"/>
      <c r="U776" s="103"/>
    </row>
    <row r="777" customFormat="false" ht="22.5" hidden="false" customHeight="true" outlineLevel="0" collapsed="false">
      <c r="A777" s="99"/>
      <c r="B777" s="99"/>
      <c r="C777" s="99"/>
      <c r="D777" s="121"/>
      <c r="E777" s="99"/>
      <c r="F777" s="124"/>
      <c r="G777" s="121"/>
      <c r="H777" s="132" t="b">
        <f aca="false">FALSE()</f>
        <v>0</v>
      </c>
      <c r="I777" s="132" t="b">
        <f aca="false">FALSE()</f>
        <v>0</v>
      </c>
      <c r="J777" s="126"/>
      <c r="K777" s="99"/>
      <c r="L777" s="83"/>
      <c r="M777" s="103"/>
      <c r="N777" s="103"/>
      <c r="O777" s="103"/>
      <c r="P777" s="103"/>
      <c r="Q777" s="103"/>
      <c r="R777" s="83"/>
      <c r="S777" s="103"/>
      <c r="T777" s="103"/>
      <c r="U777" s="103"/>
    </row>
    <row r="778" customFormat="false" ht="22.5" hidden="false" customHeight="true" outlineLevel="0" collapsed="false">
      <c r="A778" s="110"/>
      <c r="B778" s="110"/>
      <c r="C778" s="110"/>
      <c r="D778" s="122"/>
      <c r="E778" s="110"/>
      <c r="F778" s="128"/>
      <c r="G778" s="122"/>
      <c r="H778" s="131" t="b">
        <f aca="false">FALSE()</f>
        <v>0</v>
      </c>
      <c r="I778" s="131" t="b">
        <f aca="false">FALSE()</f>
        <v>0</v>
      </c>
      <c r="J778" s="130"/>
      <c r="K778" s="110"/>
      <c r="L778" s="83"/>
      <c r="M778" s="103"/>
      <c r="N778" s="103"/>
      <c r="O778" s="103"/>
      <c r="P778" s="103"/>
      <c r="Q778" s="103"/>
      <c r="R778" s="83"/>
      <c r="S778" s="103"/>
      <c r="T778" s="103"/>
      <c r="U778" s="103"/>
    </row>
    <row r="779" customFormat="false" ht="22.5" hidden="false" customHeight="true" outlineLevel="0" collapsed="false">
      <c r="A779" s="99"/>
      <c r="B779" s="99"/>
      <c r="C779" s="99"/>
      <c r="D779" s="121"/>
      <c r="E779" s="99"/>
      <c r="F779" s="124"/>
      <c r="G779" s="121"/>
      <c r="H779" s="132" t="b">
        <f aca="false">FALSE()</f>
        <v>0</v>
      </c>
      <c r="I779" s="132" t="b">
        <f aca="false">FALSE()</f>
        <v>0</v>
      </c>
      <c r="J779" s="126"/>
      <c r="K779" s="99"/>
      <c r="L779" s="83"/>
      <c r="M779" s="103"/>
      <c r="N779" s="103"/>
      <c r="O779" s="103"/>
      <c r="P779" s="103"/>
      <c r="Q779" s="103"/>
      <c r="R779" s="83"/>
      <c r="S779" s="103"/>
      <c r="T779" s="103"/>
      <c r="U779" s="103"/>
    </row>
    <row r="780" customFormat="false" ht="22.5" hidden="false" customHeight="true" outlineLevel="0" collapsed="false">
      <c r="A780" s="110"/>
      <c r="B780" s="110"/>
      <c r="C780" s="110"/>
      <c r="D780" s="122"/>
      <c r="E780" s="110"/>
      <c r="F780" s="128"/>
      <c r="G780" s="122"/>
      <c r="H780" s="131" t="b">
        <f aca="false">FALSE()</f>
        <v>0</v>
      </c>
      <c r="I780" s="131" t="b">
        <f aca="false">FALSE()</f>
        <v>0</v>
      </c>
      <c r="J780" s="130"/>
      <c r="K780" s="110"/>
      <c r="L780" s="83"/>
      <c r="M780" s="103"/>
      <c r="N780" s="103"/>
      <c r="O780" s="103"/>
      <c r="P780" s="103"/>
      <c r="Q780" s="103"/>
      <c r="R780" s="83"/>
      <c r="S780" s="103"/>
      <c r="T780" s="103"/>
      <c r="U780" s="103"/>
    </row>
    <row r="781" customFormat="false" ht="22.5" hidden="false" customHeight="true" outlineLevel="0" collapsed="false">
      <c r="A781" s="99"/>
      <c r="B781" s="99"/>
      <c r="C781" s="99"/>
      <c r="D781" s="121"/>
      <c r="E781" s="99"/>
      <c r="F781" s="124"/>
      <c r="G781" s="121"/>
      <c r="H781" s="132" t="b">
        <f aca="false">FALSE()</f>
        <v>0</v>
      </c>
      <c r="I781" s="132" t="b">
        <f aca="false">FALSE()</f>
        <v>0</v>
      </c>
      <c r="J781" s="126"/>
      <c r="K781" s="99"/>
      <c r="L781" s="83"/>
      <c r="M781" s="103"/>
      <c r="N781" s="103"/>
      <c r="O781" s="103"/>
      <c r="P781" s="103"/>
      <c r="Q781" s="103"/>
      <c r="R781" s="83"/>
      <c r="S781" s="103"/>
      <c r="T781" s="103"/>
      <c r="U781" s="103"/>
    </row>
    <row r="782" customFormat="false" ht="22.5" hidden="false" customHeight="true" outlineLevel="0" collapsed="false">
      <c r="A782" s="110"/>
      <c r="B782" s="110"/>
      <c r="C782" s="110"/>
      <c r="D782" s="122"/>
      <c r="E782" s="110"/>
      <c r="F782" s="128"/>
      <c r="G782" s="122"/>
      <c r="H782" s="131" t="b">
        <f aca="false">FALSE()</f>
        <v>0</v>
      </c>
      <c r="I782" s="131" t="b">
        <f aca="false">FALSE()</f>
        <v>0</v>
      </c>
      <c r="J782" s="130"/>
      <c r="K782" s="110"/>
      <c r="L782" s="83"/>
      <c r="M782" s="103"/>
      <c r="N782" s="103"/>
      <c r="O782" s="103"/>
      <c r="P782" s="103"/>
      <c r="Q782" s="103"/>
      <c r="R782" s="83"/>
      <c r="S782" s="103"/>
      <c r="T782" s="103"/>
      <c r="U782" s="103"/>
    </row>
    <row r="783" customFormat="false" ht="22.5" hidden="false" customHeight="true" outlineLevel="0" collapsed="false">
      <c r="A783" s="99"/>
      <c r="B783" s="99"/>
      <c r="C783" s="99"/>
      <c r="D783" s="121"/>
      <c r="E783" s="99"/>
      <c r="F783" s="124"/>
      <c r="G783" s="121"/>
      <c r="H783" s="132" t="b">
        <f aca="false">FALSE()</f>
        <v>0</v>
      </c>
      <c r="I783" s="132" t="b">
        <f aca="false">FALSE()</f>
        <v>0</v>
      </c>
      <c r="J783" s="126"/>
      <c r="K783" s="99"/>
      <c r="L783" s="83"/>
      <c r="M783" s="103"/>
      <c r="N783" s="103"/>
      <c r="O783" s="103"/>
      <c r="P783" s="103"/>
      <c r="Q783" s="103"/>
      <c r="R783" s="83"/>
      <c r="S783" s="103"/>
      <c r="T783" s="103"/>
      <c r="U783" s="103"/>
    </row>
    <row r="784" customFormat="false" ht="22.5" hidden="false" customHeight="true" outlineLevel="0" collapsed="false">
      <c r="A784" s="110"/>
      <c r="B784" s="110"/>
      <c r="C784" s="110"/>
      <c r="D784" s="122"/>
      <c r="E784" s="110"/>
      <c r="F784" s="128"/>
      <c r="G784" s="122"/>
      <c r="H784" s="131" t="b">
        <f aca="false">FALSE()</f>
        <v>0</v>
      </c>
      <c r="I784" s="131" t="b">
        <f aca="false">FALSE()</f>
        <v>0</v>
      </c>
      <c r="J784" s="130"/>
      <c r="K784" s="110"/>
      <c r="L784" s="83"/>
      <c r="M784" s="103"/>
      <c r="N784" s="103"/>
      <c r="O784" s="103"/>
      <c r="P784" s="103"/>
      <c r="Q784" s="103"/>
      <c r="R784" s="83"/>
      <c r="S784" s="103"/>
      <c r="T784" s="103"/>
      <c r="U784" s="103"/>
    </row>
    <row r="785" customFormat="false" ht="22.5" hidden="false" customHeight="true" outlineLevel="0" collapsed="false">
      <c r="A785" s="99"/>
      <c r="B785" s="99"/>
      <c r="C785" s="99"/>
      <c r="D785" s="121"/>
      <c r="E785" s="99"/>
      <c r="F785" s="124"/>
      <c r="G785" s="121"/>
      <c r="H785" s="132" t="b">
        <f aca="false">FALSE()</f>
        <v>0</v>
      </c>
      <c r="I785" s="132" t="b">
        <f aca="false">FALSE()</f>
        <v>0</v>
      </c>
      <c r="J785" s="126"/>
      <c r="K785" s="99"/>
      <c r="L785" s="83"/>
      <c r="M785" s="103"/>
      <c r="N785" s="103"/>
      <c r="O785" s="103"/>
      <c r="P785" s="103"/>
      <c r="Q785" s="103"/>
      <c r="R785" s="83"/>
      <c r="S785" s="103"/>
      <c r="T785" s="103"/>
      <c r="U785" s="103"/>
    </row>
    <row r="786" customFormat="false" ht="22.5" hidden="false" customHeight="true" outlineLevel="0" collapsed="false">
      <c r="A786" s="110"/>
      <c r="B786" s="110"/>
      <c r="C786" s="110"/>
      <c r="D786" s="122"/>
      <c r="E786" s="110"/>
      <c r="F786" s="128"/>
      <c r="G786" s="122"/>
      <c r="H786" s="131" t="b">
        <f aca="false">FALSE()</f>
        <v>0</v>
      </c>
      <c r="I786" s="131" t="b">
        <f aca="false">FALSE()</f>
        <v>0</v>
      </c>
      <c r="J786" s="130"/>
      <c r="K786" s="110"/>
      <c r="L786" s="83"/>
      <c r="M786" s="103"/>
      <c r="N786" s="103"/>
      <c r="O786" s="103"/>
      <c r="P786" s="103"/>
      <c r="Q786" s="103"/>
      <c r="R786" s="83"/>
      <c r="S786" s="103"/>
      <c r="T786" s="103"/>
      <c r="U786" s="103"/>
    </row>
    <row r="787" customFormat="false" ht="22.5" hidden="false" customHeight="true" outlineLevel="0" collapsed="false">
      <c r="A787" s="99"/>
      <c r="B787" s="99"/>
      <c r="C787" s="99"/>
      <c r="D787" s="121"/>
      <c r="E787" s="99"/>
      <c r="F787" s="124"/>
      <c r="G787" s="121"/>
      <c r="H787" s="132" t="b">
        <f aca="false">FALSE()</f>
        <v>0</v>
      </c>
      <c r="I787" s="132" t="b">
        <f aca="false">FALSE()</f>
        <v>0</v>
      </c>
      <c r="J787" s="126"/>
      <c r="K787" s="99"/>
      <c r="L787" s="83"/>
      <c r="M787" s="103"/>
      <c r="N787" s="103"/>
      <c r="O787" s="103"/>
      <c r="P787" s="103"/>
      <c r="Q787" s="103"/>
      <c r="R787" s="83"/>
      <c r="S787" s="103"/>
      <c r="T787" s="103"/>
      <c r="U787" s="103"/>
    </row>
    <row r="788" customFormat="false" ht="22.5" hidden="false" customHeight="true" outlineLevel="0" collapsed="false">
      <c r="A788" s="110"/>
      <c r="B788" s="110"/>
      <c r="C788" s="110"/>
      <c r="D788" s="122"/>
      <c r="E788" s="110"/>
      <c r="F788" s="128"/>
      <c r="G788" s="122"/>
      <c r="H788" s="131" t="b">
        <f aca="false">FALSE()</f>
        <v>0</v>
      </c>
      <c r="I788" s="131" t="b">
        <f aca="false">FALSE()</f>
        <v>0</v>
      </c>
      <c r="J788" s="130"/>
      <c r="K788" s="110"/>
      <c r="L788" s="83"/>
      <c r="M788" s="103"/>
      <c r="N788" s="103"/>
      <c r="O788" s="103"/>
      <c r="P788" s="103"/>
      <c r="Q788" s="103"/>
      <c r="R788" s="83"/>
      <c r="S788" s="103"/>
      <c r="T788" s="103"/>
      <c r="U788" s="103"/>
    </row>
    <row r="789" customFormat="false" ht="22.5" hidden="false" customHeight="true" outlineLevel="0" collapsed="false">
      <c r="A789" s="99"/>
      <c r="B789" s="99"/>
      <c r="C789" s="99"/>
      <c r="D789" s="121"/>
      <c r="E789" s="99"/>
      <c r="F789" s="124"/>
      <c r="G789" s="121"/>
      <c r="H789" s="132" t="b">
        <f aca="false">FALSE()</f>
        <v>0</v>
      </c>
      <c r="I789" s="132" t="b">
        <f aca="false">FALSE()</f>
        <v>0</v>
      </c>
      <c r="J789" s="126"/>
      <c r="K789" s="99"/>
      <c r="L789" s="83"/>
      <c r="M789" s="103"/>
      <c r="N789" s="103"/>
      <c r="O789" s="103"/>
      <c r="P789" s="103"/>
      <c r="Q789" s="103"/>
      <c r="R789" s="83"/>
      <c r="S789" s="103"/>
      <c r="T789" s="103"/>
      <c r="U789" s="103"/>
    </row>
    <row r="790" customFormat="false" ht="22.5" hidden="false" customHeight="true" outlineLevel="0" collapsed="false">
      <c r="A790" s="110"/>
      <c r="B790" s="110"/>
      <c r="C790" s="110"/>
      <c r="D790" s="122"/>
      <c r="E790" s="110"/>
      <c r="F790" s="128"/>
      <c r="G790" s="122"/>
      <c r="H790" s="131" t="b">
        <f aca="false">FALSE()</f>
        <v>0</v>
      </c>
      <c r="I790" s="131" t="b">
        <f aca="false">FALSE()</f>
        <v>0</v>
      </c>
      <c r="J790" s="130"/>
      <c r="K790" s="110"/>
      <c r="L790" s="83"/>
      <c r="M790" s="103"/>
      <c r="N790" s="103"/>
      <c r="O790" s="103"/>
      <c r="P790" s="103"/>
      <c r="Q790" s="103"/>
      <c r="R790" s="83"/>
      <c r="S790" s="103"/>
      <c r="T790" s="103"/>
      <c r="U790" s="103"/>
    </row>
    <row r="791" customFormat="false" ht="22.5" hidden="false" customHeight="true" outlineLevel="0" collapsed="false">
      <c r="A791" s="99"/>
      <c r="B791" s="99"/>
      <c r="C791" s="99"/>
      <c r="D791" s="121"/>
      <c r="E791" s="99"/>
      <c r="F791" s="124"/>
      <c r="G791" s="121"/>
      <c r="H791" s="132" t="b">
        <f aca="false">FALSE()</f>
        <v>0</v>
      </c>
      <c r="I791" s="132" t="b">
        <f aca="false">FALSE()</f>
        <v>0</v>
      </c>
      <c r="J791" s="126"/>
      <c r="K791" s="99"/>
      <c r="L791" s="83"/>
      <c r="M791" s="103"/>
      <c r="N791" s="103"/>
      <c r="O791" s="103"/>
      <c r="P791" s="103"/>
      <c r="Q791" s="103"/>
      <c r="R791" s="83"/>
      <c r="S791" s="103"/>
      <c r="T791" s="103"/>
      <c r="U791" s="103"/>
    </row>
    <row r="792" customFormat="false" ht="22.5" hidden="false" customHeight="true" outlineLevel="0" collapsed="false">
      <c r="A792" s="110"/>
      <c r="B792" s="110"/>
      <c r="C792" s="110"/>
      <c r="D792" s="122"/>
      <c r="E792" s="110"/>
      <c r="F792" s="128"/>
      <c r="G792" s="122"/>
      <c r="H792" s="131" t="b">
        <f aca="false">FALSE()</f>
        <v>0</v>
      </c>
      <c r="I792" s="131" t="b">
        <f aca="false">FALSE()</f>
        <v>0</v>
      </c>
      <c r="J792" s="130"/>
      <c r="K792" s="110"/>
      <c r="L792" s="83"/>
      <c r="M792" s="103"/>
      <c r="N792" s="103"/>
      <c r="O792" s="103"/>
      <c r="P792" s="103"/>
      <c r="Q792" s="103"/>
      <c r="R792" s="83"/>
      <c r="S792" s="103"/>
      <c r="T792" s="103"/>
      <c r="U792" s="103"/>
    </row>
    <row r="793" customFormat="false" ht="22.5" hidden="false" customHeight="true" outlineLevel="0" collapsed="false">
      <c r="A793" s="99"/>
      <c r="B793" s="99"/>
      <c r="C793" s="99"/>
      <c r="D793" s="121"/>
      <c r="E793" s="99"/>
      <c r="F793" s="124"/>
      <c r="G793" s="121"/>
      <c r="H793" s="132" t="b">
        <f aca="false">FALSE()</f>
        <v>0</v>
      </c>
      <c r="I793" s="132" t="b">
        <f aca="false">FALSE()</f>
        <v>0</v>
      </c>
      <c r="J793" s="126"/>
      <c r="K793" s="99"/>
      <c r="L793" s="83"/>
      <c r="M793" s="103"/>
      <c r="N793" s="103"/>
      <c r="O793" s="103"/>
      <c r="P793" s="103"/>
      <c r="Q793" s="103"/>
      <c r="R793" s="83"/>
      <c r="S793" s="103"/>
      <c r="T793" s="103"/>
      <c r="U793" s="103"/>
    </row>
    <row r="794" customFormat="false" ht="22.5" hidden="false" customHeight="true" outlineLevel="0" collapsed="false">
      <c r="A794" s="110"/>
      <c r="B794" s="110"/>
      <c r="C794" s="110"/>
      <c r="D794" s="122"/>
      <c r="E794" s="110"/>
      <c r="F794" s="128"/>
      <c r="G794" s="122"/>
      <c r="H794" s="131" t="b">
        <f aca="false">FALSE()</f>
        <v>0</v>
      </c>
      <c r="I794" s="131" t="b">
        <f aca="false">FALSE()</f>
        <v>0</v>
      </c>
      <c r="J794" s="130"/>
      <c r="K794" s="110"/>
      <c r="L794" s="83"/>
      <c r="M794" s="103"/>
      <c r="N794" s="103"/>
      <c r="O794" s="103"/>
      <c r="P794" s="103"/>
      <c r="Q794" s="103"/>
      <c r="R794" s="83"/>
      <c r="S794" s="103"/>
      <c r="T794" s="103"/>
      <c r="U794" s="103"/>
    </row>
    <row r="795" customFormat="false" ht="22.5" hidden="false" customHeight="true" outlineLevel="0" collapsed="false">
      <c r="A795" s="99"/>
      <c r="B795" s="99"/>
      <c r="C795" s="99"/>
      <c r="D795" s="121"/>
      <c r="E795" s="99"/>
      <c r="F795" s="124"/>
      <c r="G795" s="121"/>
      <c r="H795" s="132" t="b">
        <f aca="false">FALSE()</f>
        <v>0</v>
      </c>
      <c r="I795" s="132" t="b">
        <f aca="false">FALSE()</f>
        <v>0</v>
      </c>
      <c r="J795" s="126"/>
      <c r="K795" s="99"/>
      <c r="L795" s="83"/>
      <c r="M795" s="103"/>
      <c r="N795" s="103"/>
      <c r="O795" s="103"/>
      <c r="P795" s="103"/>
      <c r="Q795" s="103"/>
      <c r="R795" s="83"/>
      <c r="S795" s="103"/>
      <c r="T795" s="103"/>
      <c r="U795" s="103"/>
    </row>
    <row r="796" customFormat="false" ht="22.5" hidden="false" customHeight="true" outlineLevel="0" collapsed="false">
      <c r="A796" s="110"/>
      <c r="B796" s="110"/>
      <c r="C796" s="110"/>
      <c r="D796" s="122"/>
      <c r="E796" s="110"/>
      <c r="F796" s="128"/>
      <c r="G796" s="122"/>
      <c r="H796" s="131" t="b">
        <f aca="false">FALSE()</f>
        <v>0</v>
      </c>
      <c r="I796" s="131" t="b">
        <f aca="false">FALSE()</f>
        <v>0</v>
      </c>
      <c r="J796" s="130"/>
      <c r="K796" s="110"/>
      <c r="L796" s="83"/>
      <c r="M796" s="103"/>
      <c r="N796" s="103"/>
      <c r="O796" s="103"/>
      <c r="P796" s="103"/>
      <c r="Q796" s="103"/>
      <c r="R796" s="83"/>
      <c r="S796" s="103"/>
      <c r="T796" s="103"/>
      <c r="U796" s="103"/>
    </row>
    <row r="797" customFormat="false" ht="22.5" hidden="false" customHeight="true" outlineLevel="0" collapsed="false">
      <c r="A797" s="99"/>
      <c r="B797" s="99"/>
      <c r="C797" s="99"/>
      <c r="D797" s="121"/>
      <c r="E797" s="99"/>
      <c r="F797" s="124"/>
      <c r="G797" s="121"/>
      <c r="H797" s="132" t="b">
        <f aca="false">FALSE()</f>
        <v>0</v>
      </c>
      <c r="I797" s="132" t="b">
        <f aca="false">FALSE()</f>
        <v>0</v>
      </c>
      <c r="J797" s="126"/>
      <c r="K797" s="99"/>
      <c r="L797" s="83"/>
      <c r="M797" s="103"/>
      <c r="N797" s="103"/>
      <c r="O797" s="103"/>
      <c r="P797" s="103"/>
      <c r="Q797" s="103"/>
      <c r="R797" s="83"/>
      <c r="S797" s="103"/>
      <c r="T797" s="103"/>
      <c r="U797" s="103"/>
    </row>
    <row r="798" customFormat="false" ht="22.5" hidden="false" customHeight="true" outlineLevel="0" collapsed="false">
      <c r="A798" s="110"/>
      <c r="B798" s="110"/>
      <c r="C798" s="110"/>
      <c r="D798" s="122"/>
      <c r="E798" s="110"/>
      <c r="F798" s="128"/>
      <c r="G798" s="122"/>
      <c r="H798" s="131" t="b">
        <f aca="false">FALSE()</f>
        <v>0</v>
      </c>
      <c r="I798" s="131" t="b">
        <f aca="false">FALSE()</f>
        <v>0</v>
      </c>
      <c r="J798" s="130"/>
      <c r="K798" s="110"/>
      <c r="L798" s="83"/>
      <c r="M798" s="103"/>
      <c r="N798" s="103"/>
      <c r="O798" s="103"/>
      <c r="P798" s="103"/>
      <c r="Q798" s="103"/>
      <c r="R798" s="83"/>
      <c r="S798" s="103"/>
      <c r="T798" s="103"/>
      <c r="U798" s="103"/>
    </row>
    <row r="799" customFormat="false" ht="22.5" hidden="false" customHeight="true" outlineLevel="0" collapsed="false">
      <c r="A799" s="99"/>
      <c r="B799" s="99"/>
      <c r="C799" s="99"/>
      <c r="D799" s="121"/>
      <c r="E799" s="99"/>
      <c r="F799" s="124"/>
      <c r="G799" s="121"/>
      <c r="H799" s="132" t="b">
        <f aca="false">FALSE()</f>
        <v>0</v>
      </c>
      <c r="I799" s="132" t="b">
        <f aca="false">FALSE()</f>
        <v>0</v>
      </c>
      <c r="J799" s="126"/>
      <c r="K799" s="99"/>
      <c r="L799" s="83"/>
      <c r="M799" s="103"/>
      <c r="N799" s="103"/>
      <c r="O799" s="103"/>
      <c r="P799" s="103"/>
      <c r="Q799" s="103"/>
      <c r="R799" s="83"/>
      <c r="S799" s="103"/>
      <c r="T799" s="103"/>
      <c r="U799" s="103"/>
    </row>
    <row r="800" customFormat="false" ht="22.5" hidden="false" customHeight="true" outlineLevel="0" collapsed="false">
      <c r="A800" s="110"/>
      <c r="B800" s="110"/>
      <c r="C800" s="110"/>
      <c r="D800" s="122"/>
      <c r="E800" s="110"/>
      <c r="F800" s="128"/>
      <c r="G800" s="122"/>
      <c r="H800" s="131" t="b">
        <f aca="false">FALSE()</f>
        <v>0</v>
      </c>
      <c r="I800" s="131" t="b">
        <f aca="false">FALSE()</f>
        <v>0</v>
      </c>
      <c r="J800" s="130"/>
      <c r="K800" s="110"/>
      <c r="L800" s="83"/>
      <c r="M800" s="103"/>
      <c r="N800" s="103"/>
      <c r="O800" s="103"/>
      <c r="P800" s="103"/>
      <c r="Q800" s="103"/>
      <c r="R800" s="83"/>
      <c r="S800" s="103"/>
      <c r="T800" s="103"/>
      <c r="U800" s="103"/>
    </row>
    <row r="801" customFormat="false" ht="22.5" hidden="false" customHeight="true" outlineLevel="0" collapsed="false">
      <c r="A801" s="99"/>
      <c r="B801" s="99"/>
      <c r="C801" s="99"/>
      <c r="D801" s="121"/>
      <c r="E801" s="99"/>
      <c r="F801" s="124"/>
      <c r="G801" s="121"/>
      <c r="H801" s="132" t="b">
        <f aca="false">FALSE()</f>
        <v>0</v>
      </c>
      <c r="I801" s="132" t="b">
        <f aca="false">FALSE()</f>
        <v>0</v>
      </c>
      <c r="J801" s="126"/>
      <c r="K801" s="99"/>
      <c r="L801" s="83"/>
      <c r="M801" s="103"/>
      <c r="N801" s="103"/>
      <c r="O801" s="103"/>
      <c r="P801" s="103"/>
      <c r="Q801" s="103"/>
      <c r="R801" s="83"/>
      <c r="S801" s="103"/>
      <c r="T801" s="103"/>
      <c r="U801" s="103"/>
    </row>
    <row r="802" customFormat="false" ht="22.5" hidden="false" customHeight="true" outlineLevel="0" collapsed="false">
      <c r="A802" s="110"/>
      <c r="B802" s="110"/>
      <c r="C802" s="110"/>
      <c r="D802" s="122"/>
      <c r="E802" s="110"/>
      <c r="F802" s="128"/>
      <c r="G802" s="122"/>
      <c r="H802" s="131" t="b">
        <f aca="false">FALSE()</f>
        <v>0</v>
      </c>
      <c r="I802" s="131" t="b">
        <f aca="false">FALSE()</f>
        <v>0</v>
      </c>
      <c r="J802" s="130"/>
      <c r="K802" s="110"/>
      <c r="L802" s="83"/>
      <c r="M802" s="103"/>
      <c r="N802" s="103"/>
      <c r="O802" s="103"/>
      <c r="P802" s="103"/>
      <c r="Q802" s="103"/>
      <c r="R802" s="83"/>
      <c r="S802" s="103"/>
      <c r="T802" s="103"/>
      <c r="U802" s="103"/>
    </row>
    <row r="803" customFormat="false" ht="22.5" hidden="false" customHeight="true" outlineLevel="0" collapsed="false">
      <c r="A803" s="99"/>
      <c r="B803" s="99"/>
      <c r="C803" s="99"/>
      <c r="D803" s="121"/>
      <c r="E803" s="99"/>
      <c r="F803" s="124"/>
      <c r="G803" s="121"/>
      <c r="H803" s="132" t="b">
        <f aca="false">FALSE()</f>
        <v>0</v>
      </c>
      <c r="I803" s="132" t="b">
        <f aca="false">FALSE()</f>
        <v>0</v>
      </c>
      <c r="J803" s="126"/>
      <c r="K803" s="99"/>
      <c r="L803" s="83"/>
      <c r="M803" s="103"/>
      <c r="N803" s="103"/>
      <c r="O803" s="103"/>
      <c r="P803" s="103"/>
      <c r="Q803" s="103"/>
      <c r="R803" s="83"/>
      <c r="S803" s="103"/>
      <c r="T803" s="103"/>
      <c r="U803" s="103"/>
    </row>
    <row r="804" customFormat="false" ht="22.5" hidden="false" customHeight="true" outlineLevel="0" collapsed="false">
      <c r="A804" s="110"/>
      <c r="B804" s="110"/>
      <c r="C804" s="110"/>
      <c r="D804" s="122"/>
      <c r="E804" s="110"/>
      <c r="F804" s="128"/>
      <c r="G804" s="122"/>
      <c r="H804" s="131" t="b">
        <f aca="false">FALSE()</f>
        <v>0</v>
      </c>
      <c r="I804" s="131" t="b">
        <f aca="false">FALSE()</f>
        <v>0</v>
      </c>
      <c r="J804" s="130"/>
      <c r="K804" s="110"/>
      <c r="L804" s="83"/>
      <c r="M804" s="103"/>
      <c r="N804" s="103"/>
      <c r="O804" s="103"/>
      <c r="P804" s="103"/>
      <c r="Q804" s="103"/>
      <c r="R804" s="83"/>
      <c r="S804" s="103"/>
      <c r="T804" s="103"/>
      <c r="U804" s="103"/>
    </row>
    <row r="805" customFormat="false" ht="22.5" hidden="false" customHeight="true" outlineLevel="0" collapsed="false">
      <c r="A805" s="99"/>
      <c r="B805" s="99"/>
      <c r="C805" s="99"/>
      <c r="D805" s="121"/>
      <c r="E805" s="99"/>
      <c r="F805" s="124"/>
      <c r="G805" s="121"/>
      <c r="H805" s="132" t="b">
        <f aca="false">FALSE()</f>
        <v>0</v>
      </c>
      <c r="I805" s="132" t="b">
        <f aca="false">FALSE()</f>
        <v>0</v>
      </c>
      <c r="J805" s="126"/>
      <c r="K805" s="99"/>
      <c r="L805" s="83"/>
      <c r="M805" s="103"/>
      <c r="N805" s="103"/>
      <c r="O805" s="103"/>
      <c r="P805" s="103"/>
      <c r="Q805" s="103"/>
      <c r="R805" s="83"/>
      <c r="S805" s="103"/>
      <c r="T805" s="103"/>
      <c r="U805" s="103"/>
    </row>
    <row r="806" customFormat="false" ht="22.5" hidden="false" customHeight="true" outlineLevel="0" collapsed="false">
      <c r="A806" s="110"/>
      <c r="B806" s="110"/>
      <c r="C806" s="110"/>
      <c r="D806" s="122"/>
      <c r="E806" s="110"/>
      <c r="F806" s="128"/>
      <c r="G806" s="122"/>
      <c r="H806" s="131" t="b">
        <f aca="false">FALSE()</f>
        <v>0</v>
      </c>
      <c r="I806" s="131" t="b">
        <f aca="false">FALSE()</f>
        <v>0</v>
      </c>
      <c r="J806" s="130"/>
      <c r="K806" s="110"/>
      <c r="L806" s="83"/>
      <c r="M806" s="103"/>
      <c r="N806" s="103"/>
      <c r="O806" s="103"/>
      <c r="P806" s="103"/>
      <c r="Q806" s="103"/>
      <c r="R806" s="83"/>
      <c r="S806" s="103"/>
      <c r="T806" s="103"/>
      <c r="U806" s="103"/>
    </row>
    <row r="807" customFormat="false" ht="22.5" hidden="false" customHeight="true" outlineLevel="0" collapsed="false">
      <c r="A807" s="99"/>
      <c r="B807" s="99"/>
      <c r="C807" s="99"/>
      <c r="D807" s="121"/>
      <c r="E807" s="99"/>
      <c r="F807" s="124"/>
      <c r="G807" s="121"/>
      <c r="H807" s="132" t="b">
        <f aca="false">FALSE()</f>
        <v>0</v>
      </c>
      <c r="I807" s="132" t="b">
        <f aca="false">FALSE()</f>
        <v>0</v>
      </c>
      <c r="J807" s="126"/>
      <c r="K807" s="99"/>
      <c r="L807" s="83"/>
      <c r="M807" s="103"/>
      <c r="N807" s="103"/>
      <c r="O807" s="103"/>
      <c r="P807" s="103"/>
      <c r="Q807" s="103"/>
      <c r="R807" s="83"/>
      <c r="S807" s="103"/>
      <c r="T807" s="103"/>
      <c r="U807" s="103"/>
    </row>
    <row r="808" customFormat="false" ht="22.5" hidden="false" customHeight="true" outlineLevel="0" collapsed="false">
      <c r="A808" s="110"/>
      <c r="B808" s="110"/>
      <c r="C808" s="110"/>
      <c r="D808" s="122"/>
      <c r="E808" s="110"/>
      <c r="F808" s="128"/>
      <c r="G808" s="122"/>
      <c r="H808" s="131" t="b">
        <f aca="false">FALSE()</f>
        <v>0</v>
      </c>
      <c r="I808" s="131" t="b">
        <f aca="false">FALSE()</f>
        <v>0</v>
      </c>
      <c r="J808" s="130"/>
      <c r="K808" s="110"/>
      <c r="L808" s="83"/>
      <c r="M808" s="103"/>
      <c r="N808" s="103"/>
      <c r="O808" s="103"/>
      <c r="P808" s="103"/>
      <c r="Q808" s="103"/>
      <c r="R808" s="83"/>
      <c r="S808" s="103"/>
      <c r="T808" s="103"/>
      <c r="U808" s="103"/>
    </row>
    <row r="809" customFormat="false" ht="22.5" hidden="false" customHeight="true" outlineLevel="0" collapsed="false">
      <c r="A809" s="99"/>
      <c r="B809" s="99"/>
      <c r="C809" s="99"/>
      <c r="D809" s="121"/>
      <c r="E809" s="99"/>
      <c r="F809" s="124"/>
      <c r="G809" s="121"/>
      <c r="H809" s="132" t="b">
        <f aca="false">FALSE()</f>
        <v>0</v>
      </c>
      <c r="I809" s="132" t="b">
        <f aca="false">FALSE()</f>
        <v>0</v>
      </c>
      <c r="J809" s="126"/>
      <c r="K809" s="99"/>
      <c r="L809" s="83"/>
      <c r="M809" s="103"/>
      <c r="N809" s="103"/>
      <c r="O809" s="103"/>
      <c r="P809" s="103"/>
      <c r="Q809" s="103"/>
      <c r="R809" s="83"/>
      <c r="S809" s="103"/>
      <c r="T809" s="103"/>
      <c r="U809" s="103"/>
    </row>
    <row r="810" customFormat="false" ht="22.5" hidden="false" customHeight="true" outlineLevel="0" collapsed="false">
      <c r="A810" s="110"/>
      <c r="B810" s="110"/>
      <c r="C810" s="110"/>
      <c r="D810" s="122"/>
      <c r="E810" s="110"/>
      <c r="F810" s="128"/>
      <c r="G810" s="122"/>
      <c r="H810" s="131" t="b">
        <f aca="false">FALSE()</f>
        <v>0</v>
      </c>
      <c r="I810" s="131" t="b">
        <f aca="false">FALSE()</f>
        <v>0</v>
      </c>
      <c r="J810" s="130"/>
      <c r="K810" s="110"/>
      <c r="L810" s="83"/>
      <c r="M810" s="103"/>
      <c r="N810" s="103"/>
      <c r="O810" s="103"/>
      <c r="P810" s="103"/>
      <c r="Q810" s="103"/>
      <c r="R810" s="83"/>
      <c r="S810" s="103"/>
      <c r="T810" s="103"/>
      <c r="U810" s="103"/>
    </row>
    <row r="811" customFormat="false" ht="22.5" hidden="false" customHeight="true" outlineLevel="0" collapsed="false">
      <c r="A811" s="99"/>
      <c r="B811" s="99"/>
      <c r="C811" s="99"/>
      <c r="D811" s="121"/>
      <c r="E811" s="99"/>
      <c r="F811" s="124"/>
      <c r="G811" s="121"/>
      <c r="H811" s="132" t="b">
        <f aca="false">FALSE()</f>
        <v>0</v>
      </c>
      <c r="I811" s="132" t="b">
        <f aca="false">FALSE()</f>
        <v>0</v>
      </c>
      <c r="J811" s="126"/>
      <c r="K811" s="99"/>
      <c r="L811" s="83"/>
      <c r="M811" s="103"/>
      <c r="N811" s="103"/>
      <c r="O811" s="103"/>
      <c r="P811" s="103"/>
      <c r="Q811" s="103"/>
      <c r="R811" s="83"/>
      <c r="S811" s="103"/>
      <c r="T811" s="103"/>
      <c r="U811" s="103"/>
    </row>
    <row r="812" customFormat="false" ht="22.5" hidden="false" customHeight="true" outlineLevel="0" collapsed="false">
      <c r="A812" s="110"/>
      <c r="B812" s="110"/>
      <c r="C812" s="110"/>
      <c r="D812" s="122"/>
      <c r="E812" s="110"/>
      <c r="F812" s="128"/>
      <c r="G812" s="122"/>
      <c r="H812" s="131" t="b">
        <f aca="false">FALSE()</f>
        <v>0</v>
      </c>
      <c r="I812" s="131" t="b">
        <f aca="false">FALSE()</f>
        <v>0</v>
      </c>
      <c r="J812" s="130"/>
      <c r="K812" s="110"/>
      <c r="L812" s="83"/>
      <c r="M812" s="103"/>
      <c r="N812" s="103"/>
      <c r="O812" s="103"/>
      <c r="P812" s="103"/>
      <c r="Q812" s="103"/>
      <c r="R812" s="83"/>
      <c r="S812" s="103"/>
      <c r="T812" s="103"/>
      <c r="U812" s="103"/>
    </row>
    <row r="813" customFormat="false" ht="22.5" hidden="false" customHeight="true" outlineLevel="0" collapsed="false">
      <c r="A813" s="99"/>
      <c r="B813" s="99"/>
      <c r="C813" s="99"/>
      <c r="D813" s="121"/>
      <c r="E813" s="99"/>
      <c r="F813" s="124"/>
      <c r="G813" s="121"/>
      <c r="H813" s="132" t="b">
        <f aca="false">FALSE()</f>
        <v>0</v>
      </c>
      <c r="I813" s="132" t="b">
        <f aca="false">FALSE()</f>
        <v>0</v>
      </c>
      <c r="J813" s="126"/>
      <c r="K813" s="99"/>
      <c r="L813" s="83"/>
      <c r="M813" s="103"/>
      <c r="N813" s="103"/>
      <c r="O813" s="103"/>
      <c r="P813" s="103"/>
      <c r="Q813" s="103"/>
      <c r="R813" s="83"/>
      <c r="S813" s="103"/>
      <c r="T813" s="103"/>
      <c r="U813" s="103"/>
    </row>
    <row r="814" customFormat="false" ht="22.5" hidden="false" customHeight="true" outlineLevel="0" collapsed="false">
      <c r="A814" s="110"/>
      <c r="B814" s="110"/>
      <c r="C814" s="110"/>
      <c r="D814" s="122"/>
      <c r="E814" s="110"/>
      <c r="F814" s="128"/>
      <c r="G814" s="122"/>
      <c r="H814" s="131" t="b">
        <f aca="false">FALSE()</f>
        <v>0</v>
      </c>
      <c r="I814" s="131" t="b">
        <f aca="false">FALSE()</f>
        <v>0</v>
      </c>
      <c r="J814" s="130"/>
      <c r="K814" s="110"/>
      <c r="L814" s="83"/>
      <c r="M814" s="103"/>
      <c r="N814" s="103"/>
      <c r="O814" s="103"/>
      <c r="P814" s="103"/>
      <c r="Q814" s="103"/>
      <c r="R814" s="83"/>
      <c r="S814" s="103"/>
      <c r="T814" s="103"/>
      <c r="U814" s="103"/>
    </row>
    <row r="815" customFormat="false" ht="22.5" hidden="false" customHeight="true" outlineLevel="0" collapsed="false">
      <c r="A815" s="99"/>
      <c r="B815" s="99"/>
      <c r="C815" s="99"/>
      <c r="D815" s="121"/>
      <c r="E815" s="99"/>
      <c r="F815" s="124"/>
      <c r="G815" s="121"/>
      <c r="H815" s="132" t="b">
        <f aca="false">FALSE()</f>
        <v>0</v>
      </c>
      <c r="I815" s="132" t="b">
        <f aca="false">FALSE()</f>
        <v>0</v>
      </c>
      <c r="J815" s="126"/>
      <c r="K815" s="99"/>
      <c r="L815" s="83"/>
      <c r="M815" s="103"/>
      <c r="N815" s="103"/>
      <c r="O815" s="103"/>
      <c r="P815" s="103"/>
      <c r="Q815" s="103"/>
      <c r="R815" s="83"/>
      <c r="S815" s="103"/>
      <c r="T815" s="103"/>
      <c r="U815" s="103"/>
    </row>
    <row r="816" customFormat="false" ht="22.5" hidden="false" customHeight="true" outlineLevel="0" collapsed="false">
      <c r="A816" s="110"/>
      <c r="B816" s="110"/>
      <c r="C816" s="110"/>
      <c r="D816" s="122"/>
      <c r="E816" s="110"/>
      <c r="F816" s="128"/>
      <c r="G816" s="122"/>
      <c r="H816" s="131" t="b">
        <f aca="false">FALSE()</f>
        <v>0</v>
      </c>
      <c r="I816" s="131" t="b">
        <f aca="false">FALSE()</f>
        <v>0</v>
      </c>
      <c r="J816" s="130"/>
      <c r="K816" s="110"/>
      <c r="L816" s="83"/>
      <c r="M816" s="103"/>
      <c r="N816" s="103"/>
      <c r="O816" s="103"/>
      <c r="P816" s="103"/>
      <c r="Q816" s="103"/>
      <c r="R816" s="83"/>
      <c r="S816" s="103"/>
      <c r="T816" s="103"/>
      <c r="U816" s="103"/>
    </row>
    <row r="817" customFormat="false" ht="22.5" hidden="false" customHeight="true" outlineLevel="0" collapsed="false">
      <c r="A817" s="99"/>
      <c r="B817" s="99"/>
      <c r="C817" s="99"/>
      <c r="D817" s="121"/>
      <c r="E817" s="99"/>
      <c r="F817" s="124"/>
      <c r="G817" s="121"/>
      <c r="H817" s="132" t="b">
        <f aca="false">FALSE()</f>
        <v>0</v>
      </c>
      <c r="I817" s="132" t="b">
        <f aca="false">FALSE()</f>
        <v>0</v>
      </c>
      <c r="J817" s="126"/>
      <c r="K817" s="99"/>
      <c r="L817" s="83"/>
      <c r="M817" s="103"/>
      <c r="N817" s="103"/>
      <c r="O817" s="103"/>
      <c r="P817" s="103"/>
      <c r="Q817" s="103"/>
      <c r="R817" s="83"/>
      <c r="S817" s="103"/>
      <c r="T817" s="103"/>
      <c r="U817" s="103"/>
    </row>
    <row r="818" customFormat="false" ht="22.5" hidden="false" customHeight="true" outlineLevel="0" collapsed="false">
      <c r="A818" s="110"/>
      <c r="B818" s="110"/>
      <c r="C818" s="110"/>
      <c r="D818" s="122"/>
      <c r="E818" s="110"/>
      <c r="F818" s="128"/>
      <c r="G818" s="122"/>
      <c r="H818" s="131" t="b">
        <f aca="false">FALSE()</f>
        <v>0</v>
      </c>
      <c r="I818" s="131" t="b">
        <f aca="false">FALSE()</f>
        <v>0</v>
      </c>
      <c r="J818" s="130"/>
      <c r="K818" s="110"/>
      <c r="L818" s="83"/>
      <c r="M818" s="103"/>
      <c r="N818" s="103"/>
      <c r="O818" s="103"/>
      <c r="P818" s="103"/>
      <c r="Q818" s="103"/>
      <c r="R818" s="83"/>
      <c r="S818" s="103"/>
      <c r="T818" s="103"/>
      <c r="U818" s="103"/>
    </row>
    <row r="819" customFormat="false" ht="22.5" hidden="false" customHeight="true" outlineLevel="0" collapsed="false">
      <c r="A819" s="99"/>
      <c r="B819" s="99"/>
      <c r="C819" s="99"/>
      <c r="D819" s="121"/>
      <c r="E819" s="99"/>
      <c r="F819" s="124"/>
      <c r="G819" s="121"/>
      <c r="H819" s="132" t="b">
        <f aca="false">FALSE()</f>
        <v>0</v>
      </c>
      <c r="I819" s="132" t="b">
        <f aca="false">FALSE()</f>
        <v>0</v>
      </c>
      <c r="J819" s="126"/>
      <c r="K819" s="99"/>
      <c r="L819" s="83"/>
      <c r="M819" s="103"/>
      <c r="N819" s="103"/>
      <c r="O819" s="103"/>
      <c r="P819" s="103"/>
      <c r="Q819" s="103"/>
      <c r="R819" s="83"/>
      <c r="S819" s="103"/>
      <c r="T819" s="103"/>
      <c r="U819" s="103"/>
    </row>
    <row r="820" customFormat="false" ht="22.5" hidden="false" customHeight="true" outlineLevel="0" collapsed="false">
      <c r="A820" s="110"/>
      <c r="B820" s="110"/>
      <c r="C820" s="110"/>
      <c r="D820" s="122"/>
      <c r="E820" s="110"/>
      <c r="F820" s="128"/>
      <c r="G820" s="122"/>
      <c r="H820" s="131" t="b">
        <f aca="false">FALSE()</f>
        <v>0</v>
      </c>
      <c r="I820" s="131" t="b">
        <f aca="false">FALSE()</f>
        <v>0</v>
      </c>
      <c r="J820" s="130"/>
      <c r="K820" s="110"/>
      <c r="L820" s="83"/>
      <c r="M820" s="103"/>
      <c r="N820" s="103"/>
      <c r="O820" s="103"/>
      <c r="P820" s="103"/>
      <c r="Q820" s="103"/>
      <c r="R820" s="83"/>
      <c r="S820" s="103"/>
      <c r="T820" s="103"/>
      <c r="U820" s="103"/>
    </row>
    <row r="821" customFormat="false" ht="22.5" hidden="false" customHeight="true" outlineLevel="0" collapsed="false">
      <c r="A821" s="99"/>
      <c r="B821" s="99"/>
      <c r="C821" s="99"/>
      <c r="D821" s="121"/>
      <c r="E821" s="99"/>
      <c r="F821" s="124"/>
      <c r="G821" s="121"/>
      <c r="H821" s="132" t="b">
        <f aca="false">FALSE()</f>
        <v>0</v>
      </c>
      <c r="I821" s="132" t="b">
        <f aca="false">FALSE()</f>
        <v>0</v>
      </c>
      <c r="J821" s="126"/>
      <c r="K821" s="99"/>
      <c r="L821" s="83"/>
      <c r="M821" s="103"/>
      <c r="N821" s="103"/>
      <c r="O821" s="103"/>
      <c r="P821" s="103"/>
      <c r="Q821" s="103"/>
      <c r="R821" s="83"/>
      <c r="S821" s="103"/>
      <c r="T821" s="103"/>
      <c r="U821" s="103"/>
    </row>
    <row r="822" customFormat="false" ht="22.5" hidden="false" customHeight="true" outlineLevel="0" collapsed="false">
      <c r="A822" s="110"/>
      <c r="B822" s="110"/>
      <c r="C822" s="110"/>
      <c r="D822" s="122"/>
      <c r="E822" s="110"/>
      <c r="F822" s="128"/>
      <c r="G822" s="122"/>
      <c r="H822" s="131" t="b">
        <f aca="false">FALSE()</f>
        <v>0</v>
      </c>
      <c r="I822" s="131" t="b">
        <f aca="false">FALSE()</f>
        <v>0</v>
      </c>
      <c r="J822" s="130"/>
      <c r="K822" s="110"/>
      <c r="L822" s="83"/>
      <c r="M822" s="103"/>
      <c r="N822" s="103"/>
      <c r="O822" s="103"/>
      <c r="P822" s="103"/>
      <c r="Q822" s="103"/>
      <c r="R822" s="83"/>
      <c r="S822" s="103"/>
      <c r="T822" s="103"/>
      <c r="U822" s="103"/>
    </row>
    <row r="823" customFormat="false" ht="22.5" hidden="false" customHeight="true" outlineLevel="0" collapsed="false">
      <c r="A823" s="99"/>
      <c r="B823" s="99"/>
      <c r="C823" s="99"/>
      <c r="D823" s="121"/>
      <c r="E823" s="99"/>
      <c r="F823" s="124"/>
      <c r="G823" s="121"/>
      <c r="H823" s="132" t="b">
        <f aca="false">FALSE()</f>
        <v>0</v>
      </c>
      <c r="I823" s="132" t="b">
        <f aca="false">FALSE()</f>
        <v>0</v>
      </c>
      <c r="J823" s="126"/>
      <c r="K823" s="99"/>
      <c r="L823" s="83"/>
      <c r="M823" s="103"/>
      <c r="N823" s="103"/>
      <c r="O823" s="103"/>
      <c r="P823" s="103"/>
      <c r="Q823" s="103"/>
      <c r="R823" s="83"/>
      <c r="S823" s="103"/>
      <c r="T823" s="103"/>
      <c r="U823" s="103"/>
    </row>
    <row r="824" customFormat="false" ht="22.5" hidden="false" customHeight="true" outlineLevel="0" collapsed="false">
      <c r="A824" s="110"/>
      <c r="B824" s="110"/>
      <c r="C824" s="110"/>
      <c r="D824" s="122"/>
      <c r="E824" s="110"/>
      <c r="F824" s="128"/>
      <c r="G824" s="122"/>
      <c r="H824" s="131" t="b">
        <f aca="false">FALSE()</f>
        <v>0</v>
      </c>
      <c r="I824" s="131" t="b">
        <f aca="false">FALSE()</f>
        <v>0</v>
      </c>
      <c r="J824" s="130"/>
      <c r="K824" s="110"/>
      <c r="L824" s="83"/>
      <c r="M824" s="103"/>
      <c r="N824" s="103"/>
      <c r="O824" s="103"/>
      <c r="P824" s="103"/>
      <c r="Q824" s="103"/>
      <c r="R824" s="83"/>
      <c r="S824" s="103"/>
      <c r="T824" s="103"/>
      <c r="U824" s="103"/>
    </row>
    <row r="825" customFormat="false" ht="22.5" hidden="false" customHeight="true" outlineLevel="0" collapsed="false">
      <c r="A825" s="99"/>
      <c r="B825" s="99"/>
      <c r="C825" s="99"/>
      <c r="D825" s="121"/>
      <c r="E825" s="99"/>
      <c r="F825" s="124"/>
      <c r="G825" s="121"/>
      <c r="H825" s="132" t="b">
        <f aca="false">FALSE()</f>
        <v>0</v>
      </c>
      <c r="I825" s="132" t="b">
        <f aca="false">FALSE()</f>
        <v>0</v>
      </c>
      <c r="J825" s="126"/>
      <c r="K825" s="99"/>
      <c r="L825" s="83"/>
      <c r="M825" s="103"/>
      <c r="N825" s="103"/>
      <c r="O825" s="103"/>
      <c r="P825" s="103"/>
      <c r="Q825" s="103"/>
      <c r="R825" s="83"/>
      <c r="S825" s="103"/>
      <c r="T825" s="103"/>
      <c r="U825" s="103"/>
    </row>
    <row r="826" customFormat="false" ht="22.5" hidden="false" customHeight="true" outlineLevel="0" collapsed="false">
      <c r="A826" s="110"/>
      <c r="B826" s="110"/>
      <c r="C826" s="110"/>
      <c r="D826" s="122"/>
      <c r="E826" s="110"/>
      <c r="F826" s="128"/>
      <c r="G826" s="122"/>
      <c r="H826" s="131" t="b">
        <f aca="false">FALSE()</f>
        <v>0</v>
      </c>
      <c r="I826" s="131" t="b">
        <f aca="false">FALSE()</f>
        <v>0</v>
      </c>
      <c r="J826" s="130"/>
      <c r="K826" s="110"/>
      <c r="L826" s="83"/>
      <c r="M826" s="103"/>
      <c r="N826" s="103"/>
      <c r="O826" s="103"/>
      <c r="P826" s="103"/>
      <c r="Q826" s="103"/>
      <c r="R826" s="83"/>
      <c r="S826" s="103"/>
      <c r="T826" s="103"/>
      <c r="U826" s="103"/>
    </row>
    <row r="827" customFormat="false" ht="22.5" hidden="false" customHeight="true" outlineLevel="0" collapsed="false">
      <c r="A827" s="99"/>
      <c r="B827" s="99"/>
      <c r="C827" s="99"/>
      <c r="D827" s="121"/>
      <c r="E827" s="99"/>
      <c r="F827" s="124"/>
      <c r="G827" s="121"/>
      <c r="H827" s="132" t="b">
        <f aca="false">FALSE()</f>
        <v>0</v>
      </c>
      <c r="I827" s="132" t="b">
        <f aca="false">FALSE()</f>
        <v>0</v>
      </c>
      <c r="J827" s="126"/>
      <c r="K827" s="99"/>
      <c r="L827" s="83"/>
      <c r="M827" s="103"/>
      <c r="N827" s="103"/>
      <c r="O827" s="103"/>
      <c r="P827" s="103"/>
      <c r="Q827" s="103"/>
      <c r="R827" s="83"/>
      <c r="S827" s="103"/>
      <c r="T827" s="103"/>
      <c r="U827" s="103"/>
    </row>
    <row r="828" customFormat="false" ht="22.5" hidden="false" customHeight="true" outlineLevel="0" collapsed="false">
      <c r="A828" s="110"/>
      <c r="B828" s="110"/>
      <c r="C828" s="110"/>
      <c r="D828" s="122"/>
      <c r="E828" s="110"/>
      <c r="F828" s="128"/>
      <c r="G828" s="122"/>
      <c r="H828" s="131" t="b">
        <f aca="false">FALSE()</f>
        <v>0</v>
      </c>
      <c r="I828" s="131" t="b">
        <f aca="false">FALSE()</f>
        <v>0</v>
      </c>
      <c r="J828" s="130"/>
      <c r="K828" s="110"/>
      <c r="L828" s="83"/>
      <c r="M828" s="103"/>
      <c r="N828" s="103"/>
      <c r="O828" s="103"/>
      <c r="P828" s="103"/>
      <c r="Q828" s="103"/>
      <c r="R828" s="83"/>
      <c r="S828" s="103"/>
      <c r="T828" s="103"/>
      <c r="U828" s="103"/>
    </row>
    <row r="829" customFormat="false" ht="22.5" hidden="false" customHeight="true" outlineLevel="0" collapsed="false">
      <c r="A829" s="99"/>
      <c r="B829" s="99"/>
      <c r="C829" s="99"/>
      <c r="D829" s="121"/>
      <c r="E829" s="99"/>
      <c r="F829" s="124"/>
      <c r="G829" s="121"/>
      <c r="H829" s="132" t="b">
        <f aca="false">FALSE()</f>
        <v>0</v>
      </c>
      <c r="I829" s="132" t="b">
        <f aca="false">FALSE()</f>
        <v>0</v>
      </c>
      <c r="J829" s="126"/>
      <c r="K829" s="99"/>
      <c r="L829" s="83"/>
      <c r="M829" s="103"/>
      <c r="N829" s="103"/>
      <c r="O829" s="103"/>
      <c r="P829" s="103"/>
      <c r="Q829" s="103"/>
      <c r="R829" s="83"/>
      <c r="S829" s="103"/>
      <c r="T829" s="103"/>
      <c r="U829" s="103"/>
    </row>
    <row r="830" customFormat="false" ht="22.5" hidden="false" customHeight="true" outlineLevel="0" collapsed="false">
      <c r="A830" s="110"/>
      <c r="B830" s="110"/>
      <c r="C830" s="110"/>
      <c r="D830" s="122"/>
      <c r="E830" s="110"/>
      <c r="F830" s="128"/>
      <c r="G830" s="122"/>
      <c r="H830" s="131" t="b">
        <f aca="false">FALSE()</f>
        <v>0</v>
      </c>
      <c r="I830" s="131" t="b">
        <f aca="false">FALSE()</f>
        <v>0</v>
      </c>
      <c r="J830" s="130"/>
      <c r="K830" s="110"/>
      <c r="L830" s="83"/>
      <c r="M830" s="103"/>
      <c r="N830" s="103"/>
      <c r="O830" s="103"/>
      <c r="P830" s="103"/>
      <c r="Q830" s="103"/>
      <c r="R830" s="83"/>
      <c r="S830" s="103"/>
      <c r="T830" s="103"/>
      <c r="U830" s="103"/>
    </row>
    <row r="831" customFormat="false" ht="22.5" hidden="false" customHeight="true" outlineLevel="0" collapsed="false">
      <c r="A831" s="99"/>
      <c r="B831" s="99"/>
      <c r="C831" s="99"/>
      <c r="D831" s="121"/>
      <c r="E831" s="99"/>
      <c r="F831" s="124"/>
      <c r="G831" s="121"/>
      <c r="H831" s="132" t="b">
        <f aca="false">FALSE()</f>
        <v>0</v>
      </c>
      <c r="I831" s="132" t="b">
        <f aca="false">FALSE()</f>
        <v>0</v>
      </c>
      <c r="J831" s="126"/>
      <c r="K831" s="99"/>
      <c r="L831" s="83"/>
      <c r="M831" s="103"/>
      <c r="N831" s="103"/>
      <c r="O831" s="103"/>
      <c r="P831" s="103"/>
      <c r="Q831" s="103"/>
      <c r="R831" s="83"/>
      <c r="S831" s="103"/>
      <c r="T831" s="103"/>
      <c r="U831" s="103"/>
    </row>
    <row r="832" customFormat="false" ht="22.5" hidden="false" customHeight="true" outlineLevel="0" collapsed="false">
      <c r="A832" s="110"/>
      <c r="B832" s="110"/>
      <c r="C832" s="110"/>
      <c r="D832" s="122"/>
      <c r="E832" s="110"/>
      <c r="F832" s="128"/>
      <c r="G832" s="122"/>
      <c r="H832" s="131" t="b">
        <f aca="false">FALSE()</f>
        <v>0</v>
      </c>
      <c r="I832" s="131" t="b">
        <f aca="false">FALSE()</f>
        <v>0</v>
      </c>
      <c r="J832" s="130"/>
      <c r="K832" s="110"/>
      <c r="L832" s="83"/>
      <c r="M832" s="103"/>
      <c r="N832" s="103"/>
      <c r="O832" s="103"/>
      <c r="P832" s="103"/>
      <c r="Q832" s="103"/>
      <c r="R832" s="83"/>
      <c r="S832" s="103"/>
      <c r="T832" s="103"/>
      <c r="U832" s="103"/>
    </row>
    <row r="833" customFormat="false" ht="22.5" hidden="false" customHeight="true" outlineLevel="0" collapsed="false">
      <c r="A833" s="99"/>
      <c r="B833" s="99"/>
      <c r="C833" s="99"/>
      <c r="D833" s="121"/>
      <c r="E833" s="99"/>
      <c r="F833" s="124"/>
      <c r="G833" s="121"/>
      <c r="H833" s="132" t="b">
        <f aca="false">FALSE()</f>
        <v>0</v>
      </c>
      <c r="I833" s="132" t="b">
        <f aca="false">FALSE()</f>
        <v>0</v>
      </c>
      <c r="J833" s="126"/>
      <c r="K833" s="99"/>
      <c r="L833" s="83"/>
      <c r="M833" s="103"/>
      <c r="N833" s="103"/>
      <c r="O833" s="103"/>
      <c r="P833" s="103"/>
      <c r="Q833" s="103"/>
      <c r="R833" s="83"/>
      <c r="S833" s="103"/>
      <c r="T833" s="103"/>
      <c r="U833" s="103"/>
    </row>
    <row r="834" customFormat="false" ht="22.5" hidden="false" customHeight="true" outlineLevel="0" collapsed="false">
      <c r="A834" s="110"/>
      <c r="B834" s="110"/>
      <c r="C834" s="110"/>
      <c r="D834" s="122"/>
      <c r="E834" s="110"/>
      <c r="F834" s="128"/>
      <c r="G834" s="122"/>
      <c r="H834" s="131" t="b">
        <f aca="false">FALSE()</f>
        <v>0</v>
      </c>
      <c r="I834" s="131" t="b">
        <f aca="false">FALSE()</f>
        <v>0</v>
      </c>
      <c r="J834" s="130"/>
      <c r="K834" s="110"/>
      <c r="L834" s="83"/>
      <c r="M834" s="103"/>
      <c r="N834" s="103"/>
      <c r="O834" s="103"/>
      <c r="P834" s="103"/>
      <c r="Q834" s="103"/>
      <c r="R834" s="83"/>
      <c r="S834" s="103"/>
      <c r="T834" s="103"/>
      <c r="U834" s="103"/>
    </row>
    <row r="835" customFormat="false" ht="22.5" hidden="false" customHeight="true" outlineLevel="0" collapsed="false">
      <c r="A835" s="99"/>
      <c r="B835" s="99"/>
      <c r="C835" s="99"/>
      <c r="D835" s="121"/>
      <c r="E835" s="99"/>
      <c r="F835" s="124"/>
      <c r="G835" s="121"/>
      <c r="H835" s="132" t="b">
        <f aca="false">FALSE()</f>
        <v>0</v>
      </c>
      <c r="I835" s="132" t="b">
        <f aca="false">FALSE()</f>
        <v>0</v>
      </c>
      <c r="J835" s="126"/>
      <c r="K835" s="99"/>
      <c r="L835" s="83"/>
      <c r="M835" s="103"/>
      <c r="N835" s="103"/>
      <c r="O835" s="103"/>
      <c r="P835" s="103"/>
      <c r="Q835" s="103"/>
      <c r="R835" s="83"/>
      <c r="S835" s="103"/>
      <c r="T835" s="103"/>
      <c r="U835" s="103"/>
    </row>
    <row r="836" customFormat="false" ht="22.5" hidden="false" customHeight="true" outlineLevel="0" collapsed="false">
      <c r="A836" s="110"/>
      <c r="B836" s="110"/>
      <c r="C836" s="110"/>
      <c r="D836" s="122"/>
      <c r="E836" s="110"/>
      <c r="F836" s="128"/>
      <c r="G836" s="122"/>
      <c r="H836" s="131" t="b">
        <f aca="false">FALSE()</f>
        <v>0</v>
      </c>
      <c r="I836" s="131" t="b">
        <f aca="false">FALSE()</f>
        <v>0</v>
      </c>
      <c r="J836" s="130"/>
      <c r="K836" s="110"/>
      <c r="L836" s="83"/>
      <c r="M836" s="103"/>
      <c r="N836" s="103"/>
      <c r="O836" s="103"/>
      <c r="P836" s="103"/>
      <c r="Q836" s="103"/>
      <c r="R836" s="83"/>
      <c r="S836" s="103"/>
      <c r="T836" s="103"/>
      <c r="U836" s="103"/>
    </row>
    <row r="837" customFormat="false" ht="22.5" hidden="false" customHeight="true" outlineLevel="0" collapsed="false">
      <c r="A837" s="99"/>
      <c r="B837" s="99"/>
      <c r="C837" s="99"/>
      <c r="D837" s="121"/>
      <c r="E837" s="99"/>
      <c r="F837" s="124"/>
      <c r="G837" s="121"/>
      <c r="H837" s="132" t="b">
        <f aca="false">FALSE()</f>
        <v>0</v>
      </c>
      <c r="I837" s="132" t="b">
        <f aca="false">FALSE()</f>
        <v>0</v>
      </c>
      <c r="J837" s="126"/>
      <c r="K837" s="99"/>
      <c r="L837" s="83"/>
      <c r="M837" s="103"/>
      <c r="N837" s="103"/>
      <c r="O837" s="103"/>
      <c r="P837" s="103"/>
      <c r="Q837" s="103"/>
      <c r="R837" s="83"/>
      <c r="S837" s="103"/>
      <c r="T837" s="103"/>
      <c r="U837" s="103"/>
    </row>
    <row r="838" customFormat="false" ht="22.5" hidden="false" customHeight="true" outlineLevel="0" collapsed="false">
      <c r="A838" s="110"/>
      <c r="B838" s="110"/>
      <c r="C838" s="110"/>
      <c r="D838" s="122"/>
      <c r="E838" s="110"/>
      <c r="F838" s="128"/>
      <c r="G838" s="122"/>
      <c r="H838" s="131" t="b">
        <f aca="false">FALSE()</f>
        <v>0</v>
      </c>
      <c r="I838" s="131" t="b">
        <f aca="false">FALSE()</f>
        <v>0</v>
      </c>
      <c r="J838" s="130"/>
      <c r="K838" s="110"/>
      <c r="L838" s="83"/>
      <c r="M838" s="103"/>
      <c r="N838" s="103"/>
      <c r="O838" s="103"/>
      <c r="P838" s="103"/>
      <c r="Q838" s="103"/>
      <c r="R838" s="83"/>
      <c r="S838" s="103"/>
      <c r="T838" s="103"/>
      <c r="U838" s="103"/>
    </row>
    <row r="839" customFormat="false" ht="22.5" hidden="false" customHeight="true" outlineLevel="0" collapsed="false">
      <c r="A839" s="99"/>
      <c r="B839" s="99"/>
      <c r="C839" s="99"/>
      <c r="D839" s="121"/>
      <c r="E839" s="99"/>
      <c r="F839" s="124"/>
      <c r="G839" s="121"/>
      <c r="H839" s="132" t="b">
        <f aca="false">FALSE()</f>
        <v>0</v>
      </c>
      <c r="I839" s="132" t="b">
        <f aca="false">FALSE()</f>
        <v>0</v>
      </c>
      <c r="J839" s="126"/>
      <c r="K839" s="99"/>
      <c r="L839" s="83"/>
      <c r="M839" s="103"/>
      <c r="N839" s="103"/>
      <c r="O839" s="103"/>
      <c r="P839" s="103"/>
      <c r="Q839" s="103"/>
      <c r="R839" s="83"/>
      <c r="S839" s="103"/>
      <c r="T839" s="103"/>
      <c r="U839" s="103"/>
    </row>
    <row r="840" customFormat="false" ht="22.5" hidden="false" customHeight="true" outlineLevel="0" collapsed="false">
      <c r="A840" s="110"/>
      <c r="B840" s="110"/>
      <c r="C840" s="110"/>
      <c r="D840" s="122"/>
      <c r="E840" s="110"/>
      <c r="F840" s="128"/>
      <c r="G840" s="122"/>
      <c r="H840" s="131" t="b">
        <f aca="false">FALSE()</f>
        <v>0</v>
      </c>
      <c r="I840" s="131" t="b">
        <f aca="false">FALSE()</f>
        <v>0</v>
      </c>
      <c r="J840" s="130"/>
      <c r="K840" s="110"/>
      <c r="L840" s="83"/>
      <c r="M840" s="103"/>
      <c r="N840" s="103"/>
      <c r="O840" s="103"/>
      <c r="P840" s="103"/>
      <c r="Q840" s="103"/>
      <c r="R840" s="83"/>
      <c r="S840" s="103"/>
      <c r="T840" s="103"/>
      <c r="U840" s="103"/>
    </row>
    <row r="841" customFormat="false" ht="22.5" hidden="false" customHeight="true" outlineLevel="0" collapsed="false">
      <c r="A841" s="99"/>
      <c r="B841" s="99"/>
      <c r="C841" s="99"/>
      <c r="D841" s="121"/>
      <c r="E841" s="99"/>
      <c r="F841" s="124"/>
      <c r="G841" s="121"/>
      <c r="H841" s="132" t="b">
        <f aca="false">FALSE()</f>
        <v>0</v>
      </c>
      <c r="I841" s="132" t="b">
        <f aca="false">FALSE()</f>
        <v>0</v>
      </c>
      <c r="J841" s="126"/>
      <c r="K841" s="99"/>
      <c r="L841" s="83"/>
      <c r="M841" s="103"/>
      <c r="N841" s="103"/>
      <c r="O841" s="103"/>
      <c r="P841" s="103"/>
      <c r="Q841" s="103"/>
      <c r="R841" s="83"/>
      <c r="S841" s="103"/>
      <c r="T841" s="103"/>
      <c r="U841" s="103"/>
    </row>
    <row r="842" customFormat="false" ht="22.5" hidden="false" customHeight="true" outlineLevel="0" collapsed="false">
      <c r="A842" s="110"/>
      <c r="B842" s="110"/>
      <c r="C842" s="110"/>
      <c r="D842" s="122"/>
      <c r="E842" s="110"/>
      <c r="F842" s="128"/>
      <c r="G842" s="122"/>
      <c r="H842" s="131" t="b">
        <f aca="false">FALSE()</f>
        <v>0</v>
      </c>
      <c r="I842" s="131" t="b">
        <f aca="false">FALSE()</f>
        <v>0</v>
      </c>
      <c r="J842" s="130"/>
      <c r="K842" s="110"/>
      <c r="L842" s="83"/>
      <c r="M842" s="103"/>
      <c r="N842" s="103"/>
      <c r="O842" s="103"/>
      <c r="P842" s="103"/>
      <c r="Q842" s="103"/>
      <c r="R842" s="83"/>
      <c r="S842" s="103"/>
      <c r="T842" s="103"/>
      <c r="U842" s="103"/>
    </row>
    <row r="843" customFormat="false" ht="22.5" hidden="false" customHeight="true" outlineLevel="0" collapsed="false">
      <c r="A843" s="99"/>
      <c r="B843" s="99"/>
      <c r="C843" s="99"/>
      <c r="D843" s="121"/>
      <c r="E843" s="99"/>
      <c r="F843" s="124"/>
      <c r="G843" s="121"/>
      <c r="H843" s="132" t="b">
        <f aca="false">FALSE()</f>
        <v>0</v>
      </c>
      <c r="I843" s="132" t="b">
        <f aca="false">FALSE()</f>
        <v>0</v>
      </c>
      <c r="J843" s="126"/>
      <c r="K843" s="99"/>
      <c r="L843" s="83"/>
      <c r="M843" s="103"/>
      <c r="N843" s="103"/>
      <c r="O843" s="103"/>
      <c r="P843" s="103"/>
      <c r="Q843" s="103"/>
      <c r="R843" s="83"/>
      <c r="S843" s="103"/>
      <c r="T843" s="103"/>
      <c r="U843" s="103"/>
    </row>
    <row r="844" customFormat="false" ht="22.5" hidden="false" customHeight="true" outlineLevel="0" collapsed="false">
      <c r="A844" s="110"/>
      <c r="B844" s="110"/>
      <c r="C844" s="110"/>
      <c r="D844" s="122"/>
      <c r="E844" s="110"/>
      <c r="F844" s="128"/>
      <c r="G844" s="122"/>
      <c r="H844" s="131" t="b">
        <f aca="false">FALSE()</f>
        <v>0</v>
      </c>
      <c r="I844" s="131" t="b">
        <f aca="false">FALSE()</f>
        <v>0</v>
      </c>
      <c r="J844" s="130"/>
      <c r="K844" s="110"/>
      <c r="L844" s="83"/>
      <c r="M844" s="103"/>
      <c r="N844" s="103"/>
      <c r="O844" s="103"/>
      <c r="P844" s="103"/>
      <c r="Q844" s="103"/>
      <c r="R844" s="83"/>
      <c r="S844" s="103"/>
      <c r="T844" s="103"/>
      <c r="U844" s="103"/>
    </row>
    <row r="845" customFormat="false" ht="22.5" hidden="false" customHeight="true" outlineLevel="0" collapsed="false">
      <c r="A845" s="99"/>
      <c r="B845" s="99"/>
      <c r="C845" s="99"/>
      <c r="D845" s="121"/>
      <c r="E845" s="99"/>
      <c r="F845" s="124"/>
      <c r="G845" s="121"/>
      <c r="H845" s="132" t="b">
        <f aca="false">FALSE()</f>
        <v>0</v>
      </c>
      <c r="I845" s="132" t="b">
        <f aca="false">FALSE()</f>
        <v>0</v>
      </c>
      <c r="J845" s="126"/>
      <c r="K845" s="99"/>
      <c r="L845" s="83"/>
      <c r="M845" s="103"/>
      <c r="N845" s="103"/>
      <c r="O845" s="103"/>
      <c r="P845" s="103"/>
      <c r="Q845" s="103"/>
      <c r="R845" s="83"/>
      <c r="S845" s="103"/>
      <c r="T845" s="103"/>
      <c r="U845" s="103"/>
    </row>
    <row r="846" customFormat="false" ht="22.5" hidden="false" customHeight="true" outlineLevel="0" collapsed="false">
      <c r="A846" s="110"/>
      <c r="B846" s="110"/>
      <c r="C846" s="110"/>
      <c r="D846" s="122"/>
      <c r="E846" s="110"/>
      <c r="F846" s="128"/>
      <c r="G846" s="122"/>
      <c r="H846" s="131" t="b">
        <f aca="false">FALSE()</f>
        <v>0</v>
      </c>
      <c r="I846" s="131" t="b">
        <f aca="false">FALSE()</f>
        <v>0</v>
      </c>
      <c r="J846" s="130"/>
      <c r="K846" s="110"/>
      <c r="L846" s="83"/>
      <c r="M846" s="103"/>
      <c r="N846" s="103"/>
      <c r="O846" s="103"/>
      <c r="P846" s="103"/>
      <c r="Q846" s="103"/>
      <c r="R846" s="83"/>
      <c r="S846" s="103"/>
      <c r="T846" s="103"/>
      <c r="U846" s="103"/>
    </row>
    <row r="847" customFormat="false" ht="22.5" hidden="false" customHeight="true" outlineLevel="0" collapsed="false">
      <c r="A847" s="99"/>
      <c r="B847" s="99"/>
      <c r="C847" s="99"/>
      <c r="D847" s="121"/>
      <c r="E847" s="99"/>
      <c r="F847" s="124"/>
      <c r="G847" s="121"/>
      <c r="H847" s="132" t="b">
        <f aca="false">FALSE()</f>
        <v>0</v>
      </c>
      <c r="I847" s="132" t="b">
        <f aca="false">FALSE()</f>
        <v>0</v>
      </c>
      <c r="J847" s="126"/>
      <c r="K847" s="99"/>
      <c r="L847" s="83"/>
      <c r="M847" s="103"/>
      <c r="N847" s="103"/>
      <c r="O847" s="103"/>
      <c r="P847" s="103"/>
      <c r="Q847" s="103"/>
      <c r="R847" s="83"/>
      <c r="S847" s="103"/>
      <c r="T847" s="103"/>
      <c r="U847" s="103"/>
    </row>
    <row r="848" customFormat="false" ht="22.5" hidden="false" customHeight="true" outlineLevel="0" collapsed="false">
      <c r="A848" s="110"/>
      <c r="B848" s="110"/>
      <c r="C848" s="110"/>
      <c r="D848" s="122"/>
      <c r="E848" s="110"/>
      <c r="F848" s="128"/>
      <c r="G848" s="122"/>
      <c r="H848" s="131" t="b">
        <f aca="false">FALSE()</f>
        <v>0</v>
      </c>
      <c r="I848" s="131" t="b">
        <f aca="false">FALSE()</f>
        <v>0</v>
      </c>
      <c r="J848" s="130"/>
      <c r="K848" s="110"/>
      <c r="L848" s="83"/>
      <c r="M848" s="103"/>
      <c r="N848" s="103"/>
      <c r="O848" s="103"/>
      <c r="P848" s="103"/>
      <c r="Q848" s="103"/>
      <c r="R848" s="83"/>
      <c r="S848" s="103"/>
      <c r="T848" s="103"/>
      <c r="U848" s="103"/>
    </row>
    <row r="849" customFormat="false" ht="22.5" hidden="false" customHeight="true" outlineLevel="0" collapsed="false">
      <c r="A849" s="99"/>
      <c r="B849" s="99"/>
      <c r="C849" s="99"/>
      <c r="D849" s="121"/>
      <c r="E849" s="99"/>
      <c r="F849" s="124"/>
      <c r="G849" s="121"/>
      <c r="H849" s="132" t="b">
        <f aca="false">FALSE()</f>
        <v>0</v>
      </c>
      <c r="I849" s="132" t="b">
        <f aca="false">FALSE()</f>
        <v>0</v>
      </c>
      <c r="J849" s="126"/>
      <c r="K849" s="99"/>
      <c r="L849" s="83"/>
      <c r="M849" s="103"/>
      <c r="N849" s="103"/>
      <c r="O849" s="103"/>
      <c r="P849" s="103"/>
      <c r="Q849" s="103"/>
      <c r="R849" s="83"/>
      <c r="S849" s="103"/>
      <c r="T849" s="103"/>
      <c r="U849" s="103"/>
    </row>
    <row r="850" customFormat="false" ht="22.5" hidden="false" customHeight="true" outlineLevel="0" collapsed="false">
      <c r="A850" s="110"/>
      <c r="B850" s="110"/>
      <c r="C850" s="110"/>
      <c r="D850" s="122"/>
      <c r="E850" s="110"/>
      <c r="F850" s="128"/>
      <c r="G850" s="122"/>
      <c r="H850" s="131" t="b">
        <f aca="false">FALSE()</f>
        <v>0</v>
      </c>
      <c r="I850" s="131" t="b">
        <f aca="false">FALSE()</f>
        <v>0</v>
      </c>
      <c r="J850" s="130"/>
      <c r="K850" s="110"/>
      <c r="L850" s="83"/>
      <c r="M850" s="103"/>
      <c r="N850" s="103"/>
      <c r="O850" s="103"/>
      <c r="P850" s="103"/>
      <c r="Q850" s="103"/>
      <c r="R850" s="83"/>
      <c r="S850" s="103"/>
      <c r="T850" s="103"/>
      <c r="U850" s="103"/>
    </row>
    <row r="851" customFormat="false" ht="22.5" hidden="false" customHeight="true" outlineLevel="0" collapsed="false">
      <c r="A851" s="99"/>
      <c r="B851" s="99"/>
      <c r="C851" s="99"/>
      <c r="D851" s="121"/>
      <c r="E851" s="99"/>
      <c r="F851" s="124"/>
      <c r="G851" s="121"/>
      <c r="H851" s="132" t="b">
        <f aca="false">FALSE()</f>
        <v>0</v>
      </c>
      <c r="I851" s="132" t="b">
        <f aca="false">FALSE()</f>
        <v>0</v>
      </c>
      <c r="J851" s="126"/>
      <c r="K851" s="99"/>
      <c r="L851" s="83"/>
      <c r="M851" s="103"/>
      <c r="N851" s="103"/>
      <c r="O851" s="103"/>
      <c r="P851" s="103"/>
      <c r="Q851" s="103"/>
      <c r="R851" s="83"/>
      <c r="S851" s="103"/>
      <c r="T851" s="103"/>
      <c r="U851" s="103"/>
    </row>
    <row r="852" customFormat="false" ht="22.5" hidden="false" customHeight="true" outlineLevel="0" collapsed="false">
      <c r="A852" s="110"/>
      <c r="B852" s="110"/>
      <c r="C852" s="110"/>
      <c r="D852" s="122"/>
      <c r="E852" s="110"/>
      <c r="F852" s="128"/>
      <c r="G852" s="122"/>
      <c r="H852" s="131" t="b">
        <f aca="false">FALSE()</f>
        <v>0</v>
      </c>
      <c r="I852" s="131" t="b">
        <f aca="false">FALSE()</f>
        <v>0</v>
      </c>
      <c r="J852" s="130"/>
      <c r="K852" s="110"/>
      <c r="L852" s="83"/>
      <c r="M852" s="103"/>
      <c r="N852" s="103"/>
      <c r="O852" s="103"/>
      <c r="P852" s="103"/>
      <c r="Q852" s="103"/>
      <c r="R852" s="83"/>
      <c r="S852" s="103"/>
      <c r="T852" s="103"/>
      <c r="U852" s="103"/>
    </row>
    <row r="853" customFormat="false" ht="22.5" hidden="false" customHeight="true" outlineLevel="0" collapsed="false">
      <c r="A853" s="99"/>
      <c r="B853" s="99"/>
      <c r="C853" s="99"/>
      <c r="D853" s="121"/>
      <c r="E853" s="99"/>
      <c r="F853" s="124"/>
      <c r="G853" s="121"/>
      <c r="H853" s="132" t="b">
        <f aca="false">FALSE()</f>
        <v>0</v>
      </c>
      <c r="I853" s="132" t="b">
        <f aca="false">FALSE()</f>
        <v>0</v>
      </c>
      <c r="J853" s="126"/>
      <c r="K853" s="99"/>
      <c r="L853" s="83"/>
      <c r="M853" s="103"/>
      <c r="N853" s="103"/>
      <c r="O853" s="103"/>
      <c r="P853" s="103"/>
      <c r="Q853" s="103"/>
      <c r="R853" s="83"/>
      <c r="S853" s="103"/>
      <c r="T853" s="103"/>
      <c r="U853" s="103"/>
    </row>
    <row r="854" customFormat="false" ht="22.5" hidden="false" customHeight="true" outlineLevel="0" collapsed="false">
      <c r="A854" s="110"/>
      <c r="B854" s="110"/>
      <c r="C854" s="110"/>
      <c r="D854" s="122"/>
      <c r="E854" s="110"/>
      <c r="F854" s="128"/>
      <c r="G854" s="122"/>
      <c r="H854" s="131" t="b">
        <f aca="false">FALSE()</f>
        <v>0</v>
      </c>
      <c r="I854" s="131" t="b">
        <f aca="false">FALSE()</f>
        <v>0</v>
      </c>
      <c r="J854" s="130"/>
      <c r="K854" s="110"/>
      <c r="L854" s="83"/>
      <c r="M854" s="103"/>
      <c r="N854" s="103"/>
      <c r="O854" s="103"/>
      <c r="P854" s="103"/>
      <c r="Q854" s="103"/>
      <c r="R854" s="83"/>
      <c r="S854" s="103"/>
      <c r="T854" s="103"/>
      <c r="U854" s="103"/>
    </row>
    <row r="855" customFormat="false" ht="22.5" hidden="false" customHeight="true" outlineLevel="0" collapsed="false">
      <c r="A855" s="99"/>
      <c r="B855" s="99"/>
      <c r="C855" s="99"/>
      <c r="D855" s="121"/>
      <c r="E855" s="99"/>
      <c r="F855" s="124"/>
      <c r="G855" s="121"/>
      <c r="H855" s="132" t="b">
        <f aca="false">FALSE()</f>
        <v>0</v>
      </c>
      <c r="I855" s="132" t="b">
        <f aca="false">FALSE()</f>
        <v>0</v>
      </c>
      <c r="J855" s="126"/>
      <c r="K855" s="99"/>
      <c r="L855" s="83"/>
      <c r="M855" s="103"/>
      <c r="N855" s="103"/>
      <c r="O855" s="103"/>
      <c r="P855" s="103"/>
      <c r="Q855" s="103"/>
      <c r="R855" s="83"/>
      <c r="S855" s="103"/>
      <c r="T855" s="103"/>
      <c r="U855" s="103"/>
    </row>
    <row r="856" customFormat="false" ht="22.5" hidden="false" customHeight="true" outlineLevel="0" collapsed="false">
      <c r="A856" s="110"/>
      <c r="B856" s="110"/>
      <c r="C856" s="110"/>
      <c r="D856" s="122"/>
      <c r="E856" s="110"/>
      <c r="F856" s="128"/>
      <c r="G856" s="122"/>
      <c r="H856" s="131" t="b">
        <f aca="false">FALSE()</f>
        <v>0</v>
      </c>
      <c r="I856" s="131" t="b">
        <f aca="false">FALSE()</f>
        <v>0</v>
      </c>
      <c r="J856" s="130"/>
      <c r="K856" s="110"/>
      <c r="L856" s="83"/>
      <c r="M856" s="103"/>
      <c r="N856" s="103"/>
      <c r="O856" s="103"/>
      <c r="P856" s="103"/>
      <c r="Q856" s="103"/>
      <c r="R856" s="83"/>
      <c r="S856" s="103"/>
      <c r="T856" s="103"/>
      <c r="U856" s="103"/>
    </row>
    <row r="857" customFormat="false" ht="22.5" hidden="false" customHeight="true" outlineLevel="0" collapsed="false">
      <c r="A857" s="99"/>
      <c r="B857" s="99"/>
      <c r="C857" s="99"/>
      <c r="D857" s="121"/>
      <c r="E857" s="99"/>
      <c r="F857" s="124"/>
      <c r="G857" s="121"/>
      <c r="H857" s="132" t="b">
        <f aca="false">FALSE()</f>
        <v>0</v>
      </c>
      <c r="I857" s="132" t="b">
        <f aca="false">FALSE()</f>
        <v>0</v>
      </c>
      <c r="J857" s="126"/>
      <c r="K857" s="99"/>
      <c r="L857" s="83"/>
      <c r="M857" s="103"/>
      <c r="N857" s="103"/>
      <c r="O857" s="103"/>
      <c r="P857" s="103"/>
      <c r="Q857" s="103"/>
      <c r="R857" s="83"/>
      <c r="S857" s="103"/>
      <c r="T857" s="103"/>
      <c r="U857" s="103"/>
    </row>
    <row r="858" customFormat="false" ht="22.5" hidden="false" customHeight="true" outlineLevel="0" collapsed="false">
      <c r="A858" s="110"/>
      <c r="B858" s="110"/>
      <c r="C858" s="110"/>
      <c r="D858" s="122"/>
      <c r="E858" s="110"/>
      <c r="F858" s="128"/>
      <c r="G858" s="122"/>
      <c r="H858" s="131" t="b">
        <f aca="false">FALSE()</f>
        <v>0</v>
      </c>
      <c r="I858" s="131" t="b">
        <f aca="false">FALSE()</f>
        <v>0</v>
      </c>
      <c r="J858" s="130"/>
      <c r="K858" s="110"/>
      <c r="L858" s="83"/>
      <c r="M858" s="103"/>
      <c r="N858" s="103"/>
      <c r="O858" s="103"/>
      <c r="P858" s="103"/>
      <c r="Q858" s="103"/>
      <c r="R858" s="83"/>
      <c r="S858" s="103"/>
      <c r="T858" s="103"/>
      <c r="U858" s="103"/>
    </row>
    <row r="859" customFormat="false" ht="22.5" hidden="false" customHeight="true" outlineLevel="0" collapsed="false">
      <c r="A859" s="99"/>
      <c r="B859" s="99"/>
      <c r="C859" s="99"/>
      <c r="D859" s="121"/>
      <c r="E859" s="99"/>
      <c r="F859" s="124"/>
      <c r="G859" s="121"/>
      <c r="H859" s="132" t="b">
        <f aca="false">FALSE()</f>
        <v>0</v>
      </c>
      <c r="I859" s="132" t="b">
        <f aca="false">FALSE()</f>
        <v>0</v>
      </c>
      <c r="J859" s="126"/>
      <c r="K859" s="99"/>
      <c r="L859" s="83"/>
      <c r="M859" s="103"/>
      <c r="N859" s="103"/>
      <c r="O859" s="103"/>
      <c r="P859" s="103"/>
      <c r="Q859" s="103"/>
      <c r="R859" s="83"/>
      <c r="S859" s="103"/>
      <c r="T859" s="103"/>
      <c r="U859" s="103"/>
    </row>
    <row r="860" customFormat="false" ht="22.5" hidden="false" customHeight="true" outlineLevel="0" collapsed="false">
      <c r="A860" s="110"/>
      <c r="B860" s="110"/>
      <c r="C860" s="110"/>
      <c r="D860" s="122"/>
      <c r="E860" s="110"/>
      <c r="F860" s="128"/>
      <c r="G860" s="122"/>
      <c r="H860" s="131" t="b">
        <f aca="false">FALSE()</f>
        <v>0</v>
      </c>
      <c r="I860" s="131" t="b">
        <f aca="false">FALSE()</f>
        <v>0</v>
      </c>
      <c r="J860" s="130"/>
      <c r="K860" s="110"/>
      <c r="L860" s="83"/>
      <c r="M860" s="103"/>
      <c r="N860" s="103"/>
      <c r="O860" s="103"/>
      <c r="P860" s="103"/>
      <c r="Q860" s="103"/>
      <c r="R860" s="83"/>
      <c r="S860" s="103"/>
      <c r="T860" s="103"/>
      <c r="U860" s="103"/>
    </row>
    <row r="861" customFormat="false" ht="22.5" hidden="false" customHeight="true" outlineLevel="0" collapsed="false">
      <c r="A861" s="99"/>
      <c r="B861" s="99"/>
      <c r="C861" s="99"/>
      <c r="D861" s="121"/>
      <c r="E861" s="99"/>
      <c r="F861" s="124"/>
      <c r="G861" s="121"/>
      <c r="H861" s="132" t="b">
        <f aca="false">FALSE()</f>
        <v>0</v>
      </c>
      <c r="I861" s="132" t="b">
        <f aca="false">FALSE()</f>
        <v>0</v>
      </c>
      <c r="J861" s="126"/>
      <c r="K861" s="99"/>
      <c r="L861" s="83"/>
      <c r="M861" s="103"/>
      <c r="N861" s="103"/>
      <c r="O861" s="103"/>
      <c r="P861" s="103"/>
      <c r="Q861" s="103"/>
      <c r="R861" s="83"/>
      <c r="S861" s="103"/>
      <c r="T861" s="103"/>
      <c r="U861" s="103"/>
    </row>
    <row r="862" customFormat="false" ht="22.5" hidden="false" customHeight="true" outlineLevel="0" collapsed="false">
      <c r="A862" s="110"/>
      <c r="B862" s="110"/>
      <c r="C862" s="110"/>
      <c r="D862" s="122"/>
      <c r="E862" s="110"/>
      <c r="F862" s="128"/>
      <c r="G862" s="122"/>
      <c r="H862" s="131" t="b">
        <f aca="false">FALSE()</f>
        <v>0</v>
      </c>
      <c r="I862" s="131" t="b">
        <f aca="false">FALSE()</f>
        <v>0</v>
      </c>
      <c r="J862" s="130"/>
      <c r="K862" s="110"/>
      <c r="L862" s="83"/>
      <c r="M862" s="103"/>
      <c r="N862" s="103"/>
      <c r="O862" s="103"/>
      <c r="P862" s="103"/>
      <c r="Q862" s="103"/>
      <c r="R862" s="83"/>
      <c r="S862" s="103"/>
      <c r="T862" s="103"/>
      <c r="U862" s="103"/>
    </row>
    <row r="863" customFormat="false" ht="22.5" hidden="false" customHeight="true" outlineLevel="0" collapsed="false">
      <c r="A863" s="99"/>
      <c r="B863" s="99"/>
      <c r="C863" s="99"/>
      <c r="D863" s="121"/>
      <c r="E863" s="99"/>
      <c r="F863" s="124"/>
      <c r="G863" s="121"/>
      <c r="H863" s="132" t="b">
        <f aca="false">FALSE()</f>
        <v>0</v>
      </c>
      <c r="I863" s="132" t="b">
        <f aca="false">FALSE()</f>
        <v>0</v>
      </c>
      <c r="J863" s="126"/>
      <c r="K863" s="99"/>
      <c r="L863" s="83"/>
      <c r="M863" s="103"/>
      <c r="N863" s="103"/>
      <c r="O863" s="103"/>
      <c r="P863" s="103"/>
      <c r="Q863" s="103"/>
      <c r="R863" s="83"/>
      <c r="S863" s="103"/>
      <c r="T863" s="103"/>
      <c r="U863" s="103"/>
    </row>
    <row r="864" customFormat="false" ht="22.5" hidden="false" customHeight="true" outlineLevel="0" collapsed="false">
      <c r="A864" s="110"/>
      <c r="B864" s="110"/>
      <c r="C864" s="110"/>
      <c r="D864" s="122"/>
      <c r="E864" s="110"/>
      <c r="F864" s="128"/>
      <c r="G864" s="122"/>
      <c r="H864" s="131" t="b">
        <f aca="false">FALSE()</f>
        <v>0</v>
      </c>
      <c r="I864" s="131" t="b">
        <f aca="false">FALSE()</f>
        <v>0</v>
      </c>
      <c r="J864" s="130"/>
      <c r="K864" s="110"/>
      <c r="L864" s="83"/>
      <c r="M864" s="103"/>
      <c r="N864" s="103"/>
      <c r="O864" s="103"/>
      <c r="P864" s="103"/>
      <c r="Q864" s="103"/>
      <c r="R864" s="83"/>
      <c r="S864" s="103"/>
      <c r="T864" s="103"/>
      <c r="U864" s="103"/>
    </row>
    <row r="865" customFormat="false" ht="22.5" hidden="false" customHeight="true" outlineLevel="0" collapsed="false">
      <c r="A865" s="99"/>
      <c r="B865" s="99"/>
      <c r="C865" s="99"/>
      <c r="D865" s="121"/>
      <c r="E865" s="99"/>
      <c r="F865" s="124"/>
      <c r="G865" s="121"/>
      <c r="H865" s="132" t="b">
        <f aca="false">FALSE()</f>
        <v>0</v>
      </c>
      <c r="I865" s="132" t="b">
        <f aca="false">FALSE()</f>
        <v>0</v>
      </c>
      <c r="J865" s="126"/>
      <c r="K865" s="99"/>
      <c r="L865" s="83"/>
      <c r="M865" s="103"/>
      <c r="N865" s="103"/>
      <c r="O865" s="103"/>
      <c r="P865" s="103"/>
      <c r="Q865" s="103"/>
      <c r="R865" s="83"/>
      <c r="S865" s="103"/>
      <c r="T865" s="103"/>
      <c r="U865" s="103"/>
    </row>
    <row r="866" customFormat="false" ht="22.5" hidden="false" customHeight="true" outlineLevel="0" collapsed="false">
      <c r="A866" s="110"/>
      <c r="B866" s="110"/>
      <c r="C866" s="110"/>
      <c r="D866" s="122"/>
      <c r="E866" s="110"/>
      <c r="F866" s="128"/>
      <c r="G866" s="122"/>
      <c r="H866" s="131" t="b">
        <f aca="false">FALSE()</f>
        <v>0</v>
      </c>
      <c r="I866" s="131" t="b">
        <f aca="false">FALSE()</f>
        <v>0</v>
      </c>
      <c r="J866" s="130"/>
      <c r="K866" s="110"/>
      <c r="L866" s="83"/>
      <c r="M866" s="103"/>
      <c r="N866" s="103"/>
      <c r="O866" s="103"/>
      <c r="P866" s="103"/>
      <c r="Q866" s="103"/>
      <c r="R866" s="83"/>
      <c r="S866" s="103"/>
      <c r="T866" s="103"/>
      <c r="U866" s="103"/>
    </row>
    <row r="867" customFormat="false" ht="22.5" hidden="false" customHeight="true" outlineLevel="0" collapsed="false">
      <c r="A867" s="99"/>
      <c r="B867" s="99"/>
      <c r="C867" s="99"/>
      <c r="D867" s="121"/>
      <c r="E867" s="99"/>
      <c r="F867" s="124"/>
      <c r="G867" s="121"/>
      <c r="H867" s="132" t="b">
        <f aca="false">FALSE()</f>
        <v>0</v>
      </c>
      <c r="I867" s="132" t="b">
        <f aca="false">FALSE()</f>
        <v>0</v>
      </c>
      <c r="J867" s="126"/>
      <c r="K867" s="99"/>
      <c r="L867" s="83"/>
      <c r="M867" s="103"/>
      <c r="N867" s="103"/>
      <c r="O867" s="103"/>
      <c r="P867" s="103"/>
      <c r="Q867" s="103"/>
      <c r="R867" s="83"/>
      <c r="S867" s="103"/>
      <c r="T867" s="103"/>
      <c r="U867" s="103"/>
    </row>
    <row r="868" customFormat="false" ht="22.5" hidden="false" customHeight="true" outlineLevel="0" collapsed="false">
      <c r="A868" s="110"/>
      <c r="B868" s="110"/>
      <c r="C868" s="110"/>
      <c r="D868" s="122"/>
      <c r="E868" s="110"/>
      <c r="F868" s="128"/>
      <c r="G868" s="122"/>
      <c r="H868" s="131" t="b">
        <f aca="false">FALSE()</f>
        <v>0</v>
      </c>
      <c r="I868" s="131" t="b">
        <f aca="false">FALSE()</f>
        <v>0</v>
      </c>
      <c r="J868" s="130"/>
      <c r="K868" s="110"/>
      <c r="L868" s="83"/>
      <c r="M868" s="103"/>
      <c r="N868" s="103"/>
      <c r="O868" s="103"/>
      <c r="P868" s="103"/>
      <c r="Q868" s="103"/>
      <c r="R868" s="83"/>
      <c r="S868" s="103"/>
      <c r="T868" s="103"/>
      <c r="U868" s="103"/>
    </row>
    <row r="869" customFormat="false" ht="22.5" hidden="false" customHeight="true" outlineLevel="0" collapsed="false">
      <c r="A869" s="99"/>
      <c r="B869" s="99"/>
      <c r="C869" s="99"/>
      <c r="D869" s="121"/>
      <c r="E869" s="99"/>
      <c r="F869" s="124"/>
      <c r="G869" s="121"/>
      <c r="H869" s="132" t="b">
        <f aca="false">FALSE()</f>
        <v>0</v>
      </c>
      <c r="I869" s="132" t="b">
        <f aca="false">FALSE()</f>
        <v>0</v>
      </c>
      <c r="J869" s="126"/>
      <c r="K869" s="99"/>
      <c r="L869" s="83"/>
      <c r="M869" s="103"/>
      <c r="N869" s="103"/>
      <c r="O869" s="103"/>
      <c r="P869" s="103"/>
      <c r="Q869" s="103"/>
      <c r="R869" s="83"/>
      <c r="S869" s="103"/>
      <c r="T869" s="103"/>
      <c r="U869" s="103"/>
    </row>
    <row r="870" customFormat="false" ht="22.5" hidden="false" customHeight="true" outlineLevel="0" collapsed="false">
      <c r="A870" s="110"/>
      <c r="B870" s="110"/>
      <c r="C870" s="110"/>
      <c r="D870" s="122"/>
      <c r="E870" s="110"/>
      <c r="F870" s="128"/>
      <c r="G870" s="122"/>
      <c r="H870" s="131" t="b">
        <f aca="false">FALSE()</f>
        <v>0</v>
      </c>
      <c r="I870" s="131" t="b">
        <f aca="false">FALSE()</f>
        <v>0</v>
      </c>
      <c r="J870" s="130"/>
      <c r="K870" s="110"/>
      <c r="L870" s="83"/>
      <c r="M870" s="103"/>
      <c r="N870" s="103"/>
      <c r="O870" s="103"/>
      <c r="P870" s="103"/>
      <c r="Q870" s="103"/>
      <c r="R870" s="83"/>
      <c r="S870" s="103"/>
      <c r="T870" s="103"/>
      <c r="U870" s="103"/>
    </row>
    <row r="871" customFormat="false" ht="22.5" hidden="false" customHeight="true" outlineLevel="0" collapsed="false">
      <c r="A871" s="99"/>
      <c r="B871" s="99"/>
      <c r="C871" s="99"/>
      <c r="D871" s="121"/>
      <c r="E871" s="99"/>
      <c r="F871" s="124"/>
      <c r="G871" s="121"/>
      <c r="H871" s="132" t="b">
        <f aca="false">FALSE()</f>
        <v>0</v>
      </c>
      <c r="I871" s="132" t="b">
        <f aca="false">FALSE()</f>
        <v>0</v>
      </c>
      <c r="J871" s="126"/>
      <c r="K871" s="99"/>
      <c r="L871" s="83"/>
      <c r="M871" s="103"/>
      <c r="N871" s="103"/>
      <c r="O871" s="103"/>
      <c r="P871" s="103"/>
      <c r="Q871" s="103"/>
      <c r="R871" s="83"/>
      <c r="S871" s="103"/>
      <c r="T871" s="103"/>
      <c r="U871" s="103"/>
    </row>
    <row r="872" customFormat="false" ht="22.5" hidden="false" customHeight="true" outlineLevel="0" collapsed="false">
      <c r="A872" s="110"/>
      <c r="B872" s="110"/>
      <c r="C872" s="110"/>
      <c r="D872" s="122"/>
      <c r="E872" s="110"/>
      <c r="F872" s="128"/>
      <c r="G872" s="122"/>
      <c r="H872" s="131" t="b">
        <f aca="false">FALSE()</f>
        <v>0</v>
      </c>
      <c r="I872" s="131" t="b">
        <f aca="false">FALSE()</f>
        <v>0</v>
      </c>
      <c r="J872" s="130"/>
      <c r="K872" s="110"/>
      <c r="L872" s="83"/>
      <c r="M872" s="103"/>
      <c r="N872" s="103"/>
      <c r="O872" s="103"/>
      <c r="P872" s="103"/>
      <c r="Q872" s="103"/>
      <c r="R872" s="83"/>
      <c r="S872" s="103"/>
      <c r="T872" s="103"/>
      <c r="U872" s="103"/>
    </row>
    <row r="873" customFormat="false" ht="22.5" hidden="false" customHeight="true" outlineLevel="0" collapsed="false">
      <c r="A873" s="99"/>
      <c r="B873" s="99"/>
      <c r="C873" s="99"/>
      <c r="D873" s="121"/>
      <c r="E873" s="99"/>
      <c r="F873" s="124"/>
      <c r="G873" s="121"/>
      <c r="H873" s="132" t="b">
        <f aca="false">FALSE()</f>
        <v>0</v>
      </c>
      <c r="I873" s="132" t="b">
        <f aca="false">FALSE()</f>
        <v>0</v>
      </c>
      <c r="J873" s="126"/>
      <c r="K873" s="99"/>
      <c r="L873" s="83"/>
      <c r="M873" s="103"/>
      <c r="N873" s="103"/>
      <c r="O873" s="103"/>
      <c r="P873" s="103"/>
      <c r="Q873" s="103"/>
      <c r="R873" s="83"/>
      <c r="S873" s="103"/>
      <c r="T873" s="103"/>
      <c r="U873" s="103"/>
    </row>
    <row r="874" customFormat="false" ht="22.5" hidden="false" customHeight="true" outlineLevel="0" collapsed="false">
      <c r="A874" s="110"/>
      <c r="B874" s="110"/>
      <c r="C874" s="110"/>
      <c r="D874" s="122"/>
      <c r="E874" s="110"/>
      <c r="F874" s="128"/>
      <c r="G874" s="122"/>
      <c r="H874" s="131" t="b">
        <f aca="false">FALSE()</f>
        <v>0</v>
      </c>
      <c r="I874" s="131" t="b">
        <f aca="false">FALSE()</f>
        <v>0</v>
      </c>
      <c r="J874" s="130"/>
      <c r="K874" s="110"/>
      <c r="L874" s="83"/>
      <c r="M874" s="103"/>
      <c r="N874" s="103"/>
      <c r="O874" s="103"/>
      <c r="P874" s="103"/>
      <c r="Q874" s="103"/>
      <c r="R874" s="83"/>
      <c r="S874" s="103"/>
      <c r="T874" s="103"/>
      <c r="U874" s="103"/>
    </row>
    <row r="875" customFormat="false" ht="22.5" hidden="false" customHeight="true" outlineLevel="0" collapsed="false">
      <c r="A875" s="99"/>
      <c r="B875" s="99"/>
      <c r="C875" s="99"/>
      <c r="D875" s="121"/>
      <c r="E875" s="99"/>
      <c r="F875" s="124"/>
      <c r="G875" s="121"/>
      <c r="H875" s="132" t="b">
        <f aca="false">FALSE()</f>
        <v>0</v>
      </c>
      <c r="I875" s="132" t="b">
        <f aca="false">FALSE()</f>
        <v>0</v>
      </c>
      <c r="J875" s="126"/>
      <c r="K875" s="99"/>
      <c r="L875" s="83"/>
      <c r="M875" s="103"/>
      <c r="N875" s="103"/>
      <c r="O875" s="103"/>
      <c r="P875" s="103"/>
      <c r="Q875" s="103"/>
      <c r="R875" s="83"/>
      <c r="S875" s="103"/>
      <c r="T875" s="103"/>
      <c r="U875" s="103"/>
    </row>
    <row r="876" customFormat="false" ht="22.5" hidden="false" customHeight="true" outlineLevel="0" collapsed="false">
      <c r="A876" s="110"/>
      <c r="B876" s="110"/>
      <c r="C876" s="110"/>
      <c r="D876" s="122"/>
      <c r="E876" s="110"/>
      <c r="F876" s="128"/>
      <c r="G876" s="122"/>
      <c r="H876" s="131" t="b">
        <f aca="false">FALSE()</f>
        <v>0</v>
      </c>
      <c r="I876" s="131" t="b">
        <f aca="false">FALSE()</f>
        <v>0</v>
      </c>
      <c r="J876" s="130"/>
      <c r="K876" s="110"/>
      <c r="L876" s="83"/>
      <c r="M876" s="103"/>
      <c r="N876" s="103"/>
      <c r="O876" s="103"/>
      <c r="P876" s="103"/>
      <c r="Q876" s="103"/>
      <c r="R876" s="83"/>
      <c r="S876" s="103"/>
      <c r="T876" s="103"/>
      <c r="U876" s="103"/>
    </row>
    <row r="877" customFormat="false" ht="22.5" hidden="false" customHeight="true" outlineLevel="0" collapsed="false">
      <c r="A877" s="99"/>
      <c r="B877" s="99"/>
      <c r="C877" s="99"/>
      <c r="D877" s="121"/>
      <c r="E877" s="99"/>
      <c r="F877" s="124"/>
      <c r="G877" s="121"/>
      <c r="H877" s="132" t="b">
        <f aca="false">FALSE()</f>
        <v>0</v>
      </c>
      <c r="I877" s="132" t="b">
        <f aca="false">FALSE()</f>
        <v>0</v>
      </c>
      <c r="J877" s="126"/>
      <c r="K877" s="99"/>
      <c r="L877" s="83"/>
      <c r="M877" s="103"/>
      <c r="N877" s="103"/>
      <c r="O877" s="103"/>
      <c r="P877" s="103"/>
      <c r="Q877" s="103"/>
      <c r="R877" s="83"/>
      <c r="S877" s="103"/>
      <c r="T877" s="103"/>
      <c r="U877" s="103"/>
    </row>
    <row r="878" customFormat="false" ht="22.5" hidden="false" customHeight="true" outlineLevel="0" collapsed="false">
      <c r="A878" s="110"/>
      <c r="B878" s="110"/>
      <c r="C878" s="110"/>
      <c r="D878" s="122"/>
      <c r="E878" s="110"/>
      <c r="F878" s="128"/>
      <c r="G878" s="122"/>
      <c r="H878" s="131" t="b">
        <f aca="false">FALSE()</f>
        <v>0</v>
      </c>
      <c r="I878" s="131" t="b">
        <f aca="false">FALSE()</f>
        <v>0</v>
      </c>
      <c r="J878" s="130"/>
      <c r="K878" s="110"/>
      <c r="L878" s="83"/>
      <c r="M878" s="103"/>
      <c r="N878" s="103"/>
      <c r="O878" s="103"/>
      <c r="P878" s="103"/>
      <c r="Q878" s="103"/>
      <c r="R878" s="83"/>
      <c r="S878" s="103"/>
      <c r="T878" s="103"/>
      <c r="U878" s="103"/>
    </row>
    <row r="879" customFormat="false" ht="22.5" hidden="false" customHeight="true" outlineLevel="0" collapsed="false">
      <c r="A879" s="99"/>
      <c r="B879" s="99"/>
      <c r="C879" s="99"/>
      <c r="D879" s="121"/>
      <c r="E879" s="99"/>
      <c r="F879" s="124"/>
      <c r="G879" s="121"/>
      <c r="H879" s="132" t="b">
        <f aca="false">FALSE()</f>
        <v>0</v>
      </c>
      <c r="I879" s="132" t="b">
        <f aca="false">FALSE()</f>
        <v>0</v>
      </c>
      <c r="J879" s="126"/>
      <c r="K879" s="99"/>
      <c r="L879" s="83"/>
      <c r="M879" s="103"/>
      <c r="N879" s="103"/>
      <c r="O879" s="103"/>
      <c r="P879" s="103"/>
      <c r="Q879" s="103"/>
      <c r="R879" s="83"/>
      <c r="S879" s="103"/>
      <c r="T879" s="103"/>
      <c r="U879" s="103"/>
    </row>
    <row r="880" customFormat="false" ht="22.5" hidden="false" customHeight="true" outlineLevel="0" collapsed="false">
      <c r="A880" s="110"/>
      <c r="B880" s="110"/>
      <c r="C880" s="110"/>
      <c r="D880" s="122"/>
      <c r="E880" s="110"/>
      <c r="F880" s="128"/>
      <c r="G880" s="122"/>
      <c r="H880" s="131" t="b">
        <f aca="false">FALSE()</f>
        <v>0</v>
      </c>
      <c r="I880" s="131" t="b">
        <f aca="false">FALSE()</f>
        <v>0</v>
      </c>
      <c r="J880" s="130"/>
      <c r="K880" s="110"/>
      <c r="L880" s="83"/>
      <c r="M880" s="103"/>
      <c r="N880" s="103"/>
      <c r="O880" s="103"/>
      <c r="P880" s="103"/>
      <c r="Q880" s="103"/>
      <c r="R880" s="83"/>
      <c r="S880" s="103"/>
      <c r="T880" s="103"/>
      <c r="U880" s="103"/>
    </row>
    <row r="881" customFormat="false" ht="22.5" hidden="false" customHeight="true" outlineLevel="0" collapsed="false">
      <c r="A881" s="99"/>
      <c r="B881" s="99"/>
      <c r="C881" s="99"/>
      <c r="D881" s="121"/>
      <c r="E881" s="99"/>
      <c r="F881" s="124"/>
      <c r="G881" s="121"/>
      <c r="H881" s="132" t="b">
        <f aca="false">FALSE()</f>
        <v>0</v>
      </c>
      <c r="I881" s="132" t="b">
        <f aca="false">FALSE()</f>
        <v>0</v>
      </c>
      <c r="J881" s="126"/>
      <c r="K881" s="99"/>
      <c r="L881" s="83"/>
      <c r="M881" s="103"/>
      <c r="N881" s="103"/>
      <c r="O881" s="103"/>
      <c r="P881" s="103"/>
      <c r="Q881" s="103"/>
      <c r="R881" s="83"/>
      <c r="S881" s="103"/>
      <c r="T881" s="103"/>
      <c r="U881" s="103"/>
    </row>
    <row r="882" customFormat="false" ht="22.5" hidden="false" customHeight="true" outlineLevel="0" collapsed="false">
      <c r="A882" s="110"/>
      <c r="B882" s="110"/>
      <c r="C882" s="110"/>
      <c r="D882" s="122"/>
      <c r="E882" s="110"/>
      <c r="F882" s="128"/>
      <c r="G882" s="122"/>
      <c r="H882" s="131" t="b">
        <f aca="false">FALSE()</f>
        <v>0</v>
      </c>
      <c r="I882" s="131" t="b">
        <f aca="false">FALSE()</f>
        <v>0</v>
      </c>
      <c r="J882" s="130"/>
      <c r="K882" s="110"/>
      <c r="L882" s="83"/>
      <c r="M882" s="103"/>
      <c r="N882" s="103"/>
      <c r="O882" s="103"/>
      <c r="P882" s="103"/>
      <c r="Q882" s="103"/>
      <c r="R882" s="83"/>
      <c r="S882" s="103"/>
      <c r="T882" s="103"/>
      <c r="U882" s="103"/>
    </row>
    <row r="883" customFormat="false" ht="22.5" hidden="false" customHeight="true" outlineLevel="0" collapsed="false">
      <c r="A883" s="99"/>
      <c r="B883" s="99"/>
      <c r="C883" s="99"/>
      <c r="D883" s="121"/>
      <c r="E883" s="99"/>
      <c r="F883" s="124"/>
      <c r="G883" s="121"/>
      <c r="H883" s="132" t="b">
        <f aca="false">FALSE()</f>
        <v>0</v>
      </c>
      <c r="I883" s="132" t="b">
        <f aca="false">FALSE()</f>
        <v>0</v>
      </c>
      <c r="J883" s="126"/>
      <c r="K883" s="99"/>
      <c r="L883" s="83"/>
      <c r="M883" s="103"/>
      <c r="N883" s="103"/>
      <c r="O883" s="103"/>
      <c r="P883" s="103"/>
      <c r="Q883" s="103"/>
      <c r="R883" s="83"/>
      <c r="S883" s="103"/>
      <c r="T883" s="103"/>
      <c r="U883" s="103"/>
    </row>
    <row r="884" customFormat="false" ht="22.5" hidden="false" customHeight="true" outlineLevel="0" collapsed="false">
      <c r="A884" s="110"/>
      <c r="B884" s="110"/>
      <c r="C884" s="110"/>
      <c r="D884" s="122"/>
      <c r="E884" s="110"/>
      <c r="F884" s="128"/>
      <c r="G884" s="122"/>
      <c r="H884" s="131" t="b">
        <f aca="false">FALSE()</f>
        <v>0</v>
      </c>
      <c r="I884" s="131" t="b">
        <f aca="false">FALSE()</f>
        <v>0</v>
      </c>
      <c r="J884" s="130"/>
      <c r="K884" s="110"/>
      <c r="L884" s="83"/>
      <c r="M884" s="103"/>
      <c r="N884" s="103"/>
      <c r="O884" s="103"/>
      <c r="P884" s="103"/>
      <c r="Q884" s="103"/>
      <c r="R884" s="83"/>
      <c r="S884" s="103"/>
      <c r="T884" s="103"/>
      <c r="U884" s="103"/>
    </row>
    <row r="885" customFormat="false" ht="22.5" hidden="false" customHeight="true" outlineLevel="0" collapsed="false">
      <c r="A885" s="99"/>
      <c r="B885" s="99"/>
      <c r="C885" s="99"/>
      <c r="D885" s="121"/>
      <c r="E885" s="99"/>
      <c r="F885" s="124"/>
      <c r="G885" s="121"/>
      <c r="H885" s="132" t="b">
        <f aca="false">FALSE()</f>
        <v>0</v>
      </c>
      <c r="I885" s="132" t="b">
        <f aca="false">FALSE()</f>
        <v>0</v>
      </c>
      <c r="J885" s="126"/>
      <c r="K885" s="99"/>
      <c r="L885" s="83"/>
      <c r="M885" s="103"/>
      <c r="N885" s="103"/>
      <c r="O885" s="103"/>
      <c r="P885" s="103"/>
      <c r="Q885" s="103"/>
      <c r="R885" s="83"/>
      <c r="S885" s="103"/>
      <c r="T885" s="103"/>
      <c r="U885" s="103"/>
    </row>
    <row r="886" customFormat="false" ht="22.5" hidden="false" customHeight="true" outlineLevel="0" collapsed="false">
      <c r="A886" s="110"/>
      <c r="B886" s="110"/>
      <c r="C886" s="110"/>
      <c r="D886" s="122"/>
      <c r="E886" s="110"/>
      <c r="F886" s="128"/>
      <c r="G886" s="122"/>
      <c r="H886" s="131" t="b">
        <f aca="false">FALSE()</f>
        <v>0</v>
      </c>
      <c r="I886" s="131" t="b">
        <f aca="false">FALSE()</f>
        <v>0</v>
      </c>
      <c r="J886" s="130"/>
      <c r="K886" s="110"/>
      <c r="L886" s="83"/>
      <c r="M886" s="103"/>
      <c r="N886" s="103"/>
      <c r="O886" s="103"/>
      <c r="P886" s="103"/>
      <c r="Q886" s="103"/>
      <c r="R886" s="83"/>
      <c r="S886" s="103"/>
      <c r="T886" s="103"/>
      <c r="U886" s="103"/>
    </row>
    <row r="887" customFormat="false" ht="22.5" hidden="false" customHeight="true" outlineLevel="0" collapsed="false">
      <c r="A887" s="99"/>
      <c r="B887" s="99"/>
      <c r="C887" s="99"/>
      <c r="D887" s="121"/>
      <c r="E887" s="99"/>
      <c r="F887" s="124"/>
      <c r="G887" s="121"/>
      <c r="H887" s="132" t="b">
        <f aca="false">FALSE()</f>
        <v>0</v>
      </c>
      <c r="I887" s="132" t="b">
        <f aca="false">FALSE()</f>
        <v>0</v>
      </c>
      <c r="J887" s="126"/>
      <c r="K887" s="99"/>
      <c r="L887" s="83"/>
      <c r="M887" s="103"/>
      <c r="N887" s="103"/>
      <c r="O887" s="103"/>
      <c r="P887" s="103"/>
      <c r="Q887" s="103"/>
      <c r="R887" s="83"/>
      <c r="S887" s="103"/>
      <c r="T887" s="103"/>
      <c r="U887" s="103"/>
    </row>
    <row r="888" customFormat="false" ht="22.5" hidden="false" customHeight="true" outlineLevel="0" collapsed="false">
      <c r="A888" s="110"/>
      <c r="B888" s="110"/>
      <c r="C888" s="110"/>
      <c r="D888" s="122"/>
      <c r="E888" s="110"/>
      <c r="F888" s="128"/>
      <c r="G888" s="122"/>
      <c r="H888" s="131" t="b">
        <f aca="false">FALSE()</f>
        <v>0</v>
      </c>
      <c r="I888" s="131" t="b">
        <f aca="false">FALSE()</f>
        <v>0</v>
      </c>
      <c r="J888" s="130"/>
      <c r="K888" s="110"/>
      <c r="L888" s="83"/>
      <c r="M888" s="103"/>
      <c r="N888" s="103"/>
      <c r="O888" s="103"/>
      <c r="P888" s="103"/>
      <c r="Q888" s="103"/>
      <c r="R888" s="83"/>
      <c r="S888" s="103"/>
      <c r="T888" s="103"/>
      <c r="U888" s="103"/>
    </row>
    <row r="889" customFormat="false" ht="22.5" hidden="false" customHeight="true" outlineLevel="0" collapsed="false">
      <c r="A889" s="99"/>
      <c r="B889" s="99"/>
      <c r="C889" s="99"/>
      <c r="D889" s="121"/>
      <c r="E889" s="99"/>
      <c r="F889" s="124"/>
      <c r="G889" s="121"/>
      <c r="H889" s="132" t="b">
        <f aca="false">FALSE()</f>
        <v>0</v>
      </c>
      <c r="I889" s="132" t="b">
        <f aca="false">FALSE()</f>
        <v>0</v>
      </c>
      <c r="J889" s="126"/>
      <c r="K889" s="99"/>
      <c r="L889" s="83"/>
      <c r="M889" s="103"/>
      <c r="N889" s="103"/>
      <c r="O889" s="103"/>
      <c r="P889" s="103"/>
      <c r="Q889" s="103"/>
      <c r="R889" s="83"/>
      <c r="S889" s="103"/>
      <c r="T889" s="103"/>
      <c r="U889" s="103"/>
    </row>
    <row r="890" customFormat="false" ht="22.5" hidden="false" customHeight="true" outlineLevel="0" collapsed="false">
      <c r="A890" s="110"/>
      <c r="B890" s="110"/>
      <c r="C890" s="110"/>
      <c r="D890" s="122"/>
      <c r="E890" s="110"/>
      <c r="F890" s="128"/>
      <c r="G890" s="122"/>
      <c r="H890" s="131" t="b">
        <f aca="false">FALSE()</f>
        <v>0</v>
      </c>
      <c r="I890" s="131" t="b">
        <f aca="false">FALSE()</f>
        <v>0</v>
      </c>
      <c r="J890" s="130"/>
      <c r="K890" s="110"/>
      <c r="L890" s="83"/>
      <c r="M890" s="103"/>
      <c r="N890" s="103"/>
      <c r="O890" s="103"/>
      <c r="P890" s="103"/>
      <c r="Q890" s="103"/>
      <c r="R890" s="83"/>
      <c r="S890" s="103"/>
      <c r="T890" s="103"/>
      <c r="U890" s="103"/>
    </row>
    <row r="891" customFormat="false" ht="22.5" hidden="false" customHeight="true" outlineLevel="0" collapsed="false">
      <c r="A891" s="99"/>
      <c r="B891" s="99"/>
      <c r="C891" s="99"/>
      <c r="D891" s="121"/>
      <c r="E891" s="99"/>
      <c r="F891" s="124"/>
      <c r="G891" s="121"/>
      <c r="H891" s="132" t="b">
        <f aca="false">FALSE()</f>
        <v>0</v>
      </c>
      <c r="I891" s="132" t="b">
        <f aca="false">FALSE()</f>
        <v>0</v>
      </c>
      <c r="J891" s="126"/>
      <c r="K891" s="99"/>
      <c r="L891" s="83"/>
      <c r="M891" s="103"/>
      <c r="N891" s="103"/>
      <c r="O891" s="103"/>
      <c r="P891" s="103"/>
      <c r="Q891" s="103"/>
      <c r="R891" s="83"/>
      <c r="S891" s="103"/>
      <c r="T891" s="103"/>
      <c r="U891" s="103"/>
    </row>
    <row r="892" customFormat="false" ht="22.5" hidden="false" customHeight="true" outlineLevel="0" collapsed="false">
      <c r="A892" s="110"/>
      <c r="B892" s="110"/>
      <c r="C892" s="110"/>
      <c r="D892" s="122"/>
      <c r="E892" s="110"/>
      <c r="F892" s="128"/>
      <c r="G892" s="122"/>
      <c r="H892" s="131" t="b">
        <f aca="false">FALSE()</f>
        <v>0</v>
      </c>
      <c r="I892" s="131" t="b">
        <f aca="false">FALSE()</f>
        <v>0</v>
      </c>
      <c r="J892" s="130"/>
      <c r="K892" s="110"/>
      <c r="L892" s="83"/>
      <c r="M892" s="103"/>
      <c r="N892" s="103"/>
      <c r="O892" s="103"/>
      <c r="P892" s="103"/>
      <c r="Q892" s="103"/>
      <c r="R892" s="83"/>
      <c r="S892" s="103"/>
      <c r="T892" s="103"/>
      <c r="U892" s="103"/>
    </row>
    <row r="893" customFormat="false" ht="22.5" hidden="false" customHeight="true" outlineLevel="0" collapsed="false">
      <c r="A893" s="99"/>
      <c r="B893" s="99"/>
      <c r="C893" s="99"/>
      <c r="D893" s="121"/>
      <c r="E893" s="99"/>
      <c r="F893" s="124"/>
      <c r="G893" s="121"/>
      <c r="H893" s="132" t="b">
        <f aca="false">FALSE()</f>
        <v>0</v>
      </c>
      <c r="I893" s="132" t="b">
        <f aca="false">FALSE()</f>
        <v>0</v>
      </c>
      <c r="J893" s="126"/>
      <c r="K893" s="99"/>
      <c r="L893" s="83"/>
      <c r="M893" s="103"/>
      <c r="N893" s="103"/>
      <c r="O893" s="103"/>
      <c r="P893" s="103"/>
      <c r="Q893" s="103"/>
      <c r="R893" s="83"/>
      <c r="S893" s="103"/>
      <c r="T893" s="103"/>
      <c r="U893" s="103"/>
    </row>
    <row r="894" customFormat="false" ht="22.5" hidden="false" customHeight="true" outlineLevel="0" collapsed="false">
      <c r="A894" s="110"/>
      <c r="B894" s="110"/>
      <c r="C894" s="110"/>
      <c r="D894" s="122"/>
      <c r="E894" s="110"/>
      <c r="F894" s="128"/>
      <c r="G894" s="122"/>
      <c r="H894" s="131" t="b">
        <f aca="false">FALSE()</f>
        <v>0</v>
      </c>
      <c r="I894" s="131" t="b">
        <f aca="false">FALSE()</f>
        <v>0</v>
      </c>
      <c r="J894" s="130"/>
      <c r="K894" s="110"/>
      <c r="L894" s="83"/>
      <c r="M894" s="103"/>
      <c r="N894" s="103"/>
      <c r="O894" s="103"/>
      <c r="P894" s="103"/>
      <c r="Q894" s="103"/>
      <c r="R894" s="83"/>
      <c r="S894" s="103"/>
      <c r="T894" s="103"/>
      <c r="U894" s="103"/>
    </row>
    <row r="895" customFormat="false" ht="22.5" hidden="false" customHeight="true" outlineLevel="0" collapsed="false">
      <c r="A895" s="99"/>
      <c r="B895" s="99"/>
      <c r="C895" s="99"/>
      <c r="D895" s="121"/>
      <c r="E895" s="99"/>
      <c r="F895" s="124"/>
      <c r="G895" s="121"/>
      <c r="H895" s="132" t="b">
        <f aca="false">FALSE()</f>
        <v>0</v>
      </c>
      <c r="I895" s="132" t="b">
        <f aca="false">FALSE()</f>
        <v>0</v>
      </c>
      <c r="J895" s="126"/>
      <c r="K895" s="99"/>
      <c r="L895" s="83"/>
      <c r="M895" s="103"/>
      <c r="N895" s="103"/>
      <c r="O895" s="103"/>
      <c r="P895" s="103"/>
      <c r="Q895" s="103"/>
      <c r="R895" s="83"/>
      <c r="S895" s="103"/>
      <c r="T895" s="103"/>
      <c r="U895" s="103"/>
    </row>
    <row r="896" customFormat="false" ht="22.5" hidden="false" customHeight="true" outlineLevel="0" collapsed="false">
      <c r="A896" s="110"/>
      <c r="B896" s="110"/>
      <c r="C896" s="110"/>
      <c r="D896" s="122"/>
      <c r="E896" s="110"/>
      <c r="F896" s="128"/>
      <c r="G896" s="122"/>
      <c r="H896" s="131" t="b">
        <f aca="false">FALSE()</f>
        <v>0</v>
      </c>
      <c r="I896" s="131" t="b">
        <f aca="false">FALSE()</f>
        <v>0</v>
      </c>
      <c r="J896" s="130"/>
      <c r="K896" s="110"/>
      <c r="L896" s="83"/>
      <c r="M896" s="103"/>
      <c r="N896" s="103"/>
      <c r="O896" s="103"/>
      <c r="P896" s="103"/>
      <c r="Q896" s="103"/>
      <c r="R896" s="83"/>
      <c r="S896" s="103"/>
      <c r="T896" s="103"/>
      <c r="U896" s="103"/>
    </row>
    <row r="897" customFormat="false" ht="22.5" hidden="false" customHeight="true" outlineLevel="0" collapsed="false">
      <c r="A897" s="99"/>
      <c r="B897" s="99"/>
      <c r="C897" s="99"/>
      <c r="D897" s="121"/>
      <c r="E897" s="99"/>
      <c r="F897" s="124"/>
      <c r="G897" s="121"/>
      <c r="H897" s="132" t="b">
        <f aca="false">FALSE()</f>
        <v>0</v>
      </c>
      <c r="I897" s="132" t="b">
        <f aca="false">FALSE()</f>
        <v>0</v>
      </c>
      <c r="J897" s="126"/>
      <c r="K897" s="99"/>
      <c r="L897" s="83"/>
      <c r="M897" s="103"/>
      <c r="N897" s="103"/>
      <c r="O897" s="103"/>
      <c r="P897" s="103"/>
      <c r="Q897" s="103"/>
      <c r="R897" s="83"/>
      <c r="S897" s="103"/>
      <c r="T897" s="103"/>
      <c r="U897" s="103"/>
    </row>
    <row r="898" customFormat="false" ht="22.5" hidden="false" customHeight="true" outlineLevel="0" collapsed="false">
      <c r="A898" s="110"/>
      <c r="B898" s="110"/>
      <c r="C898" s="110"/>
      <c r="D898" s="122"/>
      <c r="E898" s="110"/>
      <c r="F898" s="128"/>
      <c r="G898" s="122"/>
      <c r="H898" s="131" t="b">
        <f aca="false">FALSE()</f>
        <v>0</v>
      </c>
      <c r="I898" s="131" t="b">
        <f aca="false">FALSE()</f>
        <v>0</v>
      </c>
      <c r="J898" s="130"/>
      <c r="K898" s="110"/>
      <c r="L898" s="83"/>
      <c r="M898" s="103"/>
      <c r="N898" s="103"/>
      <c r="O898" s="103"/>
      <c r="P898" s="103"/>
      <c r="Q898" s="103"/>
      <c r="R898" s="83"/>
      <c r="S898" s="103"/>
      <c r="T898" s="103"/>
      <c r="U898" s="103"/>
    </row>
    <row r="899" customFormat="false" ht="22.5" hidden="false" customHeight="true" outlineLevel="0" collapsed="false">
      <c r="A899" s="99"/>
      <c r="B899" s="99"/>
      <c r="C899" s="99"/>
      <c r="D899" s="121"/>
      <c r="E899" s="99"/>
      <c r="F899" s="124"/>
      <c r="G899" s="121"/>
      <c r="H899" s="132" t="b">
        <f aca="false">FALSE()</f>
        <v>0</v>
      </c>
      <c r="I899" s="132" t="b">
        <f aca="false">FALSE()</f>
        <v>0</v>
      </c>
      <c r="J899" s="126"/>
      <c r="K899" s="99"/>
      <c r="L899" s="83"/>
      <c r="M899" s="103"/>
      <c r="N899" s="103"/>
      <c r="O899" s="103"/>
      <c r="P899" s="103"/>
      <c r="Q899" s="103"/>
      <c r="R899" s="83"/>
      <c r="S899" s="103"/>
      <c r="T899" s="103"/>
      <c r="U899" s="103"/>
    </row>
    <row r="900" customFormat="false" ht="22.5" hidden="false" customHeight="true" outlineLevel="0" collapsed="false">
      <c r="A900" s="110"/>
      <c r="B900" s="110"/>
      <c r="C900" s="110"/>
      <c r="D900" s="122"/>
      <c r="E900" s="110"/>
      <c r="F900" s="128"/>
      <c r="G900" s="122"/>
      <c r="H900" s="131" t="b">
        <f aca="false">FALSE()</f>
        <v>0</v>
      </c>
      <c r="I900" s="131" t="b">
        <f aca="false">FALSE()</f>
        <v>0</v>
      </c>
      <c r="J900" s="130"/>
      <c r="K900" s="110"/>
      <c r="L900" s="83"/>
      <c r="M900" s="103"/>
      <c r="N900" s="103"/>
      <c r="O900" s="103"/>
      <c r="P900" s="103"/>
      <c r="Q900" s="103"/>
      <c r="R900" s="83"/>
      <c r="S900" s="103"/>
      <c r="T900" s="103"/>
      <c r="U900" s="103"/>
    </row>
    <row r="901" customFormat="false" ht="22.5" hidden="false" customHeight="true" outlineLevel="0" collapsed="false">
      <c r="A901" s="99"/>
      <c r="B901" s="99"/>
      <c r="C901" s="99"/>
      <c r="D901" s="121"/>
      <c r="E901" s="99"/>
      <c r="F901" s="124"/>
      <c r="G901" s="121"/>
      <c r="H901" s="132" t="b">
        <f aca="false">FALSE()</f>
        <v>0</v>
      </c>
      <c r="I901" s="132" t="b">
        <f aca="false">FALSE()</f>
        <v>0</v>
      </c>
      <c r="J901" s="126"/>
      <c r="K901" s="99"/>
      <c r="L901" s="83"/>
      <c r="M901" s="103"/>
      <c r="N901" s="103"/>
      <c r="O901" s="103"/>
      <c r="P901" s="103"/>
      <c r="Q901" s="103"/>
      <c r="R901" s="83"/>
      <c r="S901" s="103"/>
      <c r="T901" s="103"/>
      <c r="U901" s="103"/>
    </row>
    <row r="902" customFormat="false" ht="22.5" hidden="false" customHeight="true" outlineLevel="0" collapsed="false">
      <c r="A902" s="110"/>
      <c r="B902" s="110"/>
      <c r="C902" s="110"/>
      <c r="D902" s="122"/>
      <c r="E902" s="110"/>
      <c r="F902" s="128"/>
      <c r="G902" s="122"/>
      <c r="H902" s="131" t="b">
        <f aca="false">FALSE()</f>
        <v>0</v>
      </c>
      <c r="I902" s="131" t="b">
        <f aca="false">FALSE()</f>
        <v>0</v>
      </c>
      <c r="J902" s="130"/>
      <c r="K902" s="110"/>
      <c r="L902" s="83"/>
      <c r="M902" s="103"/>
      <c r="N902" s="103"/>
      <c r="O902" s="103"/>
      <c r="P902" s="103"/>
      <c r="Q902" s="103"/>
      <c r="R902" s="83"/>
      <c r="S902" s="103"/>
      <c r="T902" s="103"/>
      <c r="U902" s="103"/>
    </row>
    <row r="903" customFormat="false" ht="22.5" hidden="false" customHeight="true" outlineLevel="0" collapsed="false">
      <c r="A903" s="99"/>
      <c r="B903" s="99"/>
      <c r="C903" s="99"/>
      <c r="D903" s="121"/>
      <c r="E903" s="99"/>
      <c r="F903" s="124"/>
      <c r="G903" s="121"/>
      <c r="H903" s="132" t="b">
        <f aca="false">FALSE()</f>
        <v>0</v>
      </c>
      <c r="I903" s="132" t="b">
        <f aca="false">FALSE()</f>
        <v>0</v>
      </c>
      <c r="J903" s="126"/>
      <c r="K903" s="99"/>
      <c r="L903" s="83"/>
      <c r="M903" s="103"/>
      <c r="N903" s="103"/>
      <c r="O903" s="103"/>
      <c r="P903" s="103"/>
      <c r="Q903" s="103"/>
      <c r="R903" s="83"/>
      <c r="S903" s="103"/>
      <c r="T903" s="103"/>
      <c r="U903" s="103"/>
    </row>
    <row r="904" customFormat="false" ht="22.5" hidden="false" customHeight="true" outlineLevel="0" collapsed="false">
      <c r="A904" s="110"/>
      <c r="B904" s="110"/>
      <c r="C904" s="110"/>
      <c r="D904" s="122"/>
      <c r="E904" s="110"/>
      <c r="F904" s="128"/>
      <c r="G904" s="122"/>
      <c r="H904" s="131" t="b">
        <f aca="false">FALSE()</f>
        <v>0</v>
      </c>
      <c r="I904" s="131" t="b">
        <f aca="false">FALSE()</f>
        <v>0</v>
      </c>
      <c r="J904" s="130"/>
      <c r="K904" s="110"/>
      <c r="L904" s="83"/>
      <c r="M904" s="103"/>
      <c r="N904" s="103"/>
      <c r="O904" s="103"/>
      <c r="P904" s="103"/>
      <c r="Q904" s="103"/>
      <c r="R904" s="83"/>
      <c r="S904" s="103"/>
      <c r="T904" s="103"/>
      <c r="U904" s="103"/>
    </row>
    <row r="905" customFormat="false" ht="22.5" hidden="false" customHeight="true" outlineLevel="0" collapsed="false">
      <c r="A905" s="99"/>
      <c r="B905" s="99"/>
      <c r="C905" s="99"/>
      <c r="D905" s="121"/>
      <c r="E905" s="99"/>
      <c r="F905" s="124"/>
      <c r="G905" s="121"/>
      <c r="H905" s="132" t="b">
        <f aca="false">FALSE()</f>
        <v>0</v>
      </c>
      <c r="I905" s="132" t="b">
        <f aca="false">FALSE()</f>
        <v>0</v>
      </c>
      <c r="J905" s="126"/>
      <c r="K905" s="99"/>
      <c r="L905" s="83"/>
      <c r="M905" s="103"/>
      <c r="N905" s="103"/>
      <c r="O905" s="103"/>
      <c r="P905" s="103"/>
      <c r="Q905" s="103"/>
      <c r="R905" s="83"/>
      <c r="S905" s="103"/>
      <c r="T905" s="103"/>
      <c r="U905" s="103"/>
    </row>
    <row r="906" customFormat="false" ht="22.5" hidden="false" customHeight="true" outlineLevel="0" collapsed="false">
      <c r="A906" s="110"/>
      <c r="B906" s="110"/>
      <c r="C906" s="110"/>
      <c r="D906" s="122"/>
      <c r="E906" s="110"/>
      <c r="F906" s="128"/>
      <c r="G906" s="122"/>
      <c r="H906" s="131" t="b">
        <f aca="false">FALSE()</f>
        <v>0</v>
      </c>
      <c r="I906" s="131" t="b">
        <f aca="false">FALSE()</f>
        <v>0</v>
      </c>
      <c r="J906" s="130"/>
      <c r="K906" s="110"/>
      <c r="L906" s="83"/>
      <c r="M906" s="103"/>
      <c r="N906" s="103"/>
      <c r="O906" s="103"/>
      <c r="P906" s="103"/>
      <c r="Q906" s="103"/>
      <c r="R906" s="83"/>
      <c r="S906" s="103"/>
      <c r="T906" s="103"/>
      <c r="U906" s="103"/>
    </row>
    <row r="907" customFormat="false" ht="22.5" hidden="false" customHeight="true" outlineLevel="0" collapsed="false">
      <c r="A907" s="99"/>
      <c r="B907" s="99"/>
      <c r="C907" s="99"/>
      <c r="D907" s="121"/>
      <c r="E907" s="99"/>
      <c r="F907" s="124"/>
      <c r="G907" s="121"/>
      <c r="H907" s="132" t="b">
        <f aca="false">FALSE()</f>
        <v>0</v>
      </c>
      <c r="I907" s="132" t="b">
        <f aca="false">FALSE()</f>
        <v>0</v>
      </c>
      <c r="J907" s="126"/>
      <c r="K907" s="99"/>
      <c r="L907" s="83"/>
      <c r="M907" s="103"/>
      <c r="N907" s="103"/>
      <c r="O907" s="103"/>
      <c r="P907" s="103"/>
      <c r="Q907" s="103"/>
      <c r="R907" s="83"/>
      <c r="S907" s="103"/>
      <c r="T907" s="103"/>
      <c r="U907" s="103"/>
    </row>
    <row r="908" customFormat="false" ht="22.5" hidden="false" customHeight="true" outlineLevel="0" collapsed="false">
      <c r="A908" s="110"/>
      <c r="B908" s="110"/>
      <c r="C908" s="110"/>
      <c r="D908" s="122"/>
      <c r="E908" s="110"/>
      <c r="F908" s="128"/>
      <c r="G908" s="122"/>
      <c r="H908" s="131" t="b">
        <f aca="false">FALSE()</f>
        <v>0</v>
      </c>
      <c r="I908" s="131" t="b">
        <f aca="false">FALSE()</f>
        <v>0</v>
      </c>
      <c r="J908" s="130"/>
      <c r="K908" s="110"/>
      <c r="L908" s="83"/>
      <c r="M908" s="103"/>
      <c r="N908" s="103"/>
      <c r="O908" s="103"/>
      <c r="P908" s="103"/>
      <c r="Q908" s="103"/>
      <c r="R908" s="83"/>
      <c r="S908" s="103"/>
      <c r="T908" s="103"/>
      <c r="U908" s="103"/>
    </row>
    <row r="909" customFormat="false" ht="22.5" hidden="false" customHeight="true" outlineLevel="0" collapsed="false">
      <c r="A909" s="99"/>
      <c r="B909" s="99"/>
      <c r="C909" s="99"/>
      <c r="D909" s="121"/>
      <c r="E909" s="99"/>
      <c r="F909" s="124"/>
      <c r="G909" s="121"/>
      <c r="H909" s="132" t="b">
        <f aca="false">FALSE()</f>
        <v>0</v>
      </c>
      <c r="I909" s="132" t="b">
        <f aca="false">FALSE()</f>
        <v>0</v>
      </c>
      <c r="J909" s="126"/>
      <c r="K909" s="99"/>
      <c r="L909" s="83"/>
      <c r="M909" s="103"/>
      <c r="N909" s="103"/>
      <c r="O909" s="103"/>
      <c r="P909" s="103"/>
      <c r="Q909" s="103"/>
      <c r="R909" s="83"/>
      <c r="S909" s="103"/>
      <c r="T909" s="103"/>
      <c r="U909" s="103"/>
    </row>
    <row r="910" customFormat="false" ht="22.5" hidden="false" customHeight="true" outlineLevel="0" collapsed="false">
      <c r="A910" s="110"/>
      <c r="B910" s="110"/>
      <c r="C910" s="110"/>
      <c r="D910" s="122"/>
      <c r="E910" s="110"/>
      <c r="F910" s="128"/>
      <c r="G910" s="122"/>
      <c r="H910" s="131" t="b">
        <f aca="false">FALSE()</f>
        <v>0</v>
      </c>
      <c r="I910" s="131" t="b">
        <f aca="false">FALSE()</f>
        <v>0</v>
      </c>
      <c r="J910" s="130"/>
      <c r="K910" s="110"/>
      <c r="L910" s="83"/>
      <c r="M910" s="103"/>
      <c r="N910" s="103"/>
      <c r="O910" s="103"/>
      <c r="P910" s="103"/>
      <c r="Q910" s="103"/>
      <c r="R910" s="83"/>
      <c r="S910" s="103"/>
      <c r="T910" s="103"/>
      <c r="U910" s="103"/>
    </row>
    <row r="911" customFormat="false" ht="22.5" hidden="false" customHeight="true" outlineLevel="0" collapsed="false">
      <c r="A911" s="99"/>
      <c r="B911" s="99"/>
      <c r="C911" s="99"/>
      <c r="D911" s="121"/>
      <c r="E911" s="99"/>
      <c r="F911" s="124"/>
      <c r="G911" s="121"/>
      <c r="H911" s="132" t="b">
        <f aca="false">FALSE()</f>
        <v>0</v>
      </c>
      <c r="I911" s="132" t="b">
        <f aca="false">FALSE()</f>
        <v>0</v>
      </c>
      <c r="J911" s="126"/>
      <c r="K911" s="99"/>
      <c r="L911" s="83"/>
      <c r="M911" s="103"/>
      <c r="N911" s="103"/>
      <c r="O911" s="103"/>
      <c r="P911" s="103"/>
      <c r="Q911" s="103"/>
      <c r="R911" s="83"/>
      <c r="S911" s="103"/>
      <c r="T911" s="103"/>
      <c r="U911" s="103"/>
    </row>
    <row r="912" customFormat="false" ht="22.5" hidden="false" customHeight="true" outlineLevel="0" collapsed="false">
      <c r="A912" s="110"/>
      <c r="B912" s="110"/>
      <c r="C912" s="110"/>
      <c r="D912" s="122"/>
      <c r="E912" s="110"/>
      <c r="F912" s="128"/>
      <c r="G912" s="122"/>
      <c r="H912" s="131" t="b">
        <f aca="false">FALSE()</f>
        <v>0</v>
      </c>
      <c r="I912" s="131" t="b">
        <f aca="false">FALSE()</f>
        <v>0</v>
      </c>
      <c r="J912" s="130"/>
      <c r="K912" s="110"/>
      <c r="L912" s="83"/>
      <c r="M912" s="103"/>
      <c r="N912" s="103"/>
      <c r="O912" s="103"/>
      <c r="P912" s="103"/>
      <c r="Q912" s="103"/>
      <c r="R912" s="83"/>
      <c r="S912" s="103"/>
      <c r="T912" s="103"/>
      <c r="U912" s="103"/>
    </row>
    <row r="913" customFormat="false" ht="22.5" hidden="false" customHeight="true" outlineLevel="0" collapsed="false">
      <c r="A913" s="99"/>
      <c r="B913" s="99"/>
      <c r="C913" s="99"/>
      <c r="D913" s="121"/>
      <c r="E913" s="99"/>
      <c r="F913" s="124"/>
      <c r="G913" s="121"/>
      <c r="H913" s="132" t="b">
        <f aca="false">FALSE()</f>
        <v>0</v>
      </c>
      <c r="I913" s="132" t="b">
        <f aca="false">FALSE()</f>
        <v>0</v>
      </c>
      <c r="J913" s="126"/>
      <c r="K913" s="99"/>
      <c r="L913" s="83"/>
      <c r="M913" s="103"/>
      <c r="N913" s="103"/>
      <c r="O913" s="103"/>
      <c r="P913" s="103"/>
      <c r="Q913" s="103"/>
      <c r="R913" s="83"/>
      <c r="S913" s="103"/>
      <c r="T913" s="103"/>
      <c r="U913" s="103"/>
    </row>
    <row r="914" customFormat="false" ht="22.5" hidden="false" customHeight="true" outlineLevel="0" collapsed="false">
      <c r="A914" s="110"/>
      <c r="B914" s="110"/>
      <c r="C914" s="110"/>
      <c r="D914" s="122"/>
      <c r="E914" s="110"/>
      <c r="F914" s="128"/>
      <c r="G914" s="122"/>
      <c r="H914" s="131" t="b">
        <f aca="false">FALSE()</f>
        <v>0</v>
      </c>
      <c r="I914" s="131" t="b">
        <f aca="false">FALSE()</f>
        <v>0</v>
      </c>
      <c r="J914" s="130"/>
      <c r="K914" s="110"/>
      <c r="L914" s="83"/>
      <c r="M914" s="103"/>
      <c r="N914" s="103"/>
      <c r="O914" s="103"/>
      <c r="P914" s="103"/>
      <c r="Q914" s="103"/>
      <c r="R914" s="83"/>
      <c r="S914" s="103"/>
      <c r="T914" s="103"/>
      <c r="U914" s="103"/>
    </row>
    <row r="915" customFormat="false" ht="22.5" hidden="false" customHeight="true" outlineLevel="0" collapsed="false">
      <c r="A915" s="99"/>
      <c r="B915" s="99"/>
      <c r="C915" s="99"/>
      <c r="D915" s="121"/>
      <c r="E915" s="99"/>
      <c r="F915" s="124"/>
      <c r="G915" s="121"/>
      <c r="H915" s="132" t="b">
        <f aca="false">FALSE()</f>
        <v>0</v>
      </c>
      <c r="I915" s="132" t="b">
        <f aca="false">FALSE()</f>
        <v>0</v>
      </c>
      <c r="J915" s="126"/>
      <c r="K915" s="99"/>
      <c r="L915" s="83"/>
      <c r="M915" s="103"/>
      <c r="N915" s="103"/>
      <c r="O915" s="103"/>
      <c r="P915" s="103"/>
      <c r="Q915" s="103"/>
      <c r="R915" s="83"/>
      <c r="S915" s="103"/>
      <c r="T915" s="103"/>
      <c r="U915" s="103"/>
    </row>
    <row r="916" customFormat="false" ht="22.5" hidden="false" customHeight="true" outlineLevel="0" collapsed="false">
      <c r="A916" s="110"/>
      <c r="B916" s="110"/>
      <c r="C916" s="110"/>
      <c r="D916" s="122"/>
      <c r="E916" s="110"/>
      <c r="F916" s="128"/>
      <c r="G916" s="122"/>
      <c r="H916" s="131" t="b">
        <f aca="false">FALSE()</f>
        <v>0</v>
      </c>
      <c r="I916" s="131" t="b">
        <f aca="false">FALSE()</f>
        <v>0</v>
      </c>
      <c r="J916" s="130"/>
      <c r="K916" s="110"/>
      <c r="L916" s="83"/>
      <c r="M916" s="103"/>
      <c r="N916" s="103"/>
      <c r="O916" s="103"/>
      <c r="P916" s="103"/>
      <c r="Q916" s="103"/>
      <c r="R916" s="83"/>
      <c r="S916" s="103"/>
      <c r="T916" s="103"/>
      <c r="U916" s="103"/>
    </row>
    <row r="917" customFormat="false" ht="22.5" hidden="false" customHeight="true" outlineLevel="0" collapsed="false">
      <c r="A917" s="99"/>
      <c r="B917" s="99"/>
      <c r="C917" s="99"/>
      <c r="D917" s="121"/>
      <c r="E917" s="99"/>
      <c r="F917" s="124"/>
      <c r="G917" s="121"/>
      <c r="H917" s="132" t="b">
        <f aca="false">FALSE()</f>
        <v>0</v>
      </c>
      <c r="I917" s="132" t="b">
        <f aca="false">FALSE()</f>
        <v>0</v>
      </c>
      <c r="J917" s="126"/>
      <c r="K917" s="99"/>
      <c r="L917" s="83"/>
      <c r="M917" s="103"/>
      <c r="N917" s="103"/>
      <c r="O917" s="103"/>
      <c r="P917" s="103"/>
      <c r="Q917" s="103"/>
      <c r="R917" s="83"/>
      <c r="S917" s="103"/>
      <c r="T917" s="103"/>
      <c r="U917" s="103"/>
    </row>
    <row r="918" customFormat="false" ht="22.5" hidden="false" customHeight="true" outlineLevel="0" collapsed="false">
      <c r="A918" s="110"/>
      <c r="B918" s="110"/>
      <c r="C918" s="110"/>
      <c r="D918" s="122"/>
      <c r="E918" s="110"/>
      <c r="F918" s="128"/>
      <c r="G918" s="122"/>
      <c r="H918" s="131" t="b">
        <f aca="false">FALSE()</f>
        <v>0</v>
      </c>
      <c r="I918" s="131" t="b">
        <f aca="false">FALSE()</f>
        <v>0</v>
      </c>
      <c r="J918" s="130"/>
      <c r="K918" s="110"/>
      <c r="L918" s="83"/>
      <c r="M918" s="103"/>
      <c r="N918" s="103"/>
      <c r="O918" s="103"/>
      <c r="P918" s="103"/>
      <c r="Q918" s="103"/>
      <c r="R918" s="83"/>
      <c r="S918" s="103"/>
      <c r="T918" s="103"/>
      <c r="U918" s="103"/>
    </row>
    <row r="919" customFormat="false" ht="22.5" hidden="false" customHeight="true" outlineLevel="0" collapsed="false">
      <c r="A919" s="99"/>
      <c r="B919" s="99"/>
      <c r="C919" s="99"/>
      <c r="D919" s="121"/>
      <c r="E919" s="99"/>
      <c r="F919" s="124"/>
      <c r="G919" s="121"/>
      <c r="H919" s="132" t="b">
        <f aca="false">FALSE()</f>
        <v>0</v>
      </c>
      <c r="I919" s="132" t="b">
        <f aca="false">FALSE()</f>
        <v>0</v>
      </c>
      <c r="J919" s="126"/>
      <c r="K919" s="99"/>
      <c r="L919" s="83"/>
      <c r="M919" s="103"/>
      <c r="N919" s="103"/>
      <c r="O919" s="103"/>
      <c r="P919" s="103"/>
      <c r="Q919" s="103"/>
      <c r="R919" s="83"/>
      <c r="S919" s="103"/>
      <c r="T919" s="103"/>
      <c r="U919" s="103"/>
    </row>
    <row r="920" customFormat="false" ht="22.5" hidden="false" customHeight="true" outlineLevel="0" collapsed="false">
      <c r="A920" s="110"/>
      <c r="B920" s="110"/>
      <c r="C920" s="110"/>
      <c r="D920" s="122"/>
      <c r="E920" s="110"/>
      <c r="F920" s="128"/>
      <c r="G920" s="122"/>
      <c r="H920" s="131" t="b">
        <f aca="false">FALSE()</f>
        <v>0</v>
      </c>
      <c r="I920" s="131" t="b">
        <f aca="false">FALSE()</f>
        <v>0</v>
      </c>
      <c r="J920" s="130"/>
      <c r="K920" s="110"/>
      <c r="L920" s="83"/>
      <c r="M920" s="103"/>
      <c r="N920" s="103"/>
      <c r="O920" s="103"/>
      <c r="P920" s="103"/>
      <c r="Q920" s="103"/>
      <c r="R920" s="83"/>
      <c r="S920" s="103"/>
      <c r="T920" s="103"/>
      <c r="U920" s="103"/>
    </row>
    <row r="921" customFormat="false" ht="22.5" hidden="false" customHeight="true" outlineLevel="0" collapsed="false">
      <c r="A921" s="99"/>
      <c r="B921" s="99"/>
      <c r="C921" s="99"/>
      <c r="D921" s="121"/>
      <c r="E921" s="99"/>
      <c r="F921" s="124"/>
      <c r="G921" s="121"/>
      <c r="H921" s="132" t="b">
        <f aca="false">FALSE()</f>
        <v>0</v>
      </c>
      <c r="I921" s="132" t="b">
        <f aca="false">FALSE()</f>
        <v>0</v>
      </c>
      <c r="J921" s="126"/>
      <c r="K921" s="99"/>
      <c r="L921" s="83"/>
      <c r="M921" s="103"/>
      <c r="N921" s="103"/>
      <c r="O921" s="103"/>
      <c r="P921" s="103"/>
      <c r="Q921" s="103"/>
      <c r="R921" s="83"/>
      <c r="S921" s="103"/>
      <c r="T921" s="103"/>
      <c r="U921" s="103"/>
    </row>
    <row r="922" customFormat="false" ht="22.5" hidden="false" customHeight="true" outlineLevel="0" collapsed="false">
      <c r="A922" s="110"/>
      <c r="B922" s="110"/>
      <c r="C922" s="110"/>
      <c r="D922" s="122"/>
      <c r="E922" s="110"/>
      <c r="F922" s="128"/>
      <c r="G922" s="122"/>
      <c r="H922" s="131" t="b">
        <f aca="false">FALSE()</f>
        <v>0</v>
      </c>
      <c r="I922" s="131" t="b">
        <f aca="false">FALSE()</f>
        <v>0</v>
      </c>
      <c r="J922" s="130"/>
      <c r="K922" s="110"/>
      <c r="L922" s="83"/>
      <c r="M922" s="103"/>
      <c r="N922" s="103"/>
      <c r="O922" s="103"/>
      <c r="P922" s="103"/>
      <c r="Q922" s="103"/>
      <c r="R922" s="83"/>
      <c r="S922" s="103"/>
      <c r="T922" s="103"/>
      <c r="U922" s="103"/>
    </row>
    <row r="923" customFormat="false" ht="22.5" hidden="false" customHeight="true" outlineLevel="0" collapsed="false">
      <c r="A923" s="99"/>
      <c r="B923" s="99"/>
      <c r="C923" s="99"/>
      <c r="D923" s="121"/>
      <c r="E923" s="99"/>
      <c r="F923" s="124"/>
      <c r="G923" s="121"/>
      <c r="H923" s="132" t="b">
        <f aca="false">FALSE()</f>
        <v>0</v>
      </c>
      <c r="I923" s="132" t="b">
        <f aca="false">FALSE()</f>
        <v>0</v>
      </c>
      <c r="J923" s="126"/>
      <c r="K923" s="99"/>
      <c r="L923" s="83"/>
      <c r="M923" s="103"/>
      <c r="N923" s="103"/>
      <c r="O923" s="103"/>
      <c r="P923" s="103"/>
      <c r="Q923" s="103"/>
      <c r="R923" s="83"/>
      <c r="S923" s="103"/>
      <c r="T923" s="103"/>
      <c r="U923" s="103"/>
    </row>
    <row r="924" customFormat="false" ht="22.5" hidden="false" customHeight="true" outlineLevel="0" collapsed="false">
      <c r="A924" s="110"/>
      <c r="B924" s="110"/>
      <c r="C924" s="110"/>
      <c r="D924" s="122"/>
      <c r="E924" s="110"/>
      <c r="F924" s="128"/>
      <c r="G924" s="122"/>
      <c r="H924" s="131" t="b">
        <f aca="false">FALSE()</f>
        <v>0</v>
      </c>
      <c r="I924" s="131" t="b">
        <f aca="false">FALSE()</f>
        <v>0</v>
      </c>
      <c r="J924" s="130"/>
      <c r="K924" s="110"/>
      <c r="L924" s="83"/>
      <c r="M924" s="103"/>
      <c r="N924" s="103"/>
      <c r="O924" s="103"/>
      <c r="P924" s="103"/>
      <c r="Q924" s="103"/>
      <c r="R924" s="83"/>
      <c r="S924" s="103"/>
      <c r="T924" s="103"/>
      <c r="U924" s="103"/>
    </row>
    <row r="925" customFormat="false" ht="22.5" hidden="false" customHeight="true" outlineLevel="0" collapsed="false">
      <c r="A925" s="99"/>
      <c r="B925" s="99"/>
      <c r="C925" s="99"/>
      <c r="D925" s="121"/>
      <c r="E925" s="99"/>
      <c r="F925" s="124"/>
      <c r="G925" s="121"/>
      <c r="H925" s="132" t="b">
        <f aca="false">FALSE()</f>
        <v>0</v>
      </c>
      <c r="I925" s="132" t="b">
        <f aca="false">FALSE()</f>
        <v>0</v>
      </c>
      <c r="J925" s="126"/>
      <c r="K925" s="99"/>
      <c r="L925" s="83"/>
      <c r="M925" s="103"/>
      <c r="N925" s="103"/>
      <c r="O925" s="103"/>
      <c r="P925" s="103"/>
      <c r="Q925" s="103"/>
      <c r="R925" s="83"/>
      <c r="S925" s="103"/>
      <c r="T925" s="103"/>
      <c r="U925" s="103"/>
    </row>
    <row r="926" customFormat="false" ht="22.5" hidden="false" customHeight="true" outlineLevel="0" collapsed="false">
      <c r="A926" s="110"/>
      <c r="B926" s="110"/>
      <c r="C926" s="110"/>
      <c r="D926" s="122"/>
      <c r="E926" s="110"/>
      <c r="F926" s="128"/>
      <c r="G926" s="122"/>
      <c r="H926" s="131" t="b">
        <f aca="false">FALSE()</f>
        <v>0</v>
      </c>
      <c r="I926" s="131" t="b">
        <f aca="false">FALSE()</f>
        <v>0</v>
      </c>
      <c r="J926" s="130"/>
      <c r="K926" s="110"/>
      <c r="L926" s="83"/>
      <c r="M926" s="103"/>
      <c r="N926" s="103"/>
      <c r="O926" s="103"/>
      <c r="P926" s="103"/>
      <c r="Q926" s="103"/>
      <c r="R926" s="83"/>
      <c r="S926" s="103"/>
      <c r="T926" s="103"/>
      <c r="U926" s="103"/>
    </row>
    <row r="927" customFormat="false" ht="22.5" hidden="false" customHeight="true" outlineLevel="0" collapsed="false">
      <c r="A927" s="99"/>
      <c r="B927" s="99"/>
      <c r="C927" s="99"/>
      <c r="D927" s="121"/>
      <c r="E927" s="99"/>
      <c r="F927" s="124"/>
      <c r="G927" s="121"/>
      <c r="H927" s="132" t="b">
        <f aca="false">FALSE()</f>
        <v>0</v>
      </c>
      <c r="I927" s="132" t="b">
        <f aca="false">FALSE()</f>
        <v>0</v>
      </c>
      <c r="J927" s="126"/>
      <c r="K927" s="99"/>
      <c r="L927" s="83"/>
      <c r="M927" s="103"/>
      <c r="N927" s="103"/>
      <c r="O927" s="103"/>
      <c r="P927" s="103"/>
      <c r="Q927" s="103"/>
      <c r="R927" s="83"/>
      <c r="S927" s="103"/>
      <c r="T927" s="103"/>
      <c r="U927" s="103"/>
    </row>
    <row r="928" customFormat="false" ht="22.5" hidden="false" customHeight="true" outlineLevel="0" collapsed="false">
      <c r="A928" s="110"/>
      <c r="B928" s="110"/>
      <c r="C928" s="110"/>
      <c r="D928" s="122"/>
      <c r="E928" s="110"/>
      <c r="F928" s="128"/>
      <c r="G928" s="122"/>
      <c r="H928" s="131" t="b">
        <f aca="false">FALSE()</f>
        <v>0</v>
      </c>
      <c r="I928" s="131" t="b">
        <f aca="false">FALSE()</f>
        <v>0</v>
      </c>
      <c r="J928" s="130"/>
      <c r="K928" s="110"/>
      <c r="L928" s="83"/>
      <c r="M928" s="103"/>
      <c r="N928" s="103"/>
      <c r="O928" s="103"/>
      <c r="P928" s="103"/>
      <c r="Q928" s="103"/>
      <c r="R928" s="83"/>
      <c r="S928" s="103"/>
      <c r="T928" s="103"/>
      <c r="U928" s="103"/>
    </row>
    <row r="929" customFormat="false" ht="22.5" hidden="false" customHeight="true" outlineLevel="0" collapsed="false">
      <c r="A929" s="99"/>
      <c r="B929" s="99"/>
      <c r="C929" s="99"/>
      <c r="D929" s="121"/>
      <c r="E929" s="99"/>
      <c r="F929" s="124"/>
      <c r="G929" s="121"/>
      <c r="H929" s="132" t="b">
        <f aca="false">FALSE()</f>
        <v>0</v>
      </c>
      <c r="I929" s="132" t="b">
        <f aca="false">FALSE()</f>
        <v>0</v>
      </c>
      <c r="J929" s="126"/>
      <c r="K929" s="99"/>
      <c r="L929" s="83"/>
      <c r="M929" s="103"/>
      <c r="N929" s="103"/>
      <c r="O929" s="103"/>
      <c r="P929" s="103"/>
      <c r="Q929" s="103"/>
      <c r="R929" s="83"/>
      <c r="S929" s="103"/>
      <c r="T929" s="103"/>
      <c r="U929" s="103"/>
    </row>
    <row r="930" customFormat="false" ht="22.5" hidden="false" customHeight="true" outlineLevel="0" collapsed="false">
      <c r="A930" s="110"/>
      <c r="B930" s="110"/>
      <c r="C930" s="110"/>
      <c r="D930" s="122"/>
      <c r="E930" s="110"/>
      <c r="F930" s="128"/>
      <c r="G930" s="122"/>
      <c r="H930" s="131" t="b">
        <f aca="false">FALSE()</f>
        <v>0</v>
      </c>
      <c r="I930" s="131" t="b">
        <f aca="false">FALSE()</f>
        <v>0</v>
      </c>
      <c r="J930" s="130"/>
      <c r="K930" s="110"/>
      <c r="L930" s="83"/>
      <c r="M930" s="103"/>
      <c r="N930" s="103"/>
      <c r="O930" s="103"/>
      <c r="P930" s="103"/>
      <c r="Q930" s="103"/>
      <c r="R930" s="83"/>
      <c r="S930" s="103"/>
      <c r="T930" s="103"/>
      <c r="U930" s="103"/>
    </row>
    <row r="931" customFormat="false" ht="22.5" hidden="false" customHeight="true" outlineLevel="0" collapsed="false">
      <c r="A931" s="99"/>
      <c r="B931" s="99"/>
      <c r="C931" s="99"/>
      <c r="D931" s="121"/>
      <c r="E931" s="99"/>
      <c r="F931" s="124"/>
      <c r="G931" s="121"/>
      <c r="H931" s="132" t="b">
        <f aca="false">FALSE()</f>
        <v>0</v>
      </c>
      <c r="I931" s="132" t="b">
        <f aca="false">FALSE()</f>
        <v>0</v>
      </c>
      <c r="J931" s="126"/>
      <c r="K931" s="99"/>
      <c r="L931" s="83"/>
      <c r="M931" s="103"/>
      <c r="N931" s="103"/>
      <c r="O931" s="103"/>
      <c r="P931" s="103"/>
      <c r="Q931" s="103"/>
      <c r="R931" s="83"/>
      <c r="S931" s="103"/>
      <c r="T931" s="103"/>
      <c r="U931" s="103"/>
    </row>
    <row r="932" customFormat="false" ht="22.5" hidden="false" customHeight="true" outlineLevel="0" collapsed="false">
      <c r="A932" s="110"/>
      <c r="B932" s="110"/>
      <c r="C932" s="110"/>
      <c r="D932" s="122"/>
      <c r="E932" s="110"/>
      <c r="F932" s="128"/>
      <c r="G932" s="122"/>
      <c r="H932" s="131" t="b">
        <f aca="false">FALSE()</f>
        <v>0</v>
      </c>
      <c r="I932" s="131" t="b">
        <f aca="false">FALSE()</f>
        <v>0</v>
      </c>
      <c r="J932" s="130"/>
      <c r="K932" s="110"/>
      <c r="L932" s="83"/>
      <c r="M932" s="103"/>
      <c r="N932" s="103"/>
      <c r="O932" s="103"/>
      <c r="P932" s="103"/>
      <c r="Q932" s="103"/>
      <c r="R932" s="83"/>
      <c r="S932" s="103"/>
      <c r="T932" s="103"/>
      <c r="U932" s="103"/>
    </row>
    <row r="933" customFormat="false" ht="22.5" hidden="false" customHeight="true" outlineLevel="0" collapsed="false">
      <c r="A933" s="99"/>
      <c r="B933" s="99"/>
      <c r="C933" s="99"/>
      <c r="D933" s="121"/>
      <c r="E933" s="99"/>
      <c r="F933" s="124"/>
      <c r="G933" s="121"/>
      <c r="H933" s="132" t="b">
        <f aca="false">FALSE()</f>
        <v>0</v>
      </c>
      <c r="I933" s="132" t="b">
        <f aca="false">FALSE()</f>
        <v>0</v>
      </c>
      <c r="J933" s="126"/>
      <c r="K933" s="99"/>
      <c r="L933" s="83"/>
      <c r="M933" s="103"/>
      <c r="N933" s="103"/>
      <c r="O933" s="103"/>
      <c r="P933" s="103"/>
      <c r="Q933" s="103"/>
      <c r="R933" s="83"/>
      <c r="S933" s="103"/>
      <c r="T933" s="103"/>
      <c r="U933" s="103"/>
    </row>
    <row r="934" customFormat="false" ht="22.5" hidden="false" customHeight="true" outlineLevel="0" collapsed="false">
      <c r="A934" s="110"/>
      <c r="B934" s="110"/>
      <c r="C934" s="110"/>
      <c r="D934" s="122"/>
      <c r="E934" s="110"/>
      <c r="F934" s="128"/>
      <c r="G934" s="122"/>
      <c r="H934" s="131" t="b">
        <f aca="false">FALSE()</f>
        <v>0</v>
      </c>
      <c r="I934" s="131" t="b">
        <f aca="false">FALSE()</f>
        <v>0</v>
      </c>
      <c r="J934" s="130"/>
      <c r="K934" s="110"/>
      <c r="L934" s="83"/>
      <c r="M934" s="103"/>
      <c r="N934" s="103"/>
      <c r="O934" s="103"/>
      <c r="P934" s="103"/>
      <c r="Q934" s="103"/>
      <c r="R934" s="83"/>
      <c r="S934" s="103"/>
      <c r="T934" s="103"/>
      <c r="U934" s="103"/>
    </row>
    <row r="935" customFormat="false" ht="22.5" hidden="false" customHeight="true" outlineLevel="0" collapsed="false">
      <c r="A935" s="99"/>
      <c r="B935" s="99"/>
      <c r="C935" s="99"/>
      <c r="D935" s="121"/>
      <c r="E935" s="99"/>
      <c r="F935" s="124"/>
      <c r="G935" s="121"/>
      <c r="H935" s="132" t="b">
        <f aca="false">FALSE()</f>
        <v>0</v>
      </c>
      <c r="I935" s="132" t="b">
        <f aca="false">FALSE()</f>
        <v>0</v>
      </c>
      <c r="J935" s="126"/>
      <c r="K935" s="99"/>
      <c r="L935" s="83"/>
      <c r="M935" s="103"/>
      <c r="N935" s="103"/>
      <c r="O935" s="103"/>
      <c r="P935" s="103"/>
      <c r="Q935" s="103"/>
      <c r="R935" s="83"/>
      <c r="S935" s="103"/>
      <c r="T935" s="103"/>
      <c r="U935" s="103"/>
    </row>
    <row r="936" customFormat="false" ht="22.5" hidden="false" customHeight="true" outlineLevel="0" collapsed="false">
      <c r="A936" s="110"/>
      <c r="B936" s="110"/>
      <c r="C936" s="110"/>
      <c r="D936" s="122"/>
      <c r="E936" s="110"/>
      <c r="F936" s="128"/>
      <c r="G936" s="122"/>
      <c r="H936" s="131" t="b">
        <f aca="false">FALSE()</f>
        <v>0</v>
      </c>
      <c r="I936" s="131" t="b">
        <f aca="false">FALSE()</f>
        <v>0</v>
      </c>
      <c r="J936" s="130"/>
      <c r="K936" s="110"/>
      <c r="L936" s="83"/>
      <c r="M936" s="103"/>
      <c r="N936" s="103"/>
      <c r="O936" s="103"/>
      <c r="P936" s="103"/>
      <c r="Q936" s="103"/>
      <c r="R936" s="83"/>
      <c r="S936" s="103"/>
      <c r="T936" s="103"/>
      <c r="U936" s="103"/>
    </row>
    <row r="937" customFormat="false" ht="22.5" hidden="false" customHeight="true" outlineLevel="0" collapsed="false">
      <c r="A937" s="99"/>
      <c r="B937" s="99"/>
      <c r="C937" s="99"/>
      <c r="D937" s="121"/>
      <c r="E937" s="99"/>
      <c r="F937" s="124"/>
      <c r="G937" s="121"/>
      <c r="H937" s="132" t="b">
        <f aca="false">FALSE()</f>
        <v>0</v>
      </c>
      <c r="I937" s="132" t="b">
        <f aca="false">FALSE()</f>
        <v>0</v>
      </c>
      <c r="J937" s="126"/>
      <c r="K937" s="99"/>
      <c r="L937" s="83"/>
      <c r="M937" s="103"/>
      <c r="N937" s="103"/>
      <c r="O937" s="103"/>
      <c r="P937" s="103"/>
      <c r="Q937" s="103"/>
      <c r="R937" s="83"/>
      <c r="S937" s="103"/>
      <c r="T937" s="103"/>
      <c r="U937" s="103"/>
    </row>
    <row r="938" customFormat="false" ht="22.5" hidden="false" customHeight="true" outlineLevel="0" collapsed="false">
      <c r="A938" s="110"/>
      <c r="B938" s="110"/>
      <c r="C938" s="110"/>
      <c r="D938" s="122"/>
      <c r="E938" s="110"/>
      <c r="F938" s="128"/>
      <c r="G938" s="122"/>
      <c r="H938" s="131" t="b">
        <f aca="false">FALSE()</f>
        <v>0</v>
      </c>
      <c r="I938" s="131" t="b">
        <f aca="false">FALSE()</f>
        <v>0</v>
      </c>
      <c r="J938" s="130"/>
      <c r="K938" s="110"/>
      <c r="L938" s="83"/>
      <c r="M938" s="103"/>
      <c r="N938" s="103"/>
      <c r="O938" s="103"/>
      <c r="P938" s="103"/>
      <c r="Q938" s="103"/>
      <c r="R938" s="83"/>
      <c r="S938" s="103"/>
      <c r="T938" s="103"/>
      <c r="U938" s="103"/>
    </row>
    <row r="939" customFormat="false" ht="22.5" hidden="false" customHeight="true" outlineLevel="0" collapsed="false">
      <c r="A939" s="99"/>
      <c r="B939" s="99"/>
      <c r="C939" s="99"/>
      <c r="D939" s="121"/>
      <c r="E939" s="99"/>
      <c r="F939" s="124"/>
      <c r="G939" s="121"/>
      <c r="H939" s="132" t="b">
        <f aca="false">FALSE()</f>
        <v>0</v>
      </c>
      <c r="I939" s="132" t="b">
        <f aca="false">FALSE()</f>
        <v>0</v>
      </c>
      <c r="J939" s="126"/>
      <c r="K939" s="99"/>
      <c r="L939" s="83"/>
      <c r="M939" s="103"/>
      <c r="N939" s="103"/>
      <c r="O939" s="103"/>
      <c r="P939" s="103"/>
      <c r="Q939" s="103"/>
      <c r="R939" s="83"/>
      <c r="S939" s="103"/>
      <c r="T939" s="103"/>
      <c r="U939" s="103"/>
    </row>
    <row r="940" customFormat="false" ht="22.5" hidden="false" customHeight="true" outlineLevel="0" collapsed="false">
      <c r="A940" s="110"/>
      <c r="B940" s="110"/>
      <c r="C940" s="110"/>
      <c r="D940" s="122"/>
      <c r="E940" s="110"/>
      <c r="F940" s="128"/>
      <c r="G940" s="122"/>
      <c r="H940" s="131" t="b">
        <f aca="false">FALSE()</f>
        <v>0</v>
      </c>
      <c r="I940" s="131" t="b">
        <f aca="false">FALSE()</f>
        <v>0</v>
      </c>
      <c r="J940" s="130"/>
      <c r="K940" s="110"/>
      <c r="L940" s="83"/>
      <c r="M940" s="103"/>
      <c r="N940" s="103"/>
      <c r="O940" s="103"/>
      <c r="P940" s="103"/>
      <c r="Q940" s="103"/>
      <c r="R940" s="83"/>
      <c r="S940" s="103"/>
      <c r="T940" s="103"/>
      <c r="U940" s="103"/>
    </row>
    <row r="941" customFormat="false" ht="22.5" hidden="false" customHeight="true" outlineLevel="0" collapsed="false">
      <c r="A941" s="99"/>
      <c r="B941" s="99"/>
      <c r="C941" s="99"/>
      <c r="D941" s="121"/>
      <c r="E941" s="99"/>
      <c r="F941" s="124"/>
      <c r="G941" s="121"/>
      <c r="H941" s="132" t="b">
        <f aca="false">FALSE()</f>
        <v>0</v>
      </c>
      <c r="I941" s="132" t="b">
        <f aca="false">FALSE()</f>
        <v>0</v>
      </c>
      <c r="J941" s="126"/>
      <c r="K941" s="99"/>
      <c r="L941" s="83"/>
      <c r="M941" s="103"/>
      <c r="N941" s="103"/>
      <c r="O941" s="103"/>
      <c r="P941" s="103"/>
      <c r="Q941" s="103"/>
      <c r="R941" s="83"/>
      <c r="S941" s="103"/>
      <c r="T941" s="103"/>
      <c r="U941" s="103"/>
    </row>
    <row r="942" customFormat="false" ht="22.5" hidden="false" customHeight="true" outlineLevel="0" collapsed="false">
      <c r="A942" s="110"/>
      <c r="B942" s="110"/>
      <c r="C942" s="110"/>
      <c r="D942" s="122"/>
      <c r="E942" s="110"/>
      <c r="F942" s="128"/>
      <c r="G942" s="122"/>
      <c r="H942" s="131" t="b">
        <f aca="false">FALSE()</f>
        <v>0</v>
      </c>
      <c r="I942" s="131" t="b">
        <f aca="false">FALSE()</f>
        <v>0</v>
      </c>
      <c r="J942" s="130"/>
      <c r="K942" s="110"/>
      <c r="L942" s="83"/>
      <c r="M942" s="103"/>
      <c r="N942" s="103"/>
      <c r="O942" s="103"/>
      <c r="P942" s="103"/>
      <c r="Q942" s="103"/>
      <c r="R942" s="83"/>
      <c r="S942" s="103"/>
      <c r="T942" s="103"/>
      <c r="U942" s="103"/>
    </row>
    <row r="943" customFormat="false" ht="22.5" hidden="false" customHeight="true" outlineLevel="0" collapsed="false">
      <c r="A943" s="99"/>
      <c r="B943" s="99"/>
      <c r="C943" s="99"/>
      <c r="D943" s="121"/>
      <c r="E943" s="99"/>
      <c r="F943" s="124"/>
      <c r="G943" s="121"/>
      <c r="H943" s="132" t="b">
        <f aca="false">FALSE()</f>
        <v>0</v>
      </c>
      <c r="I943" s="132" t="b">
        <f aca="false">FALSE()</f>
        <v>0</v>
      </c>
      <c r="J943" s="126"/>
      <c r="K943" s="99"/>
      <c r="L943" s="83"/>
      <c r="M943" s="103"/>
      <c r="N943" s="103"/>
      <c r="O943" s="103"/>
      <c r="P943" s="103"/>
      <c r="Q943" s="103"/>
      <c r="R943" s="83"/>
      <c r="S943" s="103"/>
      <c r="T943" s="103"/>
      <c r="U943" s="103"/>
    </row>
    <row r="944" customFormat="false" ht="22.5" hidden="false" customHeight="true" outlineLevel="0" collapsed="false">
      <c r="A944" s="110"/>
      <c r="B944" s="110"/>
      <c r="C944" s="110"/>
      <c r="D944" s="122"/>
      <c r="E944" s="110"/>
      <c r="F944" s="128"/>
      <c r="G944" s="122"/>
      <c r="H944" s="131" t="b">
        <f aca="false">FALSE()</f>
        <v>0</v>
      </c>
      <c r="I944" s="131" t="b">
        <f aca="false">FALSE()</f>
        <v>0</v>
      </c>
      <c r="J944" s="130"/>
      <c r="K944" s="110"/>
      <c r="L944" s="83"/>
      <c r="M944" s="103"/>
      <c r="N944" s="103"/>
      <c r="O944" s="103"/>
      <c r="P944" s="103"/>
      <c r="Q944" s="103"/>
      <c r="R944" s="83"/>
      <c r="S944" s="103"/>
      <c r="T944" s="103"/>
      <c r="U944" s="103"/>
    </row>
    <row r="945" customFormat="false" ht="22.5" hidden="false" customHeight="true" outlineLevel="0" collapsed="false">
      <c r="A945" s="99"/>
      <c r="B945" s="99"/>
      <c r="C945" s="99"/>
      <c r="D945" s="121"/>
      <c r="E945" s="99"/>
      <c r="F945" s="124"/>
      <c r="G945" s="121"/>
      <c r="H945" s="132" t="b">
        <f aca="false">FALSE()</f>
        <v>0</v>
      </c>
      <c r="I945" s="132" t="b">
        <f aca="false">FALSE()</f>
        <v>0</v>
      </c>
      <c r="J945" s="126"/>
      <c r="K945" s="99"/>
      <c r="L945" s="83"/>
      <c r="M945" s="103"/>
      <c r="N945" s="103"/>
      <c r="O945" s="103"/>
      <c r="P945" s="103"/>
      <c r="Q945" s="103"/>
      <c r="R945" s="83"/>
      <c r="S945" s="103"/>
      <c r="T945" s="103"/>
      <c r="U945" s="103"/>
    </row>
    <row r="946" customFormat="false" ht="22.5" hidden="false" customHeight="true" outlineLevel="0" collapsed="false">
      <c r="A946" s="110"/>
      <c r="B946" s="110"/>
      <c r="C946" s="110"/>
      <c r="D946" s="122"/>
      <c r="E946" s="110"/>
      <c r="F946" s="128"/>
      <c r="G946" s="122"/>
      <c r="H946" s="131" t="b">
        <f aca="false">FALSE()</f>
        <v>0</v>
      </c>
      <c r="I946" s="131" t="b">
        <f aca="false">FALSE()</f>
        <v>0</v>
      </c>
      <c r="J946" s="130"/>
      <c r="K946" s="110"/>
      <c r="L946" s="83"/>
      <c r="M946" s="103"/>
      <c r="N946" s="103"/>
      <c r="O946" s="103"/>
      <c r="P946" s="103"/>
      <c r="Q946" s="103"/>
      <c r="R946" s="83"/>
      <c r="S946" s="103"/>
      <c r="T946" s="103"/>
      <c r="U946" s="103"/>
    </row>
    <row r="947" customFormat="false" ht="22.5" hidden="false" customHeight="true" outlineLevel="0" collapsed="false">
      <c r="A947" s="99"/>
      <c r="B947" s="99"/>
      <c r="C947" s="99"/>
      <c r="D947" s="121"/>
      <c r="E947" s="99"/>
      <c r="F947" s="124"/>
      <c r="G947" s="121"/>
      <c r="H947" s="132" t="b">
        <f aca="false">FALSE()</f>
        <v>0</v>
      </c>
      <c r="I947" s="132" t="b">
        <f aca="false">FALSE()</f>
        <v>0</v>
      </c>
      <c r="J947" s="126"/>
      <c r="K947" s="99"/>
      <c r="L947" s="83"/>
      <c r="M947" s="103"/>
      <c r="N947" s="103"/>
      <c r="O947" s="103"/>
      <c r="P947" s="103"/>
      <c r="Q947" s="103"/>
      <c r="R947" s="83"/>
      <c r="S947" s="103"/>
      <c r="T947" s="103"/>
      <c r="U947" s="103"/>
    </row>
    <row r="948" customFormat="false" ht="22.5" hidden="false" customHeight="true" outlineLevel="0" collapsed="false">
      <c r="A948" s="110"/>
      <c r="B948" s="110"/>
      <c r="C948" s="110"/>
      <c r="D948" s="122"/>
      <c r="E948" s="110"/>
      <c r="F948" s="128"/>
      <c r="G948" s="122"/>
      <c r="H948" s="131" t="b">
        <f aca="false">FALSE()</f>
        <v>0</v>
      </c>
      <c r="I948" s="131" t="b">
        <f aca="false">FALSE()</f>
        <v>0</v>
      </c>
      <c r="J948" s="130"/>
      <c r="K948" s="110"/>
      <c r="L948" s="83"/>
      <c r="M948" s="103"/>
      <c r="N948" s="103"/>
      <c r="O948" s="103"/>
      <c r="P948" s="103"/>
      <c r="Q948" s="103"/>
      <c r="R948" s="83"/>
      <c r="S948" s="103"/>
      <c r="T948" s="103"/>
      <c r="U948" s="103"/>
    </row>
    <row r="949" customFormat="false" ht="22.5" hidden="false" customHeight="true" outlineLevel="0" collapsed="false">
      <c r="A949" s="99"/>
      <c r="B949" s="99"/>
      <c r="C949" s="99"/>
      <c r="D949" s="121"/>
      <c r="E949" s="99"/>
      <c r="F949" s="124"/>
      <c r="G949" s="121"/>
      <c r="H949" s="132" t="b">
        <f aca="false">FALSE()</f>
        <v>0</v>
      </c>
      <c r="I949" s="132" t="b">
        <f aca="false">FALSE()</f>
        <v>0</v>
      </c>
      <c r="J949" s="126"/>
      <c r="K949" s="99"/>
      <c r="L949" s="83"/>
      <c r="M949" s="103"/>
      <c r="N949" s="103"/>
      <c r="O949" s="103"/>
      <c r="P949" s="103"/>
      <c r="Q949" s="103"/>
      <c r="R949" s="83"/>
      <c r="S949" s="103"/>
      <c r="T949" s="103"/>
      <c r="U949" s="103"/>
    </row>
    <row r="950" customFormat="false" ht="22.5" hidden="false" customHeight="true" outlineLevel="0" collapsed="false">
      <c r="A950" s="110"/>
      <c r="B950" s="110"/>
      <c r="C950" s="110"/>
      <c r="D950" s="122"/>
      <c r="E950" s="110"/>
      <c r="F950" s="128"/>
      <c r="G950" s="122"/>
      <c r="H950" s="131" t="b">
        <f aca="false">FALSE()</f>
        <v>0</v>
      </c>
      <c r="I950" s="131" t="b">
        <f aca="false">FALSE()</f>
        <v>0</v>
      </c>
      <c r="J950" s="130"/>
      <c r="K950" s="110"/>
      <c r="L950" s="83"/>
      <c r="M950" s="103"/>
      <c r="N950" s="103"/>
      <c r="O950" s="103"/>
      <c r="P950" s="103"/>
      <c r="Q950" s="103"/>
      <c r="R950" s="83"/>
      <c r="S950" s="103"/>
      <c r="T950" s="103"/>
      <c r="U950" s="103"/>
    </row>
    <row r="951" customFormat="false" ht="22.5" hidden="false" customHeight="true" outlineLevel="0" collapsed="false">
      <c r="A951" s="99"/>
      <c r="B951" s="99"/>
      <c r="C951" s="99"/>
      <c r="D951" s="121"/>
      <c r="E951" s="99"/>
      <c r="F951" s="124"/>
      <c r="G951" s="121"/>
      <c r="H951" s="132" t="b">
        <f aca="false">FALSE()</f>
        <v>0</v>
      </c>
      <c r="I951" s="132" t="b">
        <f aca="false">FALSE()</f>
        <v>0</v>
      </c>
      <c r="J951" s="126"/>
      <c r="K951" s="99"/>
      <c r="L951" s="83"/>
      <c r="M951" s="103"/>
      <c r="N951" s="103"/>
      <c r="O951" s="103"/>
      <c r="P951" s="103"/>
      <c r="Q951" s="103"/>
      <c r="R951" s="83"/>
      <c r="S951" s="103"/>
      <c r="T951" s="103"/>
      <c r="U951" s="103"/>
    </row>
    <row r="952" customFormat="false" ht="22.5" hidden="false" customHeight="true" outlineLevel="0" collapsed="false">
      <c r="A952" s="110"/>
      <c r="B952" s="110"/>
      <c r="C952" s="110"/>
      <c r="D952" s="122"/>
      <c r="E952" s="110"/>
      <c r="F952" s="128"/>
      <c r="G952" s="122"/>
      <c r="H952" s="131" t="b">
        <f aca="false">FALSE()</f>
        <v>0</v>
      </c>
      <c r="I952" s="131" t="b">
        <f aca="false">FALSE()</f>
        <v>0</v>
      </c>
      <c r="J952" s="130"/>
      <c r="K952" s="110"/>
      <c r="L952" s="83"/>
      <c r="M952" s="103"/>
      <c r="N952" s="103"/>
      <c r="O952" s="103"/>
      <c r="P952" s="103"/>
      <c r="Q952" s="103"/>
      <c r="R952" s="83"/>
      <c r="S952" s="103"/>
      <c r="T952" s="103"/>
      <c r="U952" s="103"/>
    </row>
    <row r="953" customFormat="false" ht="22.5" hidden="false" customHeight="true" outlineLevel="0" collapsed="false">
      <c r="A953" s="99"/>
      <c r="B953" s="99"/>
      <c r="C953" s="99"/>
      <c r="D953" s="121"/>
      <c r="E953" s="99"/>
      <c r="F953" s="124"/>
      <c r="G953" s="121"/>
      <c r="H953" s="132" t="b">
        <f aca="false">FALSE()</f>
        <v>0</v>
      </c>
      <c r="I953" s="132" t="b">
        <f aca="false">FALSE()</f>
        <v>0</v>
      </c>
      <c r="J953" s="126"/>
      <c r="K953" s="99"/>
      <c r="L953" s="83"/>
      <c r="M953" s="103"/>
      <c r="N953" s="103"/>
      <c r="O953" s="103"/>
      <c r="P953" s="103"/>
      <c r="Q953" s="103"/>
      <c r="R953" s="83"/>
      <c r="S953" s="103"/>
      <c r="T953" s="103"/>
      <c r="U953" s="103"/>
    </row>
    <row r="954" customFormat="false" ht="22.5" hidden="false" customHeight="true" outlineLevel="0" collapsed="false">
      <c r="A954" s="110"/>
      <c r="B954" s="110"/>
      <c r="C954" s="110"/>
      <c r="D954" s="122"/>
      <c r="E954" s="110"/>
      <c r="F954" s="128"/>
      <c r="G954" s="122"/>
      <c r="H954" s="131" t="b">
        <f aca="false">FALSE()</f>
        <v>0</v>
      </c>
      <c r="I954" s="131" t="b">
        <f aca="false">FALSE()</f>
        <v>0</v>
      </c>
      <c r="J954" s="130"/>
      <c r="K954" s="110"/>
      <c r="L954" s="83"/>
      <c r="M954" s="103"/>
      <c r="N954" s="103"/>
      <c r="O954" s="103"/>
      <c r="P954" s="103"/>
      <c r="Q954" s="103"/>
      <c r="R954" s="83"/>
      <c r="S954" s="103"/>
      <c r="T954" s="103"/>
      <c r="U954" s="103"/>
    </row>
    <row r="955" customFormat="false" ht="22.5" hidden="false" customHeight="true" outlineLevel="0" collapsed="false">
      <c r="A955" s="99"/>
      <c r="B955" s="99"/>
      <c r="C955" s="99"/>
      <c r="D955" s="121"/>
      <c r="E955" s="99"/>
      <c r="F955" s="124"/>
      <c r="G955" s="121"/>
      <c r="H955" s="132" t="b">
        <f aca="false">FALSE()</f>
        <v>0</v>
      </c>
      <c r="I955" s="132" t="b">
        <f aca="false">FALSE()</f>
        <v>0</v>
      </c>
      <c r="J955" s="126"/>
      <c r="K955" s="99"/>
      <c r="L955" s="83"/>
      <c r="M955" s="103"/>
      <c r="N955" s="103"/>
      <c r="O955" s="103"/>
      <c r="P955" s="103"/>
      <c r="Q955" s="103"/>
      <c r="R955" s="83"/>
      <c r="S955" s="103"/>
      <c r="T955" s="103"/>
      <c r="U955" s="103"/>
    </row>
    <row r="956" customFormat="false" ht="22.5" hidden="false" customHeight="true" outlineLevel="0" collapsed="false">
      <c r="A956" s="110"/>
      <c r="B956" s="110"/>
      <c r="C956" s="110"/>
      <c r="D956" s="122"/>
      <c r="E956" s="110"/>
      <c r="F956" s="128"/>
      <c r="G956" s="122"/>
      <c r="H956" s="131" t="b">
        <f aca="false">FALSE()</f>
        <v>0</v>
      </c>
      <c r="I956" s="131" t="b">
        <f aca="false">FALSE()</f>
        <v>0</v>
      </c>
      <c r="J956" s="130"/>
      <c r="K956" s="110"/>
      <c r="L956" s="83"/>
      <c r="M956" s="103"/>
      <c r="N956" s="103"/>
      <c r="O956" s="103"/>
      <c r="P956" s="103"/>
      <c r="Q956" s="103"/>
      <c r="R956" s="83"/>
      <c r="S956" s="103"/>
      <c r="T956" s="103"/>
      <c r="U956" s="103"/>
    </row>
    <row r="957" customFormat="false" ht="22.5" hidden="false" customHeight="true" outlineLevel="0" collapsed="false">
      <c r="A957" s="99"/>
      <c r="B957" s="99"/>
      <c r="C957" s="99"/>
      <c r="D957" s="121"/>
      <c r="E957" s="99"/>
      <c r="F957" s="124"/>
      <c r="G957" s="121"/>
      <c r="H957" s="132" t="b">
        <f aca="false">FALSE()</f>
        <v>0</v>
      </c>
      <c r="I957" s="132" t="b">
        <f aca="false">FALSE()</f>
        <v>0</v>
      </c>
      <c r="J957" s="126"/>
      <c r="K957" s="99"/>
      <c r="L957" s="83"/>
      <c r="M957" s="103"/>
      <c r="N957" s="103"/>
      <c r="O957" s="103"/>
      <c r="P957" s="103"/>
      <c r="Q957" s="103"/>
      <c r="R957" s="83"/>
      <c r="S957" s="103"/>
      <c r="T957" s="103"/>
      <c r="U957" s="103"/>
    </row>
    <row r="958" customFormat="false" ht="22.5" hidden="false" customHeight="true" outlineLevel="0" collapsed="false">
      <c r="A958" s="110"/>
      <c r="B958" s="110"/>
      <c r="C958" s="110"/>
      <c r="D958" s="122"/>
      <c r="E958" s="110"/>
      <c r="F958" s="128"/>
      <c r="G958" s="122"/>
      <c r="H958" s="131" t="b">
        <f aca="false">FALSE()</f>
        <v>0</v>
      </c>
      <c r="I958" s="131" t="b">
        <f aca="false">FALSE()</f>
        <v>0</v>
      </c>
      <c r="J958" s="130"/>
      <c r="K958" s="110"/>
      <c r="L958" s="83"/>
      <c r="M958" s="103"/>
      <c r="N958" s="103"/>
      <c r="O958" s="103"/>
      <c r="P958" s="103"/>
      <c r="Q958" s="103"/>
      <c r="R958" s="83"/>
      <c r="S958" s="103"/>
      <c r="T958" s="103"/>
      <c r="U958" s="103"/>
    </row>
    <row r="959" customFormat="false" ht="22.5" hidden="false" customHeight="true" outlineLevel="0" collapsed="false">
      <c r="A959" s="99"/>
      <c r="B959" s="99"/>
      <c r="C959" s="99"/>
      <c r="D959" s="121"/>
      <c r="E959" s="99"/>
      <c r="F959" s="124"/>
      <c r="G959" s="121"/>
      <c r="H959" s="132" t="b">
        <f aca="false">FALSE()</f>
        <v>0</v>
      </c>
      <c r="I959" s="132" t="b">
        <f aca="false">FALSE()</f>
        <v>0</v>
      </c>
      <c r="J959" s="126"/>
      <c r="K959" s="99"/>
      <c r="L959" s="83"/>
      <c r="M959" s="103"/>
      <c r="N959" s="103"/>
      <c r="O959" s="103"/>
      <c r="P959" s="103"/>
      <c r="Q959" s="103"/>
      <c r="R959" s="83"/>
      <c r="S959" s="103"/>
      <c r="T959" s="103"/>
      <c r="U959" s="103"/>
    </row>
    <row r="960" customFormat="false" ht="22.5" hidden="false" customHeight="true" outlineLevel="0" collapsed="false">
      <c r="A960" s="110"/>
      <c r="B960" s="110"/>
      <c r="C960" s="110"/>
      <c r="D960" s="122"/>
      <c r="E960" s="110"/>
      <c r="F960" s="128"/>
      <c r="G960" s="122"/>
      <c r="H960" s="131" t="b">
        <f aca="false">FALSE()</f>
        <v>0</v>
      </c>
      <c r="I960" s="131" t="b">
        <f aca="false">FALSE()</f>
        <v>0</v>
      </c>
      <c r="J960" s="130"/>
      <c r="K960" s="110"/>
      <c r="L960" s="83"/>
      <c r="M960" s="103"/>
      <c r="N960" s="103"/>
      <c r="O960" s="103"/>
      <c r="P960" s="103"/>
      <c r="Q960" s="103"/>
      <c r="R960" s="83"/>
      <c r="S960" s="103"/>
      <c r="T960" s="103"/>
      <c r="U960" s="103"/>
    </row>
    <row r="961" customFormat="false" ht="22.5" hidden="false" customHeight="true" outlineLevel="0" collapsed="false">
      <c r="A961" s="99"/>
      <c r="B961" s="99"/>
      <c r="C961" s="99"/>
      <c r="D961" s="121"/>
      <c r="E961" s="99"/>
      <c r="F961" s="124"/>
      <c r="G961" s="121"/>
      <c r="H961" s="132" t="b">
        <f aca="false">FALSE()</f>
        <v>0</v>
      </c>
      <c r="I961" s="132" t="b">
        <f aca="false">FALSE()</f>
        <v>0</v>
      </c>
      <c r="J961" s="126"/>
      <c r="K961" s="99"/>
      <c r="L961" s="83"/>
      <c r="M961" s="103"/>
      <c r="N961" s="103"/>
      <c r="O961" s="103"/>
      <c r="P961" s="103"/>
      <c r="Q961" s="103"/>
      <c r="R961" s="83"/>
      <c r="S961" s="103"/>
      <c r="T961" s="103"/>
      <c r="U961" s="103"/>
    </row>
    <row r="962" customFormat="false" ht="22.5" hidden="false" customHeight="true" outlineLevel="0" collapsed="false">
      <c r="A962" s="110"/>
      <c r="B962" s="110"/>
      <c r="C962" s="110"/>
      <c r="D962" s="122"/>
      <c r="E962" s="110"/>
      <c r="F962" s="128"/>
      <c r="G962" s="122"/>
      <c r="H962" s="131" t="b">
        <f aca="false">FALSE()</f>
        <v>0</v>
      </c>
      <c r="I962" s="131" t="b">
        <f aca="false">FALSE()</f>
        <v>0</v>
      </c>
      <c r="J962" s="130"/>
      <c r="K962" s="110"/>
      <c r="L962" s="83"/>
      <c r="M962" s="103"/>
      <c r="N962" s="103"/>
      <c r="O962" s="103"/>
      <c r="P962" s="103"/>
      <c r="Q962" s="103"/>
      <c r="R962" s="83"/>
      <c r="S962" s="103"/>
      <c r="T962" s="103"/>
      <c r="U962" s="103"/>
    </row>
    <row r="963" customFormat="false" ht="22.5" hidden="false" customHeight="true" outlineLevel="0" collapsed="false">
      <c r="A963" s="99"/>
      <c r="B963" s="99"/>
      <c r="C963" s="99"/>
      <c r="D963" s="121"/>
      <c r="E963" s="99"/>
      <c r="F963" s="124"/>
      <c r="G963" s="121"/>
      <c r="H963" s="132" t="b">
        <f aca="false">FALSE()</f>
        <v>0</v>
      </c>
      <c r="I963" s="132" t="b">
        <f aca="false">FALSE()</f>
        <v>0</v>
      </c>
      <c r="J963" s="126"/>
      <c r="K963" s="99"/>
      <c r="L963" s="83"/>
      <c r="M963" s="103"/>
      <c r="N963" s="103"/>
      <c r="O963" s="103"/>
      <c r="P963" s="103"/>
      <c r="Q963" s="103"/>
      <c r="R963" s="83"/>
      <c r="S963" s="103"/>
      <c r="T963" s="103"/>
      <c r="U963" s="103"/>
    </row>
    <row r="964" customFormat="false" ht="22.5" hidden="false" customHeight="true" outlineLevel="0" collapsed="false">
      <c r="A964" s="110"/>
      <c r="B964" s="110"/>
      <c r="C964" s="110"/>
      <c r="D964" s="122"/>
      <c r="E964" s="110"/>
      <c r="F964" s="128"/>
      <c r="G964" s="122"/>
      <c r="H964" s="131" t="b">
        <f aca="false">FALSE()</f>
        <v>0</v>
      </c>
      <c r="I964" s="131" t="b">
        <f aca="false">FALSE()</f>
        <v>0</v>
      </c>
      <c r="J964" s="130"/>
      <c r="K964" s="110"/>
      <c r="L964" s="83"/>
      <c r="M964" s="103"/>
      <c r="N964" s="103"/>
      <c r="O964" s="103"/>
      <c r="P964" s="103"/>
      <c r="Q964" s="103"/>
      <c r="R964" s="83"/>
      <c r="S964" s="103"/>
      <c r="T964" s="103"/>
      <c r="U964" s="103"/>
    </row>
    <row r="965" customFormat="false" ht="22.5" hidden="false" customHeight="true" outlineLevel="0" collapsed="false">
      <c r="A965" s="99"/>
      <c r="B965" s="99"/>
      <c r="C965" s="99"/>
      <c r="D965" s="121"/>
      <c r="E965" s="99"/>
      <c r="F965" s="124"/>
      <c r="G965" s="121"/>
      <c r="H965" s="132" t="b">
        <f aca="false">FALSE()</f>
        <v>0</v>
      </c>
      <c r="I965" s="132" t="b">
        <f aca="false">FALSE()</f>
        <v>0</v>
      </c>
      <c r="J965" s="126"/>
      <c r="K965" s="99"/>
      <c r="L965" s="83"/>
      <c r="M965" s="103"/>
      <c r="N965" s="103"/>
      <c r="O965" s="103"/>
      <c r="P965" s="103"/>
      <c r="Q965" s="103"/>
      <c r="R965" s="83"/>
      <c r="S965" s="103"/>
      <c r="T965" s="103"/>
      <c r="U965" s="103"/>
    </row>
    <row r="966" customFormat="false" ht="22.5" hidden="false" customHeight="true" outlineLevel="0" collapsed="false">
      <c r="A966" s="110"/>
      <c r="B966" s="110"/>
      <c r="C966" s="110"/>
      <c r="D966" s="122"/>
      <c r="E966" s="110"/>
      <c r="F966" s="128"/>
      <c r="G966" s="122"/>
      <c r="H966" s="131" t="b">
        <f aca="false">FALSE()</f>
        <v>0</v>
      </c>
      <c r="I966" s="131" t="b">
        <f aca="false">FALSE()</f>
        <v>0</v>
      </c>
      <c r="J966" s="130"/>
      <c r="K966" s="110"/>
      <c r="L966" s="83"/>
      <c r="M966" s="103"/>
      <c r="N966" s="103"/>
      <c r="O966" s="103"/>
      <c r="P966" s="103"/>
      <c r="Q966" s="103"/>
      <c r="R966" s="83"/>
      <c r="S966" s="103"/>
      <c r="T966" s="103"/>
      <c r="U966" s="103"/>
    </row>
    <row r="967" customFormat="false" ht="22.5" hidden="false" customHeight="true" outlineLevel="0" collapsed="false">
      <c r="A967" s="99"/>
      <c r="B967" s="99"/>
      <c r="C967" s="99"/>
      <c r="D967" s="121"/>
      <c r="E967" s="99"/>
      <c r="F967" s="124"/>
      <c r="G967" s="121"/>
      <c r="H967" s="132" t="b">
        <f aca="false">FALSE()</f>
        <v>0</v>
      </c>
      <c r="I967" s="132" t="b">
        <f aca="false">FALSE()</f>
        <v>0</v>
      </c>
      <c r="J967" s="126"/>
      <c r="K967" s="99"/>
      <c r="L967" s="83"/>
      <c r="M967" s="103"/>
      <c r="N967" s="103"/>
      <c r="O967" s="103"/>
      <c r="P967" s="103"/>
      <c r="Q967" s="103"/>
      <c r="R967" s="83"/>
      <c r="S967" s="103"/>
      <c r="T967" s="103"/>
      <c r="U967" s="103"/>
    </row>
    <row r="968" customFormat="false" ht="22.5" hidden="false" customHeight="true" outlineLevel="0" collapsed="false">
      <c r="A968" s="110"/>
      <c r="B968" s="110"/>
      <c r="C968" s="110"/>
      <c r="D968" s="122"/>
      <c r="E968" s="110"/>
      <c r="F968" s="128"/>
      <c r="G968" s="122"/>
      <c r="H968" s="131" t="b">
        <f aca="false">FALSE()</f>
        <v>0</v>
      </c>
      <c r="I968" s="131" t="b">
        <f aca="false">FALSE()</f>
        <v>0</v>
      </c>
      <c r="J968" s="130"/>
      <c r="K968" s="110"/>
      <c r="L968" s="83"/>
      <c r="M968" s="103"/>
      <c r="N968" s="103"/>
      <c r="O968" s="103"/>
      <c r="P968" s="103"/>
      <c r="Q968" s="103"/>
      <c r="R968" s="83"/>
      <c r="S968" s="103"/>
      <c r="T968" s="103"/>
      <c r="U968" s="103"/>
    </row>
    <row r="969" customFormat="false" ht="22.5" hidden="false" customHeight="true" outlineLevel="0" collapsed="false">
      <c r="A969" s="99"/>
      <c r="B969" s="99"/>
      <c r="C969" s="99"/>
      <c r="D969" s="121"/>
      <c r="E969" s="99"/>
      <c r="F969" s="124"/>
      <c r="G969" s="121"/>
      <c r="H969" s="132" t="b">
        <f aca="false">FALSE()</f>
        <v>0</v>
      </c>
      <c r="I969" s="132" t="b">
        <f aca="false">FALSE()</f>
        <v>0</v>
      </c>
      <c r="J969" s="126"/>
      <c r="K969" s="99"/>
      <c r="L969" s="83"/>
      <c r="M969" s="103"/>
      <c r="N969" s="103"/>
      <c r="O969" s="103"/>
      <c r="P969" s="103"/>
      <c r="Q969" s="103"/>
      <c r="R969" s="83"/>
      <c r="S969" s="103"/>
      <c r="T969" s="103"/>
      <c r="U969" s="103"/>
    </row>
    <row r="970" customFormat="false" ht="22.5" hidden="false" customHeight="true" outlineLevel="0" collapsed="false">
      <c r="A970" s="110"/>
      <c r="B970" s="110"/>
      <c r="C970" s="110"/>
      <c r="D970" s="122"/>
      <c r="E970" s="110"/>
      <c r="F970" s="128"/>
      <c r="G970" s="122"/>
      <c r="H970" s="131" t="b">
        <f aca="false">FALSE()</f>
        <v>0</v>
      </c>
      <c r="I970" s="131" t="b">
        <f aca="false">FALSE()</f>
        <v>0</v>
      </c>
      <c r="J970" s="130"/>
      <c r="K970" s="110"/>
      <c r="L970" s="83"/>
      <c r="M970" s="103"/>
      <c r="N970" s="103"/>
      <c r="O970" s="103"/>
      <c r="P970" s="103"/>
      <c r="Q970" s="103"/>
      <c r="R970" s="83"/>
      <c r="S970" s="103"/>
      <c r="T970" s="103"/>
      <c r="U970" s="103"/>
    </row>
    <row r="971" customFormat="false" ht="22.5" hidden="false" customHeight="true" outlineLevel="0" collapsed="false">
      <c r="A971" s="99"/>
      <c r="B971" s="99"/>
      <c r="C971" s="99"/>
      <c r="D971" s="121"/>
      <c r="E971" s="99"/>
      <c r="F971" s="124"/>
      <c r="G971" s="121"/>
      <c r="H971" s="132" t="b">
        <f aca="false">FALSE()</f>
        <v>0</v>
      </c>
      <c r="I971" s="132" t="b">
        <f aca="false">FALSE()</f>
        <v>0</v>
      </c>
      <c r="J971" s="126"/>
      <c r="K971" s="99"/>
      <c r="L971" s="83"/>
      <c r="M971" s="103"/>
      <c r="N971" s="103"/>
      <c r="O971" s="103"/>
      <c r="P971" s="103"/>
      <c r="Q971" s="103"/>
      <c r="R971" s="83"/>
      <c r="S971" s="103"/>
      <c r="T971" s="103"/>
      <c r="U971" s="103"/>
    </row>
    <row r="972" customFormat="false" ht="22.5" hidden="false" customHeight="true" outlineLevel="0" collapsed="false">
      <c r="A972" s="110"/>
      <c r="B972" s="110"/>
      <c r="C972" s="110"/>
      <c r="D972" s="122"/>
      <c r="E972" s="110"/>
      <c r="F972" s="128"/>
      <c r="G972" s="122"/>
      <c r="H972" s="131" t="b">
        <f aca="false">FALSE()</f>
        <v>0</v>
      </c>
      <c r="I972" s="131" t="b">
        <f aca="false">FALSE()</f>
        <v>0</v>
      </c>
      <c r="J972" s="130"/>
      <c r="K972" s="110"/>
      <c r="L972" s="83"/>
      <c r="M972" s="103"/>
      <c r="N972" s="103"/>
      <c r="O972" s="103"/>
      <c r="P972" s="103"/>
      <c r="Q972" s="103"/>
      <c r="R972" s="83"/>
      <c r="S972" s="103"/>
      <c r="T972" s="103"/>
      <c r="U972" s="103"/>
    </row>
    <row r="973" customFormat="false" ht="22.5" hidden="false" customHeight="true" outlineLevel="0" collapsed="false">
      <c r="A973" s="99"/>
      <c r="B973" s="99"/>
      <c r="C973" s="99"/>
      <c r="D973" s="121"/>
      <c r="E973" s="99"/>
      <c r="F973" s="124"/>
      <c r="G973" s="121"/>
      <c r="H973" s="132" t="b">
        <f aca="false">FALSE()</f>
        <v>0</v>
      </c>
      <c r="I973" s="132" t="b">
        <f aca="false">FALSE()</f>
        <v>0</v>
      </c>
      <c r="J973" s="126"/>
      <c r="K973" s="99"/>
      <c r="L973" s="83"/>
      <c r="M973" s="103"/>
      <c r="N973" s="103"/>
      <c r="O973" s="103"/>
      <c r="P973" s="103"/>
      <c r="Q973" s="103"/>
      <c r="R973" s="83"/>
      <c r="S973" s="103"/>
      <c r="T973" s="103"/>
      <c r="U973" s="103"/>
    </row>
    <row r="974" customFormat="false" ht="22.5" hidden="false" customHeight="true" outlineLevel="0" collapsed="false">
      <c r="A974" s="110"/>
      <c r="B974" s="110"/>
      <c r="C974" s="110"/>
      <c r="D974" s="122"/>
      <c r="E974" s="110"/>
      <c r="F974" s="128"/>
      <c r="G974" s="122"/>
      <c r="H974" s="131" t="b">
        <f aca="false">FALSE()</f>
        <v>0</v>
      </c>
      <c r="I974" s="131" t="b">
        <f aca="false">FALSE()</f>
        <v>0</v>
      </c>
      <c r="J974" s="130"/>
      <c r="K974" s="110"/>
      <c r="L974" s="83"/>
      <c r="M974" s="103"/>
      <c r="N974" s="103"/>
      <c r="O974" s="103"/>
      <c r="P974" s="103"/>
      <c r="Q974" s="103"/>
      <c r="R974" s="83"/>
      <c r="S974" s="103"/>
      <c r="T974" s="103"/>
      <c r="U974" s="103"/>
    </row>
    <row r="975" customFormat="false" ht="22.5" hidden="false" customHeight="true" outlineLevel="0" collapsed="false">
      <c r="A975" s="99"/>
      <c r="B975" s="99"/>
      <c r="C975" s="99"/>
      <c r="D975" s="121"/>
      <c r="E975" s="99"/>
      <c r="F975" s="124"/>
      <c r="G975" s="121"/>
      <c r="H975" s="132" t="b">
        <f aca="false">FALSE()</f>
        <v>0</v>
      </c>
      <c r="I975" s="132" t="b">
        <f aca="false">FALSE()</f>
        <v>0</v>
      </c>
      <c r="J975" s="126"/>
      <c r="K975" s="99"/>
      <c r="L975" s="83"/>
      <c r="M975" s="103"/>
      <c r="N975" s="103"/>
      <c r="O975" s="103"/>
      <c r="P975" s="103"/>
      <c r="Q975" s="103"/>
      <c r="R975" s="83"/>
      <c r="S975" s="103"/>
      <c r="T975" s="103"/>
      <c r="U975" s="103"/>
    </row>
    <row r="976" customFormat="false" ht="22.5" hidden="false" customHeight="true" outlineLevel="0" collapsed="false">
      <c r="A976" s="110"/>
      <c r="B976" s="110"/>
      <c r="C976" s="110"/>
      <c r="D976" s="122"/>
      <c r="E976" s="110"/>
      <c r="F976" s="128"/>
      <c r="G976" s="122"/>
      <c r="H976" s="131" t="b">
        <f aca="false">FALSE()</f>
        <v>0</v>
      </c>
      <c r="I976" s="131" t="b">
        <f aca="false">FALSE()</f>
        <v>0</v>
      </c>
      <c r="J976" s="130"/>
      <c r="K976" s="110"/>
      <c r="L976" s="83"/>
      <c r="M976" s="103"/>
      <c r="N976" s="103"/>
      <c r="O976" s="103"/>
      <c r="P976" s="103"/>
      <c r="Q976" s="103"/>
      <c r="R976" s="83"/>
      <c r="S976" s="103"/>
      <c r="T976" s="103"/>
      <c r="U976" s="103"/>
    </row>
    <row r="977" customFormat="false" ht="22.5" hidden="false" customHeight="true" outlineLevel="0" collapsed="false">
      <c r="A977" s="99"/>
      <c r="B977" s="99"/>
      <c r="C977" s="99"/>
      <c r="D977" s="121"/>
      <c r="E977" s="99"/>
      <c r="F977" s="124"/>
      <c r="G977" s="121"/>
      <c r="H977" s="132" t="b">
        <f aca="false">FALSE()</f>
        <v>0</v>
      </c>
      <c r="I977" s="132" t="b">
        <f aca="false">FALSE()</f>
        <v>0</v>
      </c>
      <c r="J977" s="126"/>
      <c r="K977" s="99"/>
      <c r="L977" s="83"/>
      <c r="M977" s="103"/>
      <c r="N977" s="103"/>
      <c r="O977" s="103"/>
      <c r="P977" s="103"/>
      <c r="Q977" s="103"/>
      <c r="R977" s="83"/>
      <c r="S977" s="103"/>
      <c r="T977" s="103"/>
      <c r="U977" s="103"/>
    </row>
    <row r="978" customFormat="false" ht="22.5" hidden="false" customHeight="true" outlineLevel="0" collapsed="false">
      <c r="A978" s="110"/>
      <c r="B978" s="110"/>
      <c r="C978" s="110"/>
      <c r="D978" s="122"/>
      <c r="E978" s="110"/>
      <c r="F978" s="128"/>
      <c r="G978" s="122"/>
      <c r="H978" s="131" t="b">
        <f aca="false">FALSE()</f>
        <v>0</v>
      </c>
      <c r="I978" s="131" t="b">
        <f aca="false">FALSE()</f>
        <v>0</v>
      </c>
      <c r="J978" s="130"/>
      <c r="K978" s="110"/>
      <c r="L978" s="83"/>
      <c r="M978" s="103"/>
      <c r="N978" s="103"/>
      <c r="O978" s="103"/>
      <c r="P978" s="103"/>
      <c r="Q978" s="103"/>
      <c r="R978" s="83"/>
      <c r="S978" s="103"/>
      <c r="T978" s="103"/>
      <c r="U978" s="103"/>
    </row>
    <row r="979" customFormat="false" ht="22.5" hidden="false" customHeight="true" outlineLevel="0" collapsed="false">
      <c r="A979" s="99"/>
      <c r="B979" s="99"/>
      <c r="C979" s="99"/>
      <c r="D979" s="121"/>
      <c r="E979" s="99"/>
      <c r="F979" s="124"/>
      <c r="G979" s="121"/>
      <c r="H979" s="132" t="b">
        <f aca="false">FALSE()</f>
        <v>0</v>
      </c>
      <c r="I979" s="132" t="b">
        <f aca="false">FALSE()</f>
        <v>0</v>
      </c>
      <c r="J979" s="126"/>
      <c r="K979" s="99"/>
      <c r="L979" s="83"/>
      <c r="M979" s="103"/>
      <c r="N979" s="103"/>
      <c r="O979" s="103"/>
      <c r="P979" s="103"/>
      <c r="Q979" s="103"/>
      <c r="R979" s="83"/>
      <c r="S979" s="103"/>
      <c r="T979" s="103"/>
      <c r="U979" s="103"/>
    </row>
    <row r="980" customFormat="false" ht="22.5" hidden="false" customHeight="true" outlineLevel="0" collapsed="false">
      <c r="A980" s="110"/>
      <c r="B980" s="110"/>
      <c r="C980" s="110"/>
      <c r="D980" s="122"/>
      <c r="E980" s="110"/>
      <c r="F980" s="128"/>
      <c r="G980" s="122"/>
      <c r="H980" s="131" t="b">
        <f aca="false">FALSE()</f>
        <v>0</v>
      </c>
      <c r="I980" s="131" t="b">
        <f aca="false">FALSE()</f>
        <v>0</v>
      </c>
      <c r="J980" s="130"/>
      <c r="K980" s="110"/>
      <c r="L980" s="83"/>
      <c r="M980" s="103"/>
      <c r="N980" s="103"/>
      <c r="O980" s="103"/>
      <c r="P980" s="103"/>
      <c r="Q980" s="103"/>
      <c r="R980" s="83"/>
      <c r="S980" s="103"/>
      <c r="T980" s="103"/>
      <c r="U980" s="103"/>
    </row>
    <row r="981" customFormat="false" ht="22.5" hidden="false" customHeight="true" outlineLevel="0" collapsed="false">
      <c r="A981" s="99"/>
      <c r="B981" s="99"/>
      <c r="C981" s="99"/>
      <c r="D981" s="121"/>
      <c r="E981" s="99"/>
      <c r="F981" s="124"/>
      <c r="G981" s="121"/>
      <c r="H981" s="132" t="b">
        <f aca="false">FALSE()</f>
        <v>0</v>
      </c>
      <c r="I981" s="132" t="b">
        <f aca="false">FALSE()</f>
        <v>0</v>
      </c>
      <c r="J981" s="126"/>
      <c r="K981" s="99"/>
      <c r="L981" s="83"/>
      <c r="M981" s="103"/>
      <c r="N981" s="103"/>
      <c r="O981" s="103"/>
      <c r="P981" s="103"/>
      <c r="Q981" s="103"/>
      <c r="R981" s="83"/>
      <c r="S981" s="103"/>
      <c r="T981" s="103"/>
      <c r="U981" s="103"/>
    </row>
    <row r="982" customFormat="false" ht="22.5" hidden="false" customHeight="true" outlineLevel="0" collapsed="false">
      <c r="A982" s="110"/>
      <c r="B982" s="110"/>
      <c r="C982" s="110"/>
      <c r="D982" s="122"/>
      <c r="E982" s="110"/>
      <c r="F982" s="128"/>
      <c r="G982" s="122"/>
      <c r="H982" s="131" t="b">
        <f aca="false">FALSE()</f>
        <v>0</v>
      </c>
      <c r="I982" s="131" t="b">
        <f aca="false">FALSE()</f>
        <v>0</v>
      </c>
      <c r="J982" s="130"/>
      <c r="K982" s="110"/>
      <c r="L982" s="83"/>
      <c r="M982" s="103"/>
      <c r="N982" s="103"/>
      <c r="O982" s="103"/>
      <c r="P982" s="103"/>
      <c r="Q982" s="103"/>
      <c r="R982" s="83"/>
      <c r="S982" s="103"/>
      <c r="T982" s="103"/>
      <c r="U982" s="103"/>
    </row>
    <row r="983" customFormat="false" ht="22.5" hidden="false" customHeight="true" outlineLevel="0" collapsed="false">
      <c r="A983" s="99"/>
      <c r="B983" s="99"/>
      <c r="C983" s="99"/>
      <c r="D983" s="121"/>
      <c r="E983" s="99"/>
      <c r="F983" s="124"/>
      <c r="G983" s="121"/>
      <c r="H983" s="132" t="b">
        <f aca="false">FALSE()</f>
        <v>0</v>
      </c>
      <c r="I983" s="132" t="b">
        <f aca="false">FALSE()</f>
        <v>0</v>
      </c>
      <c r="J983" s="126"/>
      <c r="K983" s="99"/>
      <c r="L983" s="83"/>
      <c r="M983" s="103"/>
      <c r="N983" s="103"/>
      <c r="O983" s="103"/>
      <c r="P983" s="103"/>
      <c r="Q983" s="103"/>
      <c r="R983" s="83"/>
      <c r="S983" s="103"/>
      <c r="T983" s="103"/>
      <c r="U983" s="103"/>
    </row>
    <row r="984" customFormat="false" ht="22.5" hidden="false" customHeight="true" outlineLevel="0" collapsed="false">
      <c r="A984" s="110"/>
      <c r="B984" s="110"/>
      <c r="C984" s="110"/>
      <c r="D984" s="122"/>
      <c r="E984" s="110"/>
      <c r="F984" s="128"/>
      <c r="G984" s="122"/>
      <c r="H984" s="131" t="b">
        <f aca="false">FALSE()</f>
        <v>0</v>
      </c>
      <c r="I984" s="131" t="b">
        <f aca="false">FALSE()</f>
        <v>0</v>
      </c>
      <c r="J984" s="130"/>
      <c r="K984" s="110"/>
      <c r="L984" s="83"/>
      <c r="M984" s="103"/>
      <c r="N984" s="103"/>
      <c r="O984" s="103"/>
      <c r="P984" s="103"/>
      <c r="Q984" s="103"/>
      <c r="R984" s="83"/>
      <c r="S984" s="103"/>
      <c r="T984" s="103"/>
      <c r="U984" s="103"/>
    </row>
    <row r="985" customFormat="false" ht="22.5" hidden="false" customHeight="true" outlineLevel="0" collapsed="false">
      <c r="A985" s="99"/>
      <c r="B985" s="99"/>
      <c r="C985" s="99"/>
      <c r="D985" s="121"/>
      <c r="E985" s="99"/>
      <c r="F985" s="124"/>
      <c r="G985" s="121"/>
      <c r="H985" s="132" t="b">
        <f aca="false">FALSE()</f>
        <v>0</v>
      </c>
      <c r="I985" s="132" t="b">
        <f aca="false">FALSE()</f>
        <v>0</v>
      </c>
      <c r="J985" s="126"/>
      <c r="K985" s="99"/>
      <c r="L985" s="83"/>
      <c r="M985" s="103"/>
      <c r="N985" s="103"/>
      <c r="O985" s="103"/>
      <c r="P985" s="103"/>
      <c r="Q985" s="103"/>
      <c r="R985" s="83"/>
      <c r="S985" s="103"/>
      <c r="T985" s="103"/>
      <c r="U985" s="103"/>
    </row>
    <row r="986" customFormat="false" ht="22.5" hidden="false" customHeight="true" outlineLevel="0" collapsed="false">
      <c r="A986" s="110"/>
      <c r="B986" s="110"/>
      <c r="C986" s="110"/>
      <c r="D986" s="122"/>
      <c r="E986" s="110"/>
      <c r="F986" s="128"/>
      <c r="G986" s="122"/>
      <c r="H986" s="131" t="b">
        <f aca="false">FALSE()</f>
        <v>0</v>
      </c>
      <c r="I986" s="131" t="b">
        <f aca="false">FALSE()</f>
        <v>0</v>
      </c>
      <c r="J986" s="130"/>
      <c r="K986" s="110"/>
      <c r="L986" s="83"/>
      <c r="M986" s="103"/>
      <c r="N986" s="103"/>
      <c r="O986" s="103"/>
      <c r="P986" s="103"/>
      <c r="Q986" s="103"/>
      <c r="R986" s="83"/>
      <c r="S986" s="103"/>
      <c r="T986" s="103"/>
      <c r="U986" s="103"/>
    </row>
    <row r="987" customFormat="false" ht="22.5" hidden="false" customHeight="true" outlineLevel="0" collapsed="false">
      <c r="A987" s="99"/>
      <c r="B987" s="99"/>
      <c r="C987" s="99"/>
      <c r="D987" s="121"/>
      <c r="E987" s="99"/>
      <c r="F987" s="124"/>
      <c r="G987" s="121"/>
      <c r="H987" s="132" t="b">
        <f aca="false">FALSE()</f>
        <v>0</v>
      </c>
      <c r="I987" s="132" t="b">
        <f aca="false">FALSE()</f>
        <v>0</v>
      </c>
      <c r="J987" s="126"/>
      <c r="K987" s="99"/>
      <c r="L987" s="83"/>
      <c r="M987" s="103"/>
      <c r="N987" s="103"/>
      <c r="O987" s="103"/>
      <c r="P987" s="103"/>
      <c r="Q987" s="103"/>
      <c r="R987" s="83"/>
      <c r="S987" s="103"/>
      <c r="T987" s="103"/>
      <c r="U987" s="103"/>
    </row>
    <row r="988" customFormat="false" ht="22.5" hidden="false" customHeight="true" outlineLevel="0" collapsed="false">
      <c r="A988" s="110"/>
      <c r="B988" s="110"/>
      <c r="C988" s="110"/>
      <c r="D988" s="122"/>
      <c r="E988" s="110"/>
      <c r="F988" s="128"/>
      <c r="G988" s="122"/>
      <c r="H988" s="131" t="b">
        <f aca="false">FALSE()</f>
        <v>0</v>
      </c>
      <c r="I988" s="131" t="b">
        <f aca="false">FALSE()</f>
        <v>0</v>
      </c>
      <c r="J988" s="130"/>
      <c r="K988" s="110"/>
      <c r="L988" s="83"/>
      <c r="M988" s="103"/>
      <c r="N988" s="103"/>
      <c r="O988" s="103"/>
      <c r="P988" s="103"/>
      <c r="Q988" s="103"/>
      <c r="R988" s="83"/>
      <c r="S988" s="103"/>
      <c r="T988" s="103"/>
      <c r="U988" s="103"/>
    </row>
    <row r="989" customFormat="false" ht="22.5" hidden="false" customHeight="true" outlineLevel="0" collapsed="false">
      <c r="A989" s="99"/>
      <c r="B989" s="99"/>
      <c r="C989" s="99"/>
      <c r="D989" s="121"/>
      <c r="E989" s="99"/>
      <c r="F989" s="124"/>
      <c r="G989" s="121"/>
      <c r="H989" s="132" t="b">
        <f aca="false">FALSE()</f>
        <v>0</v>
      </c>
      <c r="I989" s="132" t="b">
        <f aca="false">FALSE()</f>
        <v>0</v>
      </c>
      <c r="J989" s="126"/>
      <c r="K989" s="99"/>
      <c r="L989" s="83"/>
      <c r="M989" s="103"/>
      <c r="N989" s="103"/>
      <c r="O989" s="103"/>
      <c r="P989" s="103"/>
      <c r="Q989" s="103"/>
      <c r="R989" s="83"/>
      <c r="S989" s="103"/>
      <c r="T989" s="103"/>
      <c r="U989" s="103"/>
    </row>
    <row r="990" customFormat="false" ht="22.5" hidden="false" customHeight="true" outlineLevel="0" collapsed="false">
      <c r="A990" s="110"/>
      <c r="B990" s="110"/>
      <c r="C990" s="110"/>
      <c r="D990" s="122"/>
      <c r="E990" s="110"/>
      <c r="F990" s="128"/>
      <c r="G990" s="122"/>
      <c r="H990" s="131" t="b">
        <f aca="false">FALSE()</f>
        <v>0</v>
      </c>
      <c r="I990" s="131" t="b">
        <f aca="false">FALSE()</f>
        <v>0</v>
      </c>
      <c r="J990" s="130"/>
      <c r="K990" s="110"/>
      <c r="L990" s="83"/>
      <c r="M990" s="103"/>
      <c r="N990" s="103"/>
      <c r="O990" s="103"/>
      <c r="P990" s="103"/>
      <c r="Q990" s="103"/>
      <c r="R990" s="83"/>
      <c r="S990" s="103"/>
      <c r="T990" s="103"/>
      <c r="U990" s="103"/>
    </row>
    <row r="991" customFormat="false" ht="22.5" hidden="false" customHeight="true" outlineLevel="0" collapsed="false">
      <c r="A991" s="99"/>
      <c r="B991" s="99"/>
      <c r="C991" s="99"/>
      <c r="D991" s="121"/>
      <c r="E991" s="99"/>
      <c r="F991" s="124"/>
      <c r="G991" s="121"/>
      <c r="H991" s="132" t="b">
        <f aca="false">FALSE()</f>
        <v>0</v>
      </c>
      <c r="I991" s="132" t="b">
        <f aca="false">FALSE()</f>
        <v>0</v>
      </c>
      <c r="J991" s="126"/>
      <c r="K991" s="99"/>
      <c r="L991" s="83"/>
      <c r="M991" s="103"/>
      <c r="N991" s="103"/>
      <c r="O991" s="103"/>
      <c r="P991" s="103"/>
      <c r="Q991" s="103"/>
      <c r="R991" s="83"/>
      <c r="S991" s="103"/>
      <c r="T991" s="103"/>
      <c r="U991" s="103"/>
    </row>
    <row r="992" customFormat="false" ht="22.5" hidden="false" customHeight="true" outlineLevel="0" collapsed="false">
      <c r="A992" s="110"/>
      <c r="B992" s="110"/>
      <c r="C992" s="110"/>
      <c r="D992" s="122"/>
      <c r="E992" s="110"/>
      <c r="F992" s="128"/>
      <c r="G992" s="122"/>
      <c r="H992" s="131" t="b">
        <f aca="false">FALSE()</f>
        <v>0</v>
      </c>
      <c r="I992" s="131" t="b">
        <f aca="false">FALSE()</f>
        <v>0</v>
      </c>
      <c r="J992" s="130"/>
      <c r="K992" s="110"/>
      <c r="L992" s="83"/>
      <c r="M992" s="103"/>
      <c r="N992" s="103"/>
      <c r="O992" s="103"/>
      <c r="P992" s="103"/>
      <c r="Q992" s="103"/>
      <c r="R992" s="83"/>
      <c r="S992" s="103"/>
      <c r="T992" s="103"/>
      <c r="U992" s="103"/>
    </row>
    <row r="993" customFormat="false" ht="22.5" hidden="false" customHeight="true" outlineLevel="0" collapsed="false">
      <c r="A993" s="99"/>
      <c r="B993" s="99"/>
      <c r="C993" s="99"/>
      <c r="D993" s="121"/>
      <c r="E993" s="99"/>
      <c r="F993" s="124"/>
      <c r="G993" s="121"/>
      <c r="H993" s="132" t="b">
        <f aca="false">FALSE()</f>
        <v>0</v>
      </c>
      <c r="I993" s="132" t="b">
        <f aca="false">FALSE()</f>
        <v>0</v>
      </c>
      <c r="J993" s="126"/>
      <c r="K993" s="99"/>
      <c r="L993" s="83"/>
      <c r="M993" s="103"/>
      <c r="N993" s="103"/>
      <c r="O993" s="103"/>
      <c r="P993" s="103"/>
      <c r="Q993" s="103"/>
      <c r="R993" s="83"/>
      <c r="S993" s="103"/>
      <c r="T993" s="103"/>
      <c r="U993" s="103"/>
    </row>
    <row r="994" customFormat="false" ht="22.5" hidden="false" customHeight="true" outlineLevel="0" collapsed="false">
      <c r="A994" s="110"/>
      <c r="B994" s="110"/>
      <c r="C994" s="110"/>
      <c r="D994" s="122"/>
      <c r="E994" s="110"/>
      <c r="F994" s="128"/>
      <c r="G994" s="122"/>
      <c r="H994" s="131" t="b">
        <f aca="false">FALSE()</f>
        <v>0</v>
      </c>
      <c r="I994" s="131" t="b">
        <f aca="false">FALSE()</f>
        <v>0</v>
      </c>
      <c r="J994" s="130"/>
      <c r="K994" s="110"/>
      <c r="L994" s="83"/>
      <c r="M994" s="103"/>
      <c r="N994" s="103"/>
      <c r="O994" s="103"/>
      <c r="P994" s="103"/>
      <c r="Q994" s="103"/>
      <c r="R994" s="83"/>
      <c r="S994" s="103"/>
      <c r="T994" s="103"/>
      <c r="U994" s="103"/>
    </row>
    <row r="995" customFormat="false" ht="22.5" hidden="false" customHeight="true" outlineLevel="0" collapsed="false">
      <c r="A995" s="99"/>
      <c r="B995" s="99"/>
      <c r="C995" s="99"/>
      <c r="D995" s="121"/>
      <c r="E995" s="99"/>
      <c r="F995" s="124"/>
      <c r="G995" s="121"/>
      <c r="H995" s="132" t="b">
        <f aca="false">FALSE()</f>
        <v>0</v>
      </c>
      <c r="I995" s="132" t="b">
        <f aca="false">FALSE()</f>
        <v>0</v>
      </c>
      <c r="J995" s="126"/>
      <c r="K995" s="99"/>
      <c r="L995" s="83"/>
      <c r="M995" s="103"/>
      <c r="N995" s="103"/>
      <c r="O995" s="103"/>
      <c r="P995" s="103"/>
      <c r="Q995" s="103"/>
      <c r="R995" s="83"/>
      <c r="S995" s="103"/>
      <c r="T995" s="103"/>
      <c r="U995" s="103"/>
    </row>
    <row r="996" customFormat="false" ht="22.5" hidden="false" customHeight="true" outlineLevel="0" collapsed="false">
      <c r="A996" s="110"/>
      <c r="B996" s="110"/>
      <c r="C996" s="110"/>
      <c r="D996" s="122"/>
      <c r="E996" s="110"/>
      <c r="F996" s="128"/>
      <c r="G996" s="122"/>
      <c r="H996" s="131" t="b">
        <f aca="false">FALSE()</f>
        <v>0</v>
      </c>
      <c r="I996" s="131" t="b">
        <f aca="false">FALSE()</f>
        <v>0</v>
      </c>
      <c r="J996" s="130"/>
      <c r="K996" s="110"/>
      <c r="L996" s="83"/>
      <c r="M996" s="103"/>
      <c r="N996" s="103"/>
      <c r="O996" s="103"/>
      <c r="P996" s="103"/>
      <c r="Q996" s="103"/>
      <c r="R996" s="83"/>
      <c r="S996" s="103"/>
      <c r="T996" s="103"/>
      <c r="U996" s="103"/>
    </row>
    <row r="997" customFormat="false" ht="22.5" hidden="false" customHeight="true" outlineLevel="0" collapsed="false">
      <c r="A997" s="99"/>
      <c r="B997" s="99"/>
      <c r="C997" s="99"/>
      <c r="D997" s="121"/>
      <c r="E997" s="99"/>
      <c r="F997" s="124"/>
      <c r="G997" s="121"/>
      <c r="H997" s="132" t="b">
        <f aca="false">FALSE()</f>
        <v>0</v>
      </c>
      <c r="I997" s="132" t="b">
        <f aca="false">FALSE()</f>
        <v>0</v>
      </c>
      <c r="J997" s="126"/>
      <c r="K997" s="99"/>
      <c r="L997" s="83"/>
      <c r="M997" s="103"/>
      <c r="N997" s="103"/>
      <c r="O997" s="103"/>
      <c r="P997" s="103"/>
      <c r="Q997" s="103"/>
      <c r="R997" s="83"/>
      <c r="S997" s="103"/>
      <c r="T997" s="103"/>
      <c r="U997" s="103"/>
    </row>
    <row r="998" customFormat="false" ht="22.5" hidden="false" customHeight="true" outlineLevel="0" collapsed="false">
      <c r="A998" s="110"/>
      <c r="B998" s="110"/>
      <c r="C998" s="110"/>
      <c r="D998" s="122"/>
      <c r="E998" s="110"/>
      <c r="F998" s="128"/>
      <c r="G998" s="122"/>
      <c r="H998" s="131" t="b">
        <f aca="false">FALSE()</f>
        <v>0</v>
      </c>
      <c r="I998" s="131" t="b">
        <f aca="false">FALSE()</f>
        <v>0</v>
      </c>
      <c r="J998" s="130"/>
      <c r="K998" s="110"/>
      <c r="L998" s="83"/>
      <c r="M998" s="103"/>
      <c r="N998" s="103"/>
      <c r="O998" s="103"/>
      <c r="P998" s="103"/>
      <c r="Q998" s="103"/>
      <c r="R998" s="83"/>
      <c r="S998" s="103"/>
      <c r="T998" s="103"/>
      <c r="U998" s="103"/>
    </row>
    <row r="999" customFormat="false" ht="22.5" hidden="false" customHeight="true" outlineLevel="0" collapsed="false">
      <c r="A999" s="99"/>
      <c r="B999" s="99"/>
      <c r="C999" s="99"/>
      <c r="D999" s="121"/>
      <c r="E999" s="99"/>
      <c r="F999" s="124"/>
      <c r="G999" s="121"/>
      <c r="H999" s="132" t="b">
        <f aca="false">FALSE()</f>
        <v>0</v>
      </c>
      <c r="I999" s="132" t="b">
        <f aca="false">FALSE()</f>
        <v>0</v>
      </c>
      <c r="J999" s="126"/>
      <c r="K999" s="99"/>
      <c r="L999" s="83"/>
      <c r="M999" s="103"/>
      <c r="N999" s="103"/>
      <c r="O999" s="103"/>
      <c r="P999" s="103"/>
      <c r="Q999" s="103"/>
      <c r="R999" s="83"/>
      <c r="S999" s="103"/>
      <c r="T999" s="103"/>
      <c r="U999" s="103"/>
    </row>
    <row r="1000" customFormat="false" ht="22.5" hidden="false" customHeight="true" outlineLevel="0" collapsed="false">
      <c r="A1000" s="110"/>
      <c r="B1000" s="110"/>
      <c r="C1000" s="110"/>
      <c r="D1000" s="122"/>
      <c r="E1000" s="110"/>
      <c r="F1000" s="128"/>
      <c r="G1000" s="122"/>
      <c r="H1000" s="131" t="b">
        <f aca="false">FALSE()</f>
        <v>0</v>
      </c>
      <c r="I1000" s="131" t="b">
        <f aca="false">FALSE()</f>
        <v>0</v>
      </c>
      <c r="J1000" s="130"/>
      <c r="K1000" s="110"/>
      <c r="L1000" s="83"/>
      <c r="M1000" s="103"/>
      <c r="N1000" s="103"/>
      <c r="O1000" s="103"/>
      <c r="P1000" s="103"/>
      <c r="Q1000" s="103"/>
      <c r="R1000" s="83"/>
      <c r="S1000" s="103"/>
      <c r="T1000" s="103"/>
      <c r="U1000" s="103"/>
    </row>
    <row r="1001" customFormat="false" ht="22.5" hidden="false" customHeight="true" outlineLevel="0" collapsed="false">
      <c r="A1001" s="99"/>
      <c r="B1001" s="99"/>
      <c r="C1001" s="99"/>
      <c r="D1001" s="121"/>
      <c r="E1001" s="99"/>
      <c r="F1001" s="124"/>
      <c r="G1001" s="121"/>
      <c r="H1001" s="132" t="b">
        <f aca="false">FALSE()</f>
        <v>0</v>
      </c>
      <c r="I1001" s="132" t="b">
        <f aca="false">FALSE()</f>
        <v>0</v>
      </c>
      <c r="J1001" s="126"/>
      <c r="K1001" s="99"/>
      <c r="L1001" s="83"/>
      <c r="M1001" s="103"/>
      <c r="N1001" s="103"/>
      <c r="O1001" s="103"/>
      <c r="P1001" s="103"/>
      <c r="Q1001" s="103"/>
      <c r="R1001" s="83"/>
      <c r="S1001" s="103"/>
      <c r="T1001" s="103"/>
      <c r="U1001" s="103"/>
    </row>
    <row r="1002" customFormat="false" ht="22.5" hidden="false" customHeight="true" outlineLevel="0" collapsed="false">
      <c r="A1002" s="110"/>
      <c r="B1002" s="110"/>
      <c r="C1002" s="110"/>
      <c r="D1002" s="122"/>
      <c r="E1002" s="110"/>
      <c r="F1002" s="128"/>
      <c r="G1002" s="122"/>
      <c r="H1002" s="131" t="b">
        <f aca="false">FALSE()</f>
        <v>0</v>
      </c>
      <c r="I1002" s="131" t="b">
        <f aca="false">FALSE()</f>
        <v>0</v>
      </c>
      <c r="J1002" s="130"/>
      <c r="K1002" s="110"/>
      <c r="L1002" s="83"/>
      <c r="M1002" s="103"/>
      <c r="N1002" s="103"/>
      <c r="O1002" s="103"/>
      <c r="P1002" s="103"/>
      <c r="Q1002" s="103"/>
      <c r="R1002" s="83"/>
      <c r="S1002" s="103"/>
      <c r="T1002" s="103"/>
      <c r="U1002" s="103"/>
    </row>
    <row r="1003" customFormat="false" ht="22.5" hidden="false" customHeight="true" outlineLevel="0" collapsed="false">
      <c r="A1003" s="99"/>
      <c r="B1003" s="99"/>
      <c r="C1003" s="99"/>
      <c r="D1003" s="121"/>
      <c r="E1003" s="99"/>
      <c r="F1003" s="124"/>
      <c r="G1003" s="121"/>
      <c r="H1003" s="132" t="b">
        <f aca="false">FALSE()</f>
        <v>0</v>
      </c>
      <c r="I1003" s="132" t="b">
        <f aca="false">FALSE()</f>
        <v>0</v>
      </c>
      <c r="J1003" s="126"/>
      <c r="K1003" s="99"/>
      <c r="L1003" s="83"/>
      <c r="M1003" s="103"/>
      <c r="N1003" s="103"/>
      <c r="O1003" s="103"/>
      <c r="P1003" s="103"/>
      <c r="Q1003" s="103"/>
      <c r="R1003" s="83"/>
      <c r="S1003" s="103"/>
      <c r="T1003" s="103"/>
      <c r="U1003" s="103"/>
    </row>
    <row r="1004" customFormat="false" ht="22.5" hidden="false" customHeight="true" outlineLevel="0" collapsed="false">
      <c r="A1004" s="110"/>
      <c r="B1004" s="110"/>
      <c r="C1004" s="110"/>
      <c r="D1004" s="122"/>
      <c r="E1004" s="110"/>
      <c r="F1004" s="128"/>
      <c r="G1004" s="122"/>
      <c r="H1004" s="131" t="b">
        <f aca="false">FALSE()</f>
        <v>0</v>
      </c>
      <c r="I1004" s="131" t="b">
        <f aca="false">FALSE()</f>
        <v>0</v>
      </c>
      <c r="J1004" s="130"/>
      <c r="K1004" s="110"/>
      <c r="L1004" s="83"/>
      <c r="M1004" s="103"/>
      <c r="N1004" s="103"/>
      <c r="O1004" s="103"/>
      <c r="P1004" s="103"/>
      <c r="Q1004" s="103"/>
      <c r="R1004" s="83"/>
      <c r="S1004" s="103"/>
      <c r="T1004" s="103"/>
      <c r="U1004" s="103"/>
    </row>
    <row r="1005" customFormat="false" ht="22.5" hidden="false" customHeight="true" outlineLevel="0" collapsed="false">
      <c r="A1005" s="99"/>
      <c r="B1005" s="99"/>
      <c r="C1005" s="99"/>
      <c r="D1005" s="121"/>
      <c r="E1005" s="99"/>
      <c r="F1005" s="124"/>
      <c r="G1005" s="121"/>
      <c r="H1005" s="132" t="b">
        <f aca="false">FALSE()</f>
        <v>0</v>
      </c>
      <c r="I1005" s="132" t="b">
        <f aca="false">FALSE()</f>
        <v>0</v>
      </c>
      <c r="J1005" s="126"/>
      <c r="K1005" s="99"/>
      <c r="L1005" s="83"/>
      <c r="M1005" s="103"/>
      <c r="N1005" s="103"/>
      <c r="O1005" s="103"/>
      <c r="P1005" s="103"/>
      <c r="Q1005" s="103"/>
      <c r="R1005" s="83"/>
      <c r="S1005" s="103"/>
      <c r="T1005" s="103"/>
      <c r="U1005" s="103"/>
    </row>
    <row r="1006" customFormat="false" ht="22.5" hidden="false" customHeight="true" outlineLevel="0" collapsed="false">
      <c r="A1006" s="110"/>
      <c r="B1006" s="110"/>
      <c r="C1006" s="110"/>
      <c r="D1006" s="122"/>
      <c r="E1006" s="110"/>
      <c r="F1006" s="128"/>
      <c r="G1006" s="122"/>
      <c r="H1006" s="131" t="b">
        <f aca="false">FALSE()</f>
        <v>0</v>
      </c>
      <c r="I1006" s="131" t="b">
        <f aca="false">FALSE()</f>
        <v>0</v>
      </c>
      <c r="J1006" s="130"/>
      <c r="K1006" s="110"/>
      <c r="L1006" s="83"/>
      <c r="M1006" s="103"/>
      <c r="N1006" s="103"/>
      <c r="O1006" s="103"/>
      <c r="P1006" s="103"/>
      <c r="Q1006" s="103"/>
      <c r="R1006" s="83"/>
      <c r="S1006" s="103"/>
      <c r="T1006" s="103"/>
      <c r="U1006" s="103"/>
    </row>
    <row r="1007" customFormat="false" ht="22.5" hidden="false" customHeight="true" outlineLevel="0" collapsed="false">
      <c r="A1007" s="99"/>
      <c r="B1007" s="99"/>
      <c r="C1007" s="99"/>
      <c r="D1007" s="121"/>
      <c r="E1007" s="99"/>
      <c r="F1007" s="124"/>
      <c r="G1007" s="121"/>
      <c r="H1007" s="132" t="b">
        <f aca="false">FALSE()</f>
        <v>0</v>
      </c>
      <c r="I1007" s="132" t="b">
        <f aca="false">FALSE()</f>
        <v>0</v>
      </c>
      <c r="J1007" s="126"/>
      <c r="K1007" s="99"/>
      <c r="L1007" s="83"/>
      <c r="M1007" s="103"/>
      <c r="N1007" s="103"/>
      <c r="O1007" s="103"/>
      <c r="P1007" s="103"/>
      <c r="Q1007" s="103"/>
      <c r="R1007" s="83"/>
      <c r="S1007" s="103"/>
      <c r="T1007" s="103"/>
      <c r="U1007" s="103"/>
    </row>
    <row r="1008" customFormat="false" ht="22.5" hidden="false" customHeight="true" outlineLevel="0" collapsed="false">
      <c r="A1008" s="110"/>
      <c r="B1008" s="110"/>
      <c r="C1008" s="110"/>
      <c r="D1008" s="122"/>
      <c r="E1008" s="110"/>
      <c r="F1008" s="128"/>
      <c r="G1008" s="122"/>
      <c r="H1008" s="131" t="b">
        <f aca="false">FALSE()</f>
        <v>0</v>
      </c>
      <c r="I1008" s="131" t="b">
        <f aca="false">FALSE()</f>
        <v>0</v>
      </c>
      <c r="J1008" s="130"/>
      <c r="K1008" s="110"/>
      <c r="L1008" s="83"/>
      <c r="M1008" s="103"/>
      <c r="N1008" s="103"/>
      <c r="O1008" s="103"/>
      <c r="P1008" s="103"/>
      <c r="Q1008" s="103"/>
      <c r="R1008" s="83"/>
      <c r="S1008" s="103"/>
      <c r="T1008" s="103"/>
      <c r="U1008" s="103"/>
    </row>
    <row r="1009" customFormat="false" ht="22.5" hidden="false" customHeight="true" outlineLevel="0" collapsed="false">
      <c r="A1009" s="99"/>
      <c r="B1009" s="99"/>
      <c r="C1009" s="99"/>
      <c r="D1009" s="121"/>
      <c r="E1009" s="99"/>
      <c r="F1009" s="124"/>
      <c r="G1009" s="121"/>
      <c r="H1009" s="132" t="b">
        <f aca="false">FALSE()</f>
        <v>0</v>
      </c>
      <c r="I1009" s="132" t="b">
        <f aca="false">FALSE()</f>
        <v>0</v>
      </c>
      <c r="J1009" s="126"/>
      <c r="K1009" s="99"/>
      <c r="L1009" s="83"/>
      <c r="M1009" s="103"/>
      <c r="N1009" s="103"/>
      <c r="O1009" s="103"/>
      <c r="P1009" s="103"/>
      <c r="Q1009" s="103"/>
      <c r="R1009" s="83"/>
      <c r="S1009" s="103"/>
      <c r="T1009" s="103"/>
      <c r="U1009" s="103"/>
    </row>
    <row r="1010" customFormat="false" ht="22.5" hidden="false" customHeight="true" outlineLevel="0" collapsed="false">
      <c r="A1010" s="110"/>
      <c r="B1010" s="110"/>
      <c r="C1010" s="110"/>
      <c r="D1010" s="122"/>
      <c r="E1010" s="110"/>
      <c r="F1010" s="128"/>
      <c r="G1010" s="122"/>
      <c r="H1010" s="131" t="b">
        <f aca="false">FALSE()</f>
        <v>0</v>
      </c>
      <c r="I1010" s="131" t="b">
        <f aca="false">FALSE()</f>
        <v>0</v>
      </c>
      <c r="J1010" s="130"/>
      <c r="K1010" s="110"/>
      <c r="L1010" s="83"/>
      <c r="M1010" s="103"/>
      <c r="N1010" s="103"/>
      <c r="O1010" s="103"/>
      <c r="P1010" s="103"/>
      <c r="Q1010" s="103"/>
      <c r="R1010" s="83"/>
      <c r="S1010" s="103"/>
      <c r="T1010" s="103"/>
      <c r="U1010" s="103"/>
    </row>
    <row r="1011" customFormat="false" ht="22.5" hidden="false" customHeight="true" outlineLevel="0" collapsed="false">
      <c r="A1011" s="99"/>
      <c r="B1011" s="99"/>
      <c r="C1011" s="99"/>
      <c r="D1011" s="121"/>
      <c r="E1011" s="99"/>
      <c r="F1011" s="124"/>
      <c r="G1011" s="121"/>
      <c r="H1011" s="132" t="b">
        <f aca="false">FALSE()</f>
        <v>0</v>
      </c>
      <c r="I1011" s="132" t="b">
        <f aca="false">FALSE()</f>
        <v>0</v>
      </c>
      <c r="J1011" s="126"/>
      <c r="K1011" s="99"/>
      <c r="L1011" s="83"/>
      <c r="M1011" s="103"/>
      <c r="N1011" s="103"/>
      <c r="O1011" s="103"/>
      <c r="P1011" s="103"/>
      <c r="Q1011" s="103"/>
      <c r="R1011" s="83"/>
      <c r="S1011" s="103"/>
      <c r="T1011" s="103"/>
      <c r="U1011" s="103"/>
    </row>
    <row r="1012" customFormat="false" ht="22.5" hidden="false" customHeight="true" outlineLevel="0" collapsed="false">
      <c r="A1012" s="110"/>
      <c r="B1012" s="110"/>
      <c r="C1012" s="110"/>
      <c r="D1012" s="122"/>
      <c r="E1012" s="110"/>
      <c r="F1012" s="128"/>
      <c r="G1012" s="122"/>
      <c r="H1012" s="131" t="b">
        <f aca="false">FALSE()</f>
        <v>0</v>
      </c>
      <c r="I1012" s="131" t="b">
        <f aca="false">FALSE()</f>
        <v>0</v>
      </c>
      <c r="J1012" s="130"/>
      <c r="K1012" s="110"/>
      <c r="L1012" s="83"/>
      <c r="M1012" s="103"/>
      <c r="N1012" s="103"/>
      <c r="O1012" s="103"/>
      <c r="P1012" s="103"/>
      <c r="Q1012" s="103"/>
      <c r="R1012" s="83"/>
      <c r="S1012" s="103"/>
      <c r="T1012" s="103"/>
      <c r="U1012" s="103"/>
    </row>
    <row r="1013" customFormat="false" ht="22.5" hidden="false" customHeight="true" outlineLevel="0" collapsed="false">
      <c r="A1013" s="99"/>
      <c r="B1013" s="99"/>
      <c r="C1013" s="99"/>
      <c r="D1013" s="121"/>
      <c r="E1013" s="99"/>
      <c r="F1013" s="124"/>
      <c r="G1013" s="121"/>
      <c r="H1013" s="132" t="b">
        <f aca="false">FALSE()</f>
        <v>0</v>
      </c>
      <c r="I1013" s="132" t="b">
        <f aca="false">FALSE()</f>
        <v>0</v>
      </c>
      <c r="J1013" s="126"/>
      <c r="K1013" s="99"/>
      <c r="L1013" s="83"/>
      <c r="M1013" s="103"/>
      <c r="N1013" s="103"/>
      <c r="O1013" s="103"/>
      <c r="P1013" s="103"/>
      <c r="Q1013" s="103"/>
      <c r="R1013" s="83"/>
      <c r="S1013" s="103"/>
      <c r="T1013" s="103"/>
      <c r="U1013" s="103"/>
    </row>
    <row r="1014" customFormat="false" ht="22.5" hidden="false" customHeight="true" outlineLevel="0" collapsed="false">
      <c r="A1014" s="110"/>
      <c r="B1014" s="110"/>
      <c r="C1014" s="110"/>
      <c r="D1014" s="122"/>
      <c r="E1014" s="110"/>
      <c r="F1014" s="128"/>
      <c r="G1014" s="122"/>
      <c r="H1014" s="131" t="b">
        <f aca="false">FALSE()</f>
        <v>0</v>
      </c>
      <c r="I1014" s="131" t="b">
        <f aca="false">FALSE()</f>
        <v>0</v>
      </c>
      <c r="J1014" s="130"/>
      <c r="K1014" s="110"/>
      <c r="L1014" s="83"/>
      <c r="M1014" s="103"/>
      <c r="N1014" s="103"/>
      <c r="O1014" s="103"/>
      <c r="P1014" s="103"/>
      <c r="Q1014" s="103"/>
      <c r="R1014" s="83"/>
      <c r="S1014" s="103"/>
      <c r="T1014" s="103"/>
      <c r="U1014" s="103"/>
    </row>
    <row r="1015" customFormat="false" ht="22.5" hidden="false" customHeight="true" outlineLevel="0" collapsed="false">
      <c r="A1015" s="99"/>
      <c r="B1015" s="99"/>
      <c r="C1015" s="99"/>
      <c r="D1015" s="121"/>
      <c r="E1015" s="99"/>
      <c r="F1015" s="124"/>
      <c r="G1015" s="121"/>
      <c r="H1015" s="132" t="b">
        <f aca="false">FALSE()</f>
        <v>0</v>
      </c>
      <c r="I1015" s="132" t="b">
        <f aca="false">FALSE()</f>
        <v>0</v>
      </c>
      <c r="J1015" s="126"/>
      <c r="K1015" s="99"/>
      <c r="L1015" s="83"/>
      <c r="M1015" s="103"/>
      <c r="N1015" s="103"/>
      <c r="O1015" s="103"/>
      <c r="P1015" s="103"/>
      <c r="Q1015" s="103"/>
      <c r="R1015" s="83"/>
      <c r="S1015" s="103"/>
      <c r="T1015" s="103"/>
      <c r="U1015" s="103"/>
    </row>
    <row r="1016" customFormat="false" ht="22.5" hidden="false" customHeight="true" outlineLevel="0" collapsed="false">
      <c r="A1016" s="110"/>
      <c r="B1016" s="110"/>
      <c r="C1016" s="110"/>
      <c r="D1016" s="122"/>
      <c r="E1016" s="110"/>
      <c r="F1016" s="128"/>
      <c r="G1016" s="122"/>
      <c r="H1016" s="131" t="b">
        <f aca="false">FALSE()</f>
        <v>0</v>
      </c>
      <c r="I1016" s="131" t="b">
        <f aca="false">FALSE()</f>
        <v>0</v>
      </c>
      <c r="J1016" s="130"/>
      <c r="K1016" s="110"/>
      <c r="L1016" s="83"/>
      <c r="M1016" s="103"/>
      <c r="N1016" s="103"/>
      <c r="O1016" s="103"/>
      <c r="P1016" s="103"/>
      <c r="Q1016" s="103"/>
      <c r="R1016" s="83"/>
      <c r="S1016" s="103"/>
      <c r="T1016" s="103"/>
      <c r="U1016" s="103"/>
    </row>
    <row r="1017" customFormat="false" ht="22.5" hidden="false" customHeight="true" outlineLevel="0" collapsed="false">
      <c r="A1017" s="99"/>
      <c r="B1017" s="99"/>
      <c r="C1017" s="99"/>
      <c r="D1017" s="121"/>
      <c r="E1017" s="99"/>
      <c r="F1017" s="124"/>
      <c r="G1017" s="121"/>
      <c r="H1017" s="132" t="b">
        <f aca="false">FALSE()</f>
        <v>0</v>
      </c>
      <c r="I1017" s="132" t="b">
        <f aca="false">FALSE()</f>
        <v>0</v>
      </c>
      <c r="J1017" s="126"/>
      <c r="K1017" s="99"/>
      <c r="L1017" s="83"/>
      <c r="M1017" s="103"/>
      <c r="N1017" s="103"/>
      <c r="O1017" s="103"/>
      <c r="P1017" s="103"/>
      <c r="Q1017" s="103"/>
      <c r="R1017" s="83"/>
      <c r="S1017" s="103"/>
      <c r="T1017" s="103"/>
      <c r="U1017" s="103"/>
    </row>
    <row r="1018" customFormat="false" ht="22.5" hidden="false" customHeight="true" outlineLevel="0" collapsed="false">
      <c r="A1018" s="110"/>
      <c r="B1018" s="110"/>
      <c r="C1018" s="110"/>
      <c r="D1018" s="122"/>
      <c r="E1018" s="110"/>
      <c r="F1018" s="128"/>
      <c r="G1018" s="122"/>
      <c r="H1018" s="131" t="b">
        <f aca="false">FALSE()</f>
        <v>0</v>
      </c>
      <c r="I1018" s="131" t="b">
        <f aca="false">FALSE()</f>
        <v>0</v>
      </c>
      <c r="J1018" s="130"/>
      <c r="K1018" s="110"/>
      <c r="L1018" s="83"/>
      <c r="M1018" s="103"/>
      <c r="N1018" s="103"/>
      <c r="O1018" s="103"/>
      <c r="P1018" s="103"/>
      <c r="Q1018" s="103"/>
      <c r="R1018" s="83"/>
      <c r="S1018" s="103"/>
      <c r="T1018" s="103"/>
      <c r="U1018" s="103"/>
    </row>
    <row r="1019" customFormat="false" ht="22.5" hidden="false" customHeight="true" outlineLevel="0" collapsed="false">
      <c r="A1019" s="99"/>
      <c r="B1019" s="99"/>
      <c r="C1019" s="99"/>
      <c r="D1019" s="121"/>
      <c r="E1019" s="99"/>
      <c r="F1019" s="124"/>
      <c r="G1019" s="121"/>
      <c r="H1019" s="132" t="b">
        <f aca="false">FALSE()</f>
        <v>0</v>
      </c>
      <c r="I1019" s="132" t="b">
        <f aca="false">FALSE()</f>
        <v>0</v>
      </c>
      <c r="J1019" s="126"/>
      <c r="K1019" s="99"/>
      <c r="L1019" s="83"/>
      <c r="M1019" s="103"/>
      <c r="N1019" s="103"/>
      <c r="O1019" s="103"/>
      <c r="P1019" s="103"/>
      <c r="Q1019" s="103"/>
      <c r="R1019" s="83"/>
      <c r="S1019" s="103"/>
      <c r="T1019" s="103"/>
      <c r="U1019" s="103"/>
    </row>
    <row r="1020" customFormat="false" ht="22.5" hidden="false" customHeight="true" outlineLevel="0" collapsed="false">
      <c r="A1020" s="110"/>
      <c r="B1020" s="110"/>
      <c r="C1020" s="110"/>
      <c r="D1020" s="122"/>
      <c r="E1020" s="110"/>
      <c r="F1020" s="128"/>
      <c r="G1020" s="122"/>
      <c r="H1020" s="131" t="b">
        <f aca="false">FALSE()</f>
        <v>0</v>
      </c>
      <c r="I1020" s="131" t="b">
        <f aca="false">FALSE()</f>
        <v>0</v>
      </c>
      <c r="J1020" s="130"/>
      <c r="K1020" s="110"/>
      <c r="L1020" s="83"/>
      <c r="M1020" s="103"/>
      <c r="N1020" s="103"/>
      <c r="O1020" s="103"/>
      <c r="P1020" s="103"/>
      <c r="Q1020" s="103"/>
      <c r="R1020" s="83"/>
      <c r="S1020" s="103"/>
      <c r="T1020" s="103"/>
      <c r="U1020" s="103"/>
    </row>
    <row r="1021" customFormat="false" ht="22.5" hidden="false" customHeight="true" outlineLevel="0" collapsed="false">
      <c r="A1021" s="99"/>
      <c r="B1021" s="99"/>
      <c r="C1021" s="99"/>
      <c r="D1021" s="121"/>
      <c r="E1021" s="99"/>
      <c r="F1021" s="124"/>
      <c r="G1021" s="121"/>
      <c r="H1021" s="132" t="b">
        <f aca="false">FALSE()</f>
        <v>0</v>
      </c>
      <c r="I1021" s="132" t="b">
        <f aca="false">FALSE()</f>
        <v>0</v>
      </c>
      <c r="J1021" s="126"/>
      <c r="K1021" s="99"/>
      <c r="L1021" s="83"/>
      <c r="M1021" s="103"/>
      <c r="N1021" s="103"/>
      <c r="O1021" s="103"/>
      <c r="P1021" s="103"/>
      <c r="Q1021" s="103"/>
      <c r="R1021" s="83"/>
      <c r="S1021" s="103"/>
      <c r="T1021" s="103"/>
      <c r="U1021" s="103"/>
    </row>
    <row r="1022" customFormat="false" ht="22.5" hidden="false" customHeight="true" outlineLevel="0" collapsed="false">
      <c r="A1022" s="110"/>
      <c r="B1022" s="110"/>
      <c r="C1022" s="110"/>
      <c r="D1022" s="122"/>
      <c r="E1022" s="110"/>
      <c r="F1022" s="128"/>
      <c r="G1022" s="122"/>
      <c r="H1022" s="131" t="b">
        <f aca="false">FALSE()</f>
        <v>0</v>
      </c>
      <c r="I1022" s="131" t="b">
        <f aca="false">FALSE()</f>
        <v>0</v>
      </c>
      <c r="J1022" s="130"/>
      <c r="K1022" s="110"/>
      <c r="L1022" s="83"/>
      <c r="M1022" s="103"/>
      <c r="N1022" s="103"/>
      <c r="O1022" s="103"/>
      <c r="P1022" s="103"/>
      <c r="Q1022" s="103"/>
      <c r="R1022" s="83"/>
      <c r="S1022" s="103"/>
      <c r="T1022" s="103"/>
      <c r="U1022" s="103"/>
    </row>
    <row r="1023" customFormat="false" ht="22.5" hidden="false" customHeight="true" outlineLevel="0" collapsed="false">
      <c r="A1023" s="99"/>
      <c r="B1023" s="99"/>
      <c r="C1023" s="99"/>
      <c r="D1023" s="121"/>
      <c r="E1023" s="99"/>
      <c r="F1023" s="124"/>
      <c r="G1023" s="121"/>
      <c r="H1023" s="132" t="b">
        <f aca="false">FALSE()</f>
        <v>0</v>
      </c>
      <c r="I1023" s="132" t="b">
        <f aca="false">FALSE()</f>
        <v>0</v>
      </c>
      <c r="J1023" s="126"/>
      <c r="K1023" s="99"/>
      <c r="L1023" s="83"/>
      <c r="M1023" s="103"/>
      <c r="N1023" s="103"/>
      <c r="O1023" s="103"/>
      <c r="P1023" s="103"/>
      <c r="Q1023" s="103"/>
      <c r="R1023" s="83"/>
      <c r="S1023" s="103"/>
      <c r="T1023" s="103"/>
      <c r="U1023" s="103"/>
    </row>
    <row r="1024" customFormat="false" ht="22.5" hidden="false" customHeight="true" outlineLevel="0" collapsed="false">
      <c r="A1024" s="110"/>
      <c r="B1024" s="110"/>
      <c r="C1024" s="110"/>
      <c r="D1024" s="122"/>
      <c r="E1024" s="110"/>
      <c r="F1024" s="128"/>
      <c r="G1024" s="122"/>
      <c r="H1024" s="131" t="b">
        <f aca="false">FALSE()</f>
        <v>0</v>
      </c>
      <c r="I1024" s="131" t="b">
        <f aca="false">FALSE()</f>
        <v>0</v>
      </c>
      <c r="J1024" s="130"/>
      <c r="K1024" s="110"/>
      <c r="L1024" s="83"/>
      <c r="M1024" s="103"/>
      <c r="N1024" s="103"/>
      <c r="O1024" s="103"/>
      <c r="P1024" s="103"/>
      <c r="Q1024" s="103"/>
      <c r="R1024" s="83"/>
      <c r="S1024" s="103"/>
      <c r="T1024" s="103"/>
      <c r="U1024" s="103"/>
    </row>
    <row r="1025" customFormat="false" ht="22.5" hidden="false" customHeight="true" outlineLevel="0" collapsed="false">
      <c r="A1025" s="99"/>
      <c r="B1025" s="99"/>
      <c r="C1025" s="99"/>
      <c r="D1025" s="121"/>
      <c r="E1025" s="99"/>
      <c r="F1025" s="124"/>
      <c r="G1025" s="121"/>
      <c r="H1025" s="132" t="b">
        <f aca="false">FALSE()</f>
        <v>0</v>
      </c>
      <c r="I1025" s="132" t="b">
        <f aca="false">FALSE()</f>
        <v>0</v>
      </c>
      <c r="J1025" s="126"/>
      <c r="K1025" s="99"/>
      <c r="L1025" s="83"/>
      <c r="M1025" s="103"/>
      <c r="N1025" s="103"/>
      <c r="O1025" s="103"/>
      <c r="P1025" s="103"/>
      <c r="Q1025" s="103"/>
      <c r="R1025" s="83"/>
      <c r="S1025" s="103"/>
      <c r="T1025" s="103"/>
      <c r="U1025" s="103"/>
    </row>
    <row r="1026" customFormat="false" ht="22.5" hidden="false" customHeight="true" outlineLevel="0" collapsed="false">
      <c r="A1026" s="110"/>
      <c r="B1026" s="110"/>
      <c r="C1026" s="110"/>
      <c r="D1026" s="122"/>
      <c r="E1026" s="110"/>
      <c r="F1026" s="128"/>
      <c r="G1026" s="122"/>
      <c r="H1026" s="131" t="b">
        <f aca="false">FALSE()</f>
        <v>0</v>
      </c>
      <c r="I1026" s="131" t="b">
        <f aca="false">FALSE()</f>
        <v>0</v>
      </c>
      <c r="J1026" s="130"/>
      <c r="K1026" s="110"/>
      <c r="L1026" s="83"/>
      <c r="M1026" s="103"/>
      <c r="N1026" s="103"/>
      <c r="O1026" s="103"/>
      <c r="P1026" s="103"/>
      <c r="Q1026" s="103"/>
      <c r="R1026" s="83"/>
      <c r="S1026" s="103"/>
      <c r="T1026" s="103"/>
      <c r="U1026" s="103"/>
    </row>
    <row r="1027" customFormat="false" ht="22.5" hidden="false" customHeight="true" outlineLevel="0" collapsed="false">
      <c r="A1027" s="99"/>
      <c r="B1027" s="99"/>
      <c r="C1027" s="99"/>
      <c r="D1027" s="121"/>
      <c r="E1027" s="99"/>
      <c r="F1027" s="124"/>
      <c r="G1027" s="121"/>
      <c r="H1027" s="132" t="b">
        <f aca="false">FALSE()</f>
        <v>0</v>
      </c>
      <c r="I1027" s="132" t="b">
        <f aca="false">FALSE()</f>
        <v>0</v>
      </c>
      <c r="J1027" s="126"/>
      <c r="K1027" s="99"/>
      <c r="L1027" s="83"/>
      <c r="M1027" s="103"/>
      <c r="N1027" s="103"/>
      <c r="O1027" s="103"/>
      <c r="P1027" s="103"/>
      <c r="Q1027" s="103"/>
      <c r="R1027" s="83"/>
      <c r="S1027" s="103"/>
      <c r="T1027" s="103"/>
      <c r="U1027" s="103"/>
    </row>
    <row r="1028" customFormat="false" ht="22.5" hidden="false" customHeight="true" outlineLevel="0" collapsed="false">
      <c r="A1028" s="110"/>
      <c r="B1028" s="110"/>
      <c r="C1028" s="110"/>
      <c r="D1028" s="122"/>
      <c r="E1028" s="110"/>
      <c r="F1028" s="128"/>
      <c r="G1028" s="122"/>
      <c r="H1028" s="131" t="b">
        <f aca="false">FALSE()</f>
        <v>0</v>
      </c>
      <c r="I1028" s="131" t="b">
        <f aca="false">FALSE()</f>
        <v>0</v>
      </c>
      <c r="J1028" s="130"/>
      <c r="K1028" s="110"/>
      <c r="L1028" s="83"/>
      <c r="M1028" s="103"/>
      <c r="N1028" s="103"/>
      <c r="O1028" s="103"/>
      <c r="P1028" s="103"/>
      <c r="Q1028" s="103"/>
      <c r="R1028" s="83"/>
      <c r="S1028" s="103"/>
      <c r="T1028" s="103"/>
      <c r="U1028" s="103"/>
    </row>
    <row r="1029" customFormat="false" ht="22.5" hidden="false" customHeight="true" outlineLevel="0" collapsed="false">
      <c r="A1029" s="99"/>
      <c r="B1029" s="99"/>
      <c r="C1029" s="158"/>
      <c r="D1029" s="159"/>
      <c r="E1029" s="158"/>
      <c r="F1029" s="160"/>
      <c r="G1029" s="159"/>
      <c r="H1029" s="161" t="b">
        <f aca="false">FALSE()</f>
        <v>0</v>
      </c>
      <c r="I1029" s="161" t="b">
        <f aca="false">FALSE()</f>
        <v>0</v>
      </c>
      <c r="J1029" s="162"/>
      <c r="K1029" s="158"/>
      <c r="L1029" s="83"/>
      <c r="M1029" s="103"/>
      <c r="N1029" s="103"/>
      <c r="O1029" s="103"/>
      <c r="P1029" s="103"/>
      <c r="Q1029" s="103"/>
      <c r="R1029" s="83"/>
      <c r="S1029" s="103"/>
      <c r="T1029" s="103"/>
      <c r="U1029" s="103"/>
    </row>
  </sheetData>
  <mergeCells count="7">
    <mergeCell ref="A1:K1"/>
    <mergeCell ref="R1:S1"/>
    <mergeCell ref="T1:U1"/>
    <mergeCell ref="R6:S6"/>
    <mergeCell ref="T6:U6"/>
    <mergeCell ref="R7:S7"/>
    <mergeCell ref="T7:U7"/>
  </mergeCells>
  <dataValidations count="4">
    <dataValidation allowBlank="true" errorStyle="stop" operator="between" showDropDown="false" showErrorMessage="true" showInputMessage="false" sqref="K3:K1029" type="list">
      <formula1>"NUEVO,EXISTENTE"</formula1>
      <formula2>0</formula2>
    </dataValidation>
    <dataValidation allowBlank="true" errorStyle="stop" operator="between" showDropDown="true" showErrorMessage="true" showInputMessage="false" sqref="B3:B1029 J3:J1029" type="custom">
      <formula1>OR(NOT(ISERROR(DATEVALUE(B3))), AND(ISNUMBER(B3), LEFT(CELL("format", B3))="D"))</formula1>
      <formula2>0</formula2>
    </dataValidation>
    <dataValidation allowBlank="true" errorStyle="stop" operator="between" showDropDown="false" showErrorMessage="true" showInputMessage="false" sqref="M7" type="list">
      <formula1>BD!$H$2:$H1029</formula1>
      <formula2>0</formula2>
    </dataValidation>
    <dataValidation allowBlank="true" errorStyle="stop" operator="between" showDropDown="false" showErrorMessage="true" showInputMessage="false" sqref="E3:E1029" type="list">
      <formula1>"CONTADO,TARJETA / CHEQUE,FINANCIADO,MCP"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1130"/>
    <outlinePr summaryBelow="0"/>
    <pageSetUpPr fitToPage="false"/>
  </sheetPr>
  <dimension ref="A1:U10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10" activeCellId="0" sqref="M10"/>
    </sheetView>
  </sheetViews>
  <sheetFormatPr defaultColWidth="12.6328125" defaultRowHeight="15.75" customHeight="true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true" outlineLevel="1" max="6" min="6" style="0" width="14"/>
    <col collapsed="false" customWidth="true" hidden="true" outlineLevel="1" max="7" min="7" style="0" width="13.63"/>
    <col collapsed="false" customWidth="false" hidden="true" outlineLevel="1" max="8" min="8" style="0" width="12.63"/>
    <col collapsed="false" customWidth="true" hidden="true" outlineLevel="1" max="9" min="9" style="0" width="9.88"/>
    <col collapsed="false" customWidth="true" hidden="true" outlineLevel="1" max="10" min="10" style="0" width="15.38"/>
    <col collapsed="false" customWidth="true" hidden="true" outlineLevel="1" max="11" min="11" style="0" width="10.88"/>
    <col collapsed="false" customWidth="true" hidden="false" outlineLevel="0" max="12" min="12" style="0" width="5.75"/>
    <col collapsed="false" customWidth="true" hidden="false" outlineLevel="0" max="13" min="13" style="0" width="17.88"/>
    <col collapsed="false" customWidth="true" hidden="true" outlineLevel="1" max="14" min="14" style="0" width="14.51"/>
    <col collapsed="false" customWidth="true" hidden="true" outlineLevel="1" max="15" min="15" style="0" width="16.75"/>
    <col collapsed="false" customWidth="true" hidden="true" outlineLevel="1" max="17" min="16" style="0" width="14.51"/>
    <col collapsed="false" customWidth="true" hidden="false" outlineLevel="0" max="19" min="19" style="0" width="15.13"/>
    <col collapsed="false" customWidth="true" hidden="false" outlineLevel="0" max="20" min="20" style="0" width="15.88"/>
    <col collapsed="false" customWidth="true" hidden="false" outlineLevel="0" max="21" min="21" style="0" width="12.5"/>
  </cols>
  <sheetData>
    <row r="1" customFormat="false" ht="30" hidden="false" customHeight="true" outlineLevel="0" collapsed="false">
      <c r="A1" s="163" t="s">
        <v>539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83"/>
      <c r="M1" s="84" t="s">
        <v>446</v>
      </c>
      <c r="N1" s="85" t="s">
        <v>431</v>
      </c>
      <c r="O1" s="86" t="s">
        <v>447</v>
      </c>
      <c r="P1" s="87" t="s">
        <v>433</v>
      </c>
      <c r="Q1" s="88" t="s">
        <v>400</v>
      </c>
      <c r="R1" s="89" t="s">
        <v>448</v>
      </c>
      <c r="S1" s="89"/>
      <c r="T1" s="90" t="s">
        <v>449</v>
      </c>
      <c r="U1" s="90"/>
    </row>
    <row r="2" customFormat="false" ht="30" hidden="false" customHeight="true" outlineLevel="0" collapsed="false">
      <c r="A2" s="91" t="s">
        <v>450</v>
      </c>
      <c r="B2" s="91" t="s">
        <v>451</v>
      </c>
      <c r="C2" s="91" t="s">
        <v>452</v>
      </c>
      <c r="D2" s="91" t="s">
        <v>453</v>
      </c>
      <c r="E2" s="91" t="s">
        <v>454</v>
      </c>
      <c r="F2" s="91" t="s">
        <v>455</v>
      </c>
      <c r="G2" s="91" t="s">
        <v>456</v>
      </c>
      <c r="H2" s="91" t="s">
        <v>457</v>
      </c>
      <c r="I2" s="91" t="s">
        <v>458</v>
      </c>
      <c r="J2" s="92" t="s">
        <v>459</v>
      </c>
      <c r="K2" s="91" t="s">
        <v>382</v>
      </c>
      <c r="L2" s="83"/>
      <c r="M2" s="93" t="n">
        <f aca="false">SUM(D:D)</f>
        <v>1665259.1</v>
      </c>
      <c r="N2" s="94" t="n">
        <f aca="false">SUMIF($E:$E,N1,$D:$D)</f>
        <v>898974</v>
      </c>
      <c r="O2" s="94" t="n">
        <f aca="false">SUMIF($E:$E,O1,$D:$D)</f>
        <v>196265.1</v>
      </c>
      <c r="P2" s="94" t="n">
        <f aca="false">SUMIF($E:$E,P1,$D:$D)</f>
        <v>570020</v>
      </c>
      <c r="Q2" s="94" t="n">
        <f aca="false">SUMIF($E:$E,Q1,$D:$D)</f>
        <v>0</v>
      </c>
      <c r="R2" s="95" t="n">
        <f aca="false">M2/S2</f>
        <v>0.05947353929</v>
      </c>
      <c r="S2" s="93" t="n">
        <v>28000000</v>
      </c>
      <c r="T2" s="95" t="n">
        <f aca="false">(N2+O2+P2+(Q2/2))/U2</f>
        <v>0.1211097527</v>
      </c>
      <c r="U2" s="93" t="n">
        <v>13750000</v>
      </c>
    </row>
    <row r="3" customFormat="false" ht="22.5" hidden="false" customHeight="true" outlineLevel="0" collapsed="false">
      <c r="A3" s="143" t="n">
        <v>1</v>
      </c>
      <c r="B3" s="144" t="n">
        <v>46171</v>
      </c>
      <c r="C3" s="145" t="s">
        <v>537</v>
      </c>
      <c r="D3" s="146" t="n">
        <v>76680</v>
      </c>
      <c r="E3" s="147" t="s">
        <v>431</v>
      </c>
      <c r="F3" s="100" t="n">
        <f aca="false">IF(E3="CONTADO", 4%, IF(E3="TARJETA / CHEQUE", 3%, IF(OR(E3="FINANCIADO", E3="MCP"), 2.5%, "")))</f>
        <v>0.04</v>
      </c>
      <c r="G3" s="148" t="n">
        <f aca="false">IF(F3="", "", F3*D3)</f>
        <v>3067.2</v>
      </c>
      <c r="H3" s="149" t="b">
        <f aca="false">TRUE()</f>
        <v>1</v>
      </c>
      <c r="I3" s="149" t="b">
        <f aca="false">FALSE()</f>
        <v>0</v>
      </c>
      <c r="J3" s="150"/>
      <c r="K3" s="145" t="s">
        <v>465</v>
      </c>
      <c r="L3" s="83"/>
      <c r="N3" s="103"/>
      <c r="O3" s="103"/>
      <c r="P3" s="103"/>
      <c r="Q3" s="103"/>
      <c r="R3" s="104" t="s">
        <v>462</v>
      </c>
      <c r="S3" s="105" t="n">
        <f aca="false">S2-M2</f>
        <v>26334740.9</v>
      </c>
      <c r="T3" s="106" t="s">
        <v>462</v>
      </c>
      <c r="U3" s="105" t="n">
        <f aca="false">IF((U2-M2)&gt;=0,U2-M2,"")</f>
        <v>12084740.9</v>
      </c>
    </row>
    <row r="4" customFormat="false" ht="22.5" hidden="false" customHeight="true" outlineLevel="0" collapsed="false">
      <c r="A4" s="164"/>
      <c r="B4" s="165" t="n">
        <v>46171</v>
      </c>
      <c r="C4" s="166" t="s">
        <v>540</v>
      </c>
      <c r="D4" s="167" t="n">
        <v>430540</v>
      </c>
      <c r="E4" s="168" t="s">
        <v>433</v>
      </c>
      <c r="F4" s="111" t="n">
        <f aca="false">IF(E4="CONTADO", 4%, IF(E4="TARJETA / CHEQUE", 3%, IF(OR(E4="FINANCIADO", E4="MCP"), 2.5%, "")))</f>
        <v>0.025</v>
      </c>
      <c r="G4" s="155" t="n">
        <f aca="false">IF(F4="", "", F4*D4)</f>
        <v>10763.5</v>
      </c>
      <c r="H4" s="169" t="b">
        <f aca="false">FALSE()</f>
        <v>0</v>
      </c>
      <c r="I4" s="169" t="b">
        <f aca="false">FALSE()</f>
        <v>0</v>
      </c>
      <c r="J4" s="170"/>
      <c r="K4" s="166" t="s">
        <v>465</v>
      </c>
      <c r="L4" s="83"/>
      <c r="N4" s="103"/>
      <c r="O4" s="103"/>
      <c r="P4" s="103"/>
      <c r="Q4" s="103"/>
    </row>
    <row r="5" customFormat="false" ht="22.5" hidden="false" customHeight="true" outlineLevel="0" collapsed="false">
      <c r="A5" s="143"/>
      <c r="B5" s="144" t="n">
        <v>46171</v>
      </c>
      <c r="C5" s="145" t="s">
        <v>541</v>
      </c>
      <c r="D5" s="146" t="n">
        <v>196265.1</v>
      </c>
      <c r="E5" s="147" t="s">
        <v>447</v>
      </c>
      <c r="F5" s="100" t="n">
        <f aca="false">IF(E5="CONTADO", 4%, IF(E5="TARJETA / CHEQUE", 3%, IF(OR(E5="FINANCIADO", E5="MCP"), 2.5%, "")))</f>
        <v>0.03</v>
      </c>
      <c r="G5" s="148" t="n">
        <f aca="false">IF(F5="", "", F5*D5)</f>
        <v>5887.953</v>
      </c>
      <c r="H5" s="149" t="b">
        <f aca="false">TRUE()</f>
        <v>1</v>
      </c>
      <c r="I5" s="149" t="b">
        <f aca="false">FALSE()</f>
        <v>0</v>
      </c>
      <c r="J5" s="150"/>
      <c r="K5" s="145" t="s">
        <v>461</v>
      </c>
      <c r="L5" s="83"/>
      <c r="M5" s="114" t="s">
        <v>5</v>
      </c>
      <c r="N5" s="103"/>
      <c r="O5" s="103"/>
      <c r="P5" s="103"/>
      <c r="Q5" s="103"/>
      <c r="R5" s="116" t="s">
        <v>466</v>
      </c>
      <c r="S5" s="116"/>
      <c r="T5" s="117" t="s">
        <v>467</v>
      </c>
      <c r="U5" s="117"/>
    </row>
    <row r="6" customFormat="false" ht="22.5" hidden="false" customHeight="true" outlineLevel="0" collapsed="false">
      <c r="A6" s="164" t="s">
        <v>512</v>
      </c>
      <c r="B6" s="165" t="n">
        <v>46172</v>
      </c>
      <c r="C6" s="107"/>
      <c r="D6" s="109"/>
      <c r="E6" s="110"/>
      <c r="F6" s="111" t="str">
        <f aca="false">IF(E6="CONTADO", 4%, IF(E6="TARJETA / CHEQUE", 3%, IF(OR(E6="FINANCIADO", E6="MCP"), 2.5%, "")))</f>
        <v/>
      </c>
      <c r="G6" s="109" t="str">
        <f aca="false">IF(F6="", "", F6*D6)</f>
        <v/>
      </c>
      <c r="H6" s="112" t="b">
        <f aca="false">FALSE()</f>
        <v>0</v>
      </c>
      <c r="I6" s="112" t="b">
        <f aca="false">FALSE()</f>
        <v>0</v>
      </c>
      <c r="J6" s="113"/>
      <c r="K6" s="107"/>
      <c r="L6" s="83"/>
      <c r="M6" s="118" t="s">
        <v>542</v>
      </c>
      <c r="N6" s="103"/>
      <c r="O6" s="103"/>
      <c r="P6" s="103"/>
      <c r="Q6" s="103"/>
      <c r="R6" s="120" t="str">
        <f aca="false">IFERROR(VLOOKUP(M6,BD!H:J,2,FALSE()),"")</f>
        <v>Online - ZONA 20</v>
      </c>
      <c r="S6" s="120"/>
      <c r="T6" s="120" t="str">
        <f aca="false">IFERROR(VLOOKUP(M6,BD!H:J,3,FALSE()),"")</f>
        <v>30%</v>
      </c>
      <c r="U6" s="120"/>
    </row>
    <row r="7" customFormat="false" ht="22.5" hidden="false" customHeight="true" outlineLevel="0" collapsed="false">
      <c r="A7" s="153" t="n">
        <v>2</v>
      </c>
      <c r="B7" s="154" t="n">
        <v>46174</v>
      </c>
      <c r="C7" s="96" t="s">
        <v>543</v>
      </c>
      <c r="D7" s="98" t="n">
        <v>136000</v>
      </c>
      <c r="E7" s="99" t="s">
        <v>431</v>
      </c>
      <c r="F7" s="100" t="n">
        <f aca="false">IF(E7="CONTADO", 4%, IF(E7="TARJETA / CHEQUE", 3%, IF(OR(E7="FINANCIADO", E7="MCP"), 2.5%, "")))</f>
        <v>0.04</v>
      </c>
      <c r="G7" s="98" t="n">
        <f aca="false">IF(F7="", "", F7*D7)</f>
        <v>5440</v>
      </c>
      <c r="H7" s="101" t="b">
        <f aca="false">FALSE()</f>
        <v>0</v>
      </c>
      <c r="I7" s="101" t="b">
        <f aca="false">FALSE()</f>
        <v>0</v>
      </c>
      <c r="J7" s="102"/>
      <c r="K7" s="96"/>
      <c r="L7" s="83"/>
      <c r="M7" s="103"/>
      <c r="R7" s="83"/>
      <c r="S7" s="103"/>
      <c r="T7" s="103"/>
      <c r="U7" s="103"/>
    </row>
    <row r="8" customFormat="false" ht="22.5" hidden="false" customHeight="true" outlineLevel="0" collapsed="false">
      <c r="A8" s="151" t="n">
        <v>3</v>
      </c>
      <c r="B8" s="152" t="n">
        <v>46175</v>
      </c>
      <c r="C8" s="107"/>
      <c r="D8" s="109"/>
      <c r="E8" s="110"/>
      <c r="F8" s="111" t="str">
        <f aca="false">IF(E8="CONTADO", 4%, IF(E8="TARJETA / CHEQUE", 3%, IF(OR(E8="FINANCIADO", E8="MCP"), 2.5%, "")))</f>
        <v/>
      </c>
      <c r="G8" s="109" t="str">
        <f aca="false">IF(F8="", "", F8*D8)</f>
        <v/>
      </c>
      <c r="H8" s="112" t="b">
        <f aca="false">FALSE()</f>
        <v>0</v>
      </c>
      <c r="I8" s="112" t="b">
        <f aca="false">FALSE()</f>
        <v>0</v>
      </c>
      <c r="J8" s="113"/>
      <c r="K8" s="107"/>
      <c r="L8" s="83"/>
      <c r="M8" s="103"/>
      <c r="N8" s="115"/>
      <c r="O8" s="115"/>
      <c r="P8" s="115"/>
      <c r="Q8" s="115"/>
      <c r="R8" s="83"/>
      <c r="S8" s="103"/>
      <c r="T8" s="103"/>
      <c r="U8" s="103"/>
    </row>
    <row r="9" customFormat="false" ht="22.5" hidden="false" customHeight="true" outlineLevel="0" collapsed="false">
      <c r="A9" s="153" t="n">
        <v>4</v>
      </c>
      <c r="B9" s="154" t="n">
        <v>46176</v>
      </c>
      <c r="C9" s="96"/>
      <c r="D9" s="98"/>
      <c r="E9" s="99"/>
      <c r="F9" s="100" t="str">
        <f aca="false">IF(E9="CONTADO", 4%, IF(E9="TARJETA / CHEQUE", 3%, IF(OR(E9="FINANCIADO", E9="MCP"), 2.5%, "")))</f>
        <v/>
      </c>
      <c r="G9" s="148" t="str">
        <f aca="false">IF(F9="", "", F9*D9)</f>
        <v/>
      </c>
      <c r="H9" s="101" t="b">
        <f aca="false">FALSE()</f>
        <v>0</v>
      </c>
      <c r="I9" s="101" t="b">
        <f aca="false">FALSE()</f>
        <v>0</v>
      </c>
      <c r="J9" s="102"/>
      <c r="K9" s="96"/>
      <c r="L9" s="83"/>
      <c r="M9" s="103"/>
      <c r="N9" s="119"/>
      <c r="O9" s="119"/>
      <c r="P9" s="119"/>
      <c r="Q9" s="119"/>
      <c r="R9" s="83"/>
      <c r="S9" s="103"/>
      <c r="T9" s="103"/>
      <c r="U9" s="103"/>
    </row>
    <row r="10" customFormat="false" ht="22.5" hidden="false" customHeight="true" outlineLevel="0" collapsed="false">
      <c r="A10" s="151" t="n">
        <v>5</v>
      </c>
      <c r="B10" s="152" t="n">
        <v>46177</v>
      </c>
      <c r="C10" s="107"/>
      <c r="D10" s="109"/>
      <c r="E10" s="110"/>
      <c r="F10" s="111" t="str">
        <f aca="false">IF(E10="CONTADO", 4%, IF(E10="TARJETA / CHEQUE", 3%, IF(OR(E10="FINANCIADO", E10="MCP"), 2.5%, "")))</f>
        <v/>
      </c>
      <c r="G10" s="155" t="str">
        <f aca="false">IF(F10="", "", F10*D10)</f>
        <v/>
      </c>
      <c r="H10" s="112" t="b">
        <f aca="false">FALSE()</f>
        <v>0</v>
      </c>
      <c r="I10" s="112" t="b">
        <f aca="false">FALSE()</f>
        <v>0</v>
      </c>
      <c r="J10" s="113"/>
      <c r="K10" s="107"/>
      <c r="L10" s="83"/>
      <c r="M10" s="103"/>
      <c r="N10" s="103"/>
      <c r="O10" s="103"/>
      <c r="P10" s="103"/>
      <c r="Q10" s="103"/>
      <c r="R10" s="83"/>
      <c r="S10" s="103"/>
      <c r="T10" s="103"/>
      <c r="U10" s="103"/>
    </row>
    <row r="11" customFormat="false" ht="22.5" hidden="false" customHeight="true" outlineLevel="0" collapsed="false">
      <c r="A11" s="153" t="n">
        <v>6</v>
      </c>
      <c r="B11" s="154" t="n">
        <v>46178</v>
      </c>
      <c r="C11" s="96" t="s">
        <v>544</v>
      </c>
      <c r="D11" s="98" t="n">
        <v>358850</v>
      </c>
      <c r="E11" s="99" t="s">
        <v>431</v>
      </c>
      <c r="F11" s="100" t="n">
        <f aca="false">IF(E11="CONTADO", 4%, IF(E11="TARJETA / CHEQUE", 3%, IF(OR(E11="FINANCIADO", E11="MCP"), 2.5%, "")))</f>
        <v>0.04</v>
      </c>
      <c r="G11" s="98" t="n">
        <f aca="false">IF(F11="", "", F11*D11)</f>
        <v>14354</v>
      </c>
      <c r="H11" s="101" t="b">
        <f aca="false">FALSE()</f>
        <v>0</v>
      </c>
      <c r="I11" s="101" t="b">
        <f aca="false">FALSE()</f>
        <v>0</v>
      </c>
      <c r="J11" s="102"/>
      <c r="K11" s="96"/>
      <c r="L11" s="83"/>
      <c r="N11" s="103"/>
      <c r="O11" s="103"/>
      <c r="P11" s="103"/>
      <c r="Q11" s="103"/>
    </row>
    <row r="12" customFormat="false" ht="22.5" hidden="false" customHeight="true" outlineLevel="0" collapsed="false">
      <c r="A12" s="164"/>
      <c r="B12" s="152" t="n">
        <v>46178</v>
      </c>
      <c r="C12" s="107" t="s">
        <v>545</v>
      </c>
      <c r="D12" s="109" t="n">
        <v>327444</v>
      </c>
      <c r="E12" s="110" t="s">
        <v>431</v>
      </c>
      <c r="F12" s="111"/>
      <c r="G12" s="109"/>
      <c r="H12" s="112" t="b">
        <f aca="false">FALSE()</f>
        <v>0</v>
      </c>
      <c r="I12" s="112" t="b">
        <f aca="false">FALSE()</f>
        <v>0</v>
      </c>
      <c r="J12" s="113"/>
      <c r="K12" s="107"/>
      <c r="L12" s="83"/>
      <c r="N12" s="103"/>
      <c r="O12" s="103"/>
      <c r="P12" s="103"/>
      <c r="Q12" s="103"/>
    </row>
    <row r="13" customFormat="false" ht="22.5" hidden="false" customHeight="true" outlineLevel="0" collapsed="false">
      <c r="A13" s="143" t="s">
        <v>512</v>
      </c>
      <c r="B13" s="154" t="n">
        <v>46179</v>
      </c>
      <c r="C13" s="96" t="s">
        <v>546</v>
      </c>
      <c r="D13" s="98" t="n">
        <v>139480</v>
      </c>
      <c r="E13" s="99" t="s">
        <v>433</v>
      </c>
      <c r="F13" s="100" t="n">
        <f aca="false">IF(E13="CONTADO", 4%, IF(E13="TARJETA / CHEQUE", 3%, IF(OR(E13="FINANCIADO", E13="MCP"), 2.5%, "")))</f>
        <v>0.025</v>
      </c>
      <c r="G13" s="98" t="n">
        <f aca="false">IF(F13="", "", F13*D13)</f>
        <v>3487</v>
      </c>
      <c r="H13" s="101" t="b">
        <f aca="false">FALSE()</f>
        <v>0</v>
      </c>
      <c r="I13" s="101" t="b">
        <f aca="false">FALSE()</f>
        <v>0</v>
      </c>
      <c r="J13" s="102"/>
      <c r="K13" s="96"/>
      <c r="L13" s="83"/>
      <c r="N13" s="103"/>
      <c r="O13" s="103"/>
      <c r="P13" s="103"/>
      <c r="Q13" s="103"/>
    </row>
    <row r="14" customFormat="false" ht="22.5" hidden="false" customHeight="true" outlineLevel="0" collapsed="false">
      <c r="A14" s="151" t="n">
        <v>7</v>
      </c>
      <c r="B14" s="152" t="n">
        <v>46181</v>
      </c>
      <c r="C14" s="107"/>
      <c r="D14" s="109"/>
      <c r="E14" s="110"/>
      <c r="F14" s="111" t="str">
        <f aca="false">IF(E14="CONTADO", 4%, IF(E14="TARJETA / CHEQUE", 3%, IF(OR(E14="FINANCIADO", E14="MCP"), 2.5%, "")))</f>
        <v/>
      </c>
      <c r="G14" s="109" t="str">
        <f aca="false">IF(F14="", "", F14*D14)</f>
        <v/>
      </c>
      <c r="H14" s="112" t="b">
        <f aca="false">FALSE()</f>
        <v>0</v>
      </c>
      <c r="I14" s="112" t="b">
        <f aca="false">FALSE()</f>
        <v>0</v>
      </c>
      <c r="J14" s="113"/>
      <c r="K14" s="107"/>
      <c r="L14" s="83"/>
      <c r="N14" s="103"/>
      <c r="O14" s="103"/>
      <c r="P14" s="103"/>
      <c r="Q14" s="103"/>
    </row>
    <row r="15" customFormat="false" ht="22.5" hidden="false" customHeight="true" outlineLevel="0" collapsed="false">
      <c r="A15" s="153" t="n">
        <v>8</v>
      </c>
      <c r="B15" s="154" t="n">
        <v>46182</v>
      </c>
      <c r="C15" s="99"/>
      <c r="D15" s="121"/>
      <c r="E15" s="99"/>
      <c r="F15" s="100" t="str">
        <f aca="false">IF(E15="CONTADO", 4%, IF(E15="TARJETA / CHEQUE", 3%, IF(OR(E15="FINANCIADO", E15="MCP"), 2.5%, "")))</f>
        <v/>
      </c>
      <c r="G15" s="148" t="str">
        <f aca="false">IF(F15="", "", F15*D15)</f>
        <v/>
      </c>
      <c r="H15" s="101" t="b">
        <f aca="false">FALSE()</f>
        <v>0</v>
      </c>
      <c r="I15" s="101" t="b">
        <f aca="false">FALSE()</f>
        <v>0</v>
      </c>
      <c r="J15" s="102"/>
      <c r="K15" s="96"/>
      <c r="L15" s="83"/>
      <c r="M15" s="103"/>
      <c r="R15" s="83"/>
      <c r="S15" s="103"/>
      <c r="T15" s="103"/>
      <c r="U15" s="103"/>
    </row>
    <row r="16" customFormat="false" ht="22.5" hidden="false" customHeight="true" outlineLevel="0" collapsed="false">
      <c r="A16" s="151" t="n">
        <v>9</v>
      </c>
      <c r="B16" s="152" t="n">
        <v>46183</v>
      </c>
      <c r="C16" s="110"/>
      <c r="D16" s="122"/>
      <c r="E16" s="110"/>
      <c r="F16" s="111" t="str">
        <f aca="false">IF(E16="CONTADO", 4%, IF(E16="TARJETA / CHEQUE", 3%, IF(OR(E16="FINANCIADO", E16="MCP"), 2.5%, "")))</f>
        <v/>
      </c>
      <c r="G16" s="155" t="str">
        <f aca="false">IF(F16="", "", F16*D16)</f>
        <v/>
      </c>
      <c r="H16" s="112" t="b">
        <f aca="false">FALSE()</f>
        <v>0</v>
      </c>
      <c r="I16" s="112" t="b">
        <f aca="false">FALSE()</f>
        <v>0</v>
      </c>
      <c r="J16" s="113"/>
      <c r="K16" s="107"/>
      <c r="L16" s="83"/>
      <c r="M16" s="103"/>
      <c r="R16" s="83"/>
      <c r="S16" s="103"/>
      <c r="T16" s="103"/>
      <c r="U16" s="103"/>
    </row>
    <row r="17" customFormat="false" ht="22.5" hidden="false" customHeight="true" outlineLevel="0" collapsed="false">
      <c r="A17" s="153" t="n">
        <v>10</v>
      </c>
      <c r="B17" s="154" t="n">
        <v>46184</v>
      </c>
      <c r="C17" s="99"/>
      <c r="D17" s="121"/>
      <c r="E17" s="99"/>
      <c r="F17" s="100"/>
      <c r="G17" s="98"/>
      <c r="H17" s="156" t="b">
        <f aca="false">FALSE()</f>
        <v>0</v>
      </c>
      <c r="I17" s="156" t="b">
        <f aca="false">FALSE()</f>
        <v>0</v>
      </c>
      <c r="J17" s="102"/>
      <c r="K17" s="96"/>
      <c r="L17" s="83"/>
      <c r="M17" s="103"/>
      <c r="R17" s="83"/>
      <c r="S17" s="103"/>
      <c r="T17" s="103"/>
      <c r="U17" s="103"/>
    </row>
    <row r="18" customFormat="false" ht="22.5" hidden="false" customHeight="true" outlineLevel="0" collapsed="false">
      <c r="A18" s="151" t="n">
        <v>11</v>
      </c>
      <c r="B18" s="152" t="n">
        <v>46185</v>
      </c>
      <c r="C18" s="110"/>
      <c r="D18" s="122"/>
      <c r="E18" s="110"/>
      <c r="F18" s="111" t="str">
        <f aca="false">IF(E18="CONTADO", 4%, IF(E18="TARJETA / CHEQUE", 3%, IF(OR(E18="FINANCIADO", E18="MCP"), 2.5%, "")))</f>
        <v/>
      </c>
      <c r="G18" s="109" t="str">
        <f aca="false">IF(F18="", "", F18*D18)</f>
        <v/>
      </c>
      <c r="H18" s="157" t="b">
        <f aca="false">FALSE()</f>
        <v>0</v>
      </c>
      <c r="I18" s="157" t="b">
        <f aca="false">FALSE()</f>
        <v>0</v>
      </c>
      <c r="J18" s="113"/>
      <c r="K18" s="107"/>
      <c r="L18" s="83"/>
      <c r="M18" s="103"/>
      <c r="N18" s="103"/>
      <c r="O18" s="103"/>
      <c r="P18" s="103"/>
      <c r="Q18" s="103"/>
      <c r="R18" s="83"/>
      <c r="S18" s="103"/>
      <c r="T18" s="103"/>
      <c r="U18" s="103"/>
    </row>
    <row r="19" customFormat="false" ht="22.5" hidden="false" customHeight="true" outlineLevel="0" collapsed="false">
      <c r="A19" s="153" t="s">
        <v>512</v>
      </c>
      <c r="B19" s="154" t="n">
        <v>46186</v>
      </c>
      <c r="C19" s="99"/>
      <c r="D19" s="121"/>
      <c r="E19" s="99"/>
      <c r="F19" s="100" t="str">
        <f aca="false">IF(E19="CONTADO", 4%, IF(E19="TARJETA / CHEQUE", 3%, IF(OR(E19="FINANCIADO", E19="MCP"), 2.5%, "")))</f>
        <v/>
      </c>
      <c r="G19" s="98" t="str">
        <f aca="false">IF(F19="", "", F19*D19)</f>
        <v/>
      </c>
      <c r="H19" s="156" t="b">
        <f aca="false">FALSE()</f>
        <v>0</v>
      </c>
      <c r="I19" s="156" t="b">
        <f aca="false">FALSE()</f>
        <v>0</v>
      </c>
      <c r="J19" s="102"/>
      <c r="K19" s="96"/>
      <c r="L19" s="83"/>
      <c r="M19" s="103"/>
      <c r="N19" s="103"/>
      <c r="O19" s="103"/>
      <c r="P19" s="103"/>
      <c r="Q19" s="103"/>
      <c r="R19" s="83"/>
      <c r="S19" s="103"/>
      <c r="T19" s="103"/>
      <c r="U19" s="103"/>
    </row>
    <row r="20" customFormat="false" ht="22.5" hidden="false" customHeight="true" outlineLevel="0" collapsed="false">
      <c r="A20" s="171" t="s">
        <v>487</v>
      </c>
      <c r="B20" s="172" t="n">
        <v>46188</v>
      </c>
      <c r="C20" s="120"/>
      <c r="D20" s="173"/>
      <c r="E20" s="120"/>
      <c r="F20" s="174" t="str">
        <f aca="false">IF(E20="CONTADO", 4%, IF(E20="TARJETA / CHEQUE", 3%, IF(OR(E20="FINANCIADO", E20="MCP"), 2.5%, "")))</f>
        <v/>
      </c>
      <c r="G20" s="175" t="str">
        <f aca="false">IF(F20="", "", F20*D20)</f>
        <v/>
      </c>
      <c r="H20" s="176" t="b">
        <f aca="false">FALSE()</f>
        <v>0</v>
      </c>
      <c r="I20" s="176" t="b">
        <f aca="false">FALSE()</f>
        <v>0</v>
      </c>
      <c r="J20" s="177"/>
      <c r="K20" s="178"/>
      <c r="L20" s="83"/>
      <c r="M20" s="103"/>
      <c r="N20" s="103"/>
      <c r="O20" s="103"/>
      <c r="P20" s="103"/>
      <c r="Q20" s="103"/>
      <c r="R20" s="83"/>
      <c r="S20" s="103"/>
      <c r="T20" s="103"/>
      <c r="U20" s="103"/>
    </row>
    <row r="21" customFormat="false" ht="22.5" hidden="false" customHeight="true" outlineLevel="0" collapsed="false">
      <c r="A21" s="153" t="n">
        <v>12</v>
      </c>
      <c r="B21" s="154" t="n">
        <v>46189</v>
      </c>
      <c r="C21" s="99"/>
      <c r="D21" s="121"/>
      <c r="E21" s="99"/>
      <c r="F21" s="100" t="str">
        <f aca="false">IF(E21="CONTADO", 4%, IF(E21="TARJETA / CHEQUE", 3%, IF(OR(E21="FINANCIADO", E21="MCP"), 2.5%, "")))</f>
        <v/>
      </c>
      <c r="G21" s="98" t="str">
        <f aca="false">IF(F21="", "", F21*D21)</f>
        <v/>
      </c>
      <c r="H21" s="156" t="b">
        <f aca="false">FALSE()</f>
        <v>0</v>
      </c>
      <c r="I21" s="156" t="b">
        <f aca="false">FALSE()</f>
        <v>0</v>
      </c>
      <c r="J21" s="102"/>
      <c r="K21" s="96"/>
      <c r="L21" s="83"/>
      <c r="M21" s="103"/>
      <c r="N21" s="103"/>
      <c r="O21" s="103"/>
      <c r="P21" s="103"/>
      <c r="Q21" s="103"/>
      <c r="R21" s="83"/>
      <c r="S21" s="103"/>
      <c r="T21" s="103"/>
      <c r="U21" s="103"/>
    </row>
    <row r="22" customFormat="false" ht="22.5" hidden="false" customHeight="true" outlineLevel="0" collapsed="false">
      <c r="A22" s="151" t="n">
        <v>13</v>
      </c>
      <c r="B22" s="152" t="n">
        <v>46190</v>
      </c>
      <c r="C22" s="110"/>
      <c r="D22" s="122"/>
      <c r="E22" s="110"/>
      <c r="F22" s="111" t="str">
        <f aca="false">IF(E22="CONTADO", 4%, IF(E22="TARJETA / CHEQUE", 3%, IF(OR(E22="FINANCIADO", E22="MCP"), 2.5%, "")))</f>
        <v/>
      </c>
      <c r="G22" s="155" t="str">
        <f aca="false">IF(F22="", "", F22*D22)</f>
        <v/>
      </c>
      <c r="H22" s="157" t="b">
        <f aca="false">FALSE()</f>
        <v>0</v>
      </c>
      <c r="I22" s="157" t="b">
        <f aca="false">FALSE()</f>
        <v>0</v>
      </c>
      <c r="J22" s="113"/>
      <c r="K22" s="107"/>
      <c r="L22" s="83"/>
      <c r="M22" s="103"/>
      <c r="N22" s="103"/>
      <c r="O22" s="103"/>
      <c r="P22" s="103"/>
      <c r="Q22" s="103"/>
      <c r="R22" s="83"/>
      <c r="S22" s="103"/>
      <c r="T22" s="103"/>
      <c r="U22" s="103"/>
    </row>
    <row r="23" customFormat="false" ht="22.5" hidden="false" customHeight="true" outlineLevel="0" collapsed="false">
      <c r="A23" s="153" t="n">
        <v>14</v>
      </c>
      <c r="B23" s="154" t="n">
        <v>46191</v>
      </c>
      <c r="C23" s="99"/>
      <c r="D23" s="121"/>
      <c r="E23" s="99"/>
      <c r="F23" s="100" t="str">
        <f aca="false">IF(E23="CONTADO", 4%, IF(E23="TARJETA / CHEQUE", 3%, IF(OR(E23="FINANCIADO", E23="MCP"), 2.5%, "")))</f>
        <v/>
      </c>
      <c r="G23" s="148" t="str">
        <f aca="false">IF(F23="", "", F23*D23)</f>
        <v/>
      </c>
      <c r="H23" s="156" t="b">
        <f aca="false">FALSE()</f>
        <v>0</v>
      </c>
      <c r="I23" s="156" t="b">
        <f aca="false">FALSE()</f>
        <v>0</v>
      </c>
      <c r="J23" s="102"/>
      <c r="K23" s="96"/>
      <c r="L23" s="83"/>
      <c r="M23" s="103"/>
      <c r="N23" s="103"/>
      <c r="O23" s="103"/>
      <c r="P23" s="103"/>
      <c r="Q23" s="103"/>
      <c r="R23" s="83"/>
      <c r="S23" s="103"/>
      <c r="T23" s="103"/>
      <c r="U23" s="103"/>
    </row>
    <row r="24" customFormat="false" ht="22.5" hidden="false" customHeight="true" outlineLevel="0" collapsed="false">
      <c r="A24" s="151" t="n">
        <v>15</v>
      </c>
      <c r="B24" s="152" t="n">
        <v>46192</v>
      </c>
      <c r="C24" s="110"/>
      <c r="D24" s="122"/>
      <c r="E24" s="110"/>
      <c r="F24" s="111" t="str">
        <f aca="false">IF(E24="CONTADO", 4%, IF(E24="TARJETA / CHEQUE", 3%, IF(OR(E24="FINANCIADO", E24="MCP"), 2.5%, "")))</f>
        <v/>
      </c>
      <c r="G24" s="155" t="str">
        <f aca="false">IF(F24="", "", F24*D24)</f>
        <v/>
      </c>
      <c r="H24" s="157" t="b">
        <f aca="false">FALSE()</f>
        <v>0</v>
      </c>
      <c r="I24" s="157" t="b">
        <f aca="false">FALSE()</f>
        <v>0</v>
      </c>
      <c r="J24" s="113"/>
      <c r="K24" s="107"/>
      <c r="L24" s="83"/>
      <c r="M24" s="103"/>
      <c r="N24" s="103"/>
      <c r="O24" s="103"/>
      <c r="P24" s="103"/>
      <c r="Q24" s="103"/>
      <c r="R24" s="83"/>
      <c r="S24" s="103"/>
      <c r="T24" s="103"/>
      <c r="U24" s="103"/>
    </row>
    <row r="25" customFormat="false" ht="22.5" hidden="false" customHeight="true" outlineLevel="0" collapsed="false">
      <c r="A25" s="153" t="s">
        <v>512</v>
      </c>
      <c r="B25" s="154" t="n">
        <v>46193</v>
      </c>
      <c r="C25" s="99"/>
      <c r="D25" s="121"/>
      <c r="E25" s="99"/>
      <c r="F25" s="100" t="str">
        <f aca="false">IF(E25="CONTADO", 4%, IF(E25="TARJETA / CHEQUE", 3%, IF(OR(E25="FINANCIADO", E25="MCP"), 2.5%, "")))</f>
        <v/>
      </c>
      <c r="G25" s="148" t="str">
        <f aca="false">IF(F25="", "", F25*D25)</f>
        <v/>
      </c>
      <c r="H25" s="156" t="b">
        <f aca="false">FALSE()</f>
        <v>0</v>
      </c>
      <c r="I25" s="156" t="b">
        <f aca="false">FALSE()</f>
        <v>0</v>
      </c>
      <c r="J25" s="102"/>
      <c r="K25" s="96"/>
      <c r="L25" s="83"/>
      <c r="M25" s="103"/>
      <c r="N25" s="103"/>
      <c r="O25" s="103"/>
      <c r="P25" s="103"/>
      <c r="Q25" s="103"/>
      <c r="R25" s="83"/>
      <c r="S25" s="103"/>
      <c r="T25" s="103"/>
      <c r="U25" s="103"/>
    </row>
    <row r="26" customFormat="false" ht="22.5" hidden="false" customHeight="true" outlineLevel="0" collapsed="false">
      <c r="A26" s="151" t="n">
        <v>16</v>
      </c>
      <c r="B26" s="152" t="n">
        <v>46195</v>
      </c>
      <c r="C26" s="110"/>
      <c r="D26" s="122"/>
      <c r="E26" s="110"/>
      <c r="F26" s="111" t="str">
        <f aca="false">IF(E26="CONTADO", 4%, IF(E26="TARJETA / CHEQUE", 3%, IF(OR(E26="FINANCIADO", E26="MCP"), 2.5%, "")))</f>
        <v/>
      </c>
      <c r="G26" s="155" t="str">
        <f aca="false">IF(F26="", "", F26*D26)</f>
        <v/>
      </c>
      <c r="H26" s="157" t="b">
        <f aca="false">FALSE()</f>
        <v>0</v>
      </c>
      <c r="I26" s="157" t="b">
        <f aca="false">FALSE()</f>
        <v>0</v>
      </c>
      <c r="J26" s="113"/>
      <c r="K26" s="107"/>
      <c r="L26" s="83"/>
      <c r="M26" s="103"/>
      <c r="N26" s="103"/>
      <c r="O26" s="103"/>
      <c r="P26" s="103"/>
      <c r="Q26" s="103"/>
      <c r="R26" s="83"/>
      <c r="S26" s="103"/>
      <c r="T26" s="103"/>
      <c r="U26" s="103"/>
    </row>
    <row r="27" customFormat="false" ht="22.5" hidden="false" customHeight="true" outlineLevel="0" collapsed="false">
      <c r="A27" s="153" t="n">
        <v>17</v>
      </c>
      <c r="B27" s="154" t="n">
        <v>46196</v>
      </c>
      <c r="C27" s="99"/>
      <c r="D27" s="121"/>
      <c r="E27" s="99"/>
      <c r="F27" s="100" t="str">
        <f aca="false">IF(E27="CONTADO", 4%, IF(E27="TARJETA / CHEQUE", 3%, IF(OR(E27="FINANCIADO", E27="MCP"), 2.5%, "")))</f>
        <v/>
      </c>
      <c r="G27" s="148" t="str">
        <f aca="false">IF(F27="", "", F27*D27)</f>
        <v/>
      </c>
      <c r="H27" s="156" t="b">
        <f aca="false">FALSE()</f>
        <v>0</v>
      </c>
      <c r="I27" s="156" t="b">
        <f aca="false">FALSE()</f>
        <v>0</v>
      </c>
      <c r="J27" s="102"/>
      <c r="K27" s="96"/>
      <c r="L27" s="83"/>
      <c r="M27" s="103"/>
      <c r="N27" s="103"/>
      <c r="O27" s="103"/>
      <c r="P27" s="103"/>
      <c r="Q27" s="103"/>
      <c r="R27" s="83"/>
      <c r="S27" s="103"/>
      <c r="T27" s="103"/>
      <c r="U27" s="103"/>
    </row>
    <row r="28" customFormat="false" ht="22.5" hidden="false" customHeight="true" outlineLevel="0" collapsed="false">
      <c r="A28" s="151" t="n">
        <v>18</v>
      </c>
      <c r="B28" s="152" t="n">
        <v>46197</v>
      </c>
      <c r="C28" s="110"/>
      <c r="D28" s="122"/>
      <c r="E28" s="110"/>
      <c r="F28" s="111" t="str">
        <f aca="false">IF(E28="CONTADO", 4%, IF(E28="TARJETA / CHEQUE", 3%, IF(OR(E28="FINANCIADO", E28="MCP"), 2.5%, "")))</f>
        <v/>
      </c>
      <c r="G28" s="155" t="str">
        <f aca="false">IF(F28="", "", F28*D28)</f>
        <v/>
      </c>
      <c r="H28" s="157" t="b">
        <f aca="false">FALSE()</f>
        <v>0</v>
      </c>
      <c r="I28" s="157" t="b">
        <f aca="false">FALSE()</f>
        <v>0</v>
      </c>
      <c r="J28" s="113"/>
      <c r="K28" s="107"/>
      <c r="L28" s="83"/>
      <c r="M28" s="103"/>
      <c r="N28" s="103"/>
      <c r="O28" s="103"/>
      <c r="P28" s="103"/>
      <c r="Q28" s="103"/>
      <c r="R28" s="83"/>
      <c r="S28" s="103"/>
      <c r="T28" s="103"/>
      <c r="U28" s="103"/>
    </row>
    <row r="29" customFormat="false" ht="22.5" hidden="false" customHeight="true" outlineLevel="0" collapsed="false">
      <c r="A29" s="153" t="n">
        <v>19</v>
      </c>
      <c r="B29" s="154" t="n">
        <v>46198</v>
      </c>
      <c r="C29" s="99"/>
      <c r="D29" s="121"/>
      <c r="E29" s="99"/>
      <c r="F29" s="100" t="str">
        <f aca="false">IF(E29="CONTADO", 4%, IF(E29="TARJETA / CHEQUE", 3%, IF(OR(E29="FINANCIADO", E29="MCP"), 2.5%, "")))</f>
        <v/>
      </c>
      <c r="G29" s="98" t="str">
        <f aca="false">IF(F29="", "", F29*D29)</f>
        <v/>
      </c>
      <c r="H29" s="156" t="b">
        <f aca="false">FALSE()</f>
        <v>0</v>
      </c>
      <c r="I29" s="156" t="b">
        <f aca="false">FALSE()</f>
        <v>0</v>
      </c>
      <c r="J29" s="102"/>
      <c r="K29" s="96"/>
      <c r="L29" s="83"/>
      <c r="M29" s="103"/>
      <c r="N29" s="103"/>
      <c r="O29" s="103"/>
      <c r="P29" s="103"/>
      <c r="Q29" s="103"/>
      <c r="R29" s="83"/>
      <c r="S29" s="103"/>
      <c r="T29" s="103"/>
      <c r="U29" s="103"/>
    </row>
    <row r="30" customFormat="false" ht="22.5" hidden="false" customHeight="true" outlineLevel="0" collapsed="false">
      <c r="A30" s="151"/>
      <c r="B30" s="152"/>
      <c r="C30" s="110"/>
      <c r="D30" s="122"/>
      <c r="E30" s="110"/>
      <c r="F30" s="111" t="str">
        <f aca="false">IF(E30="CONTADO", 4%, IF(E30="TARJETA / CHEQUE", 3%, IF(OR(E30="FINANCIADO", E30="MCP"), 2.5%, "")))</f>
        <v/>
      </c>
      <c r="G30" s="109" t="str">
        <f aca="false">IF(F30="", "", F30*D30)</f>
        <v/>
      </c>
      <c r="H30" s="157" t="b">
        <f aca="false">FALSE()</f>
        <v>0</v>
      </c>
      <c r="I30" s="157" t="b">
        <f aca="false">FALSE()</f>
        <v>0</v>
      </c>
      <c r="J30" s="113"/>
      <c r="K30" s="107"/>
      <c r="L30" s="83"/>
      <c r="M30" s="103"/>
      <c r="N30" s="103"/>
      <c r="O30" s="103"/>
      <c r="P30" s="103"/>
      <c r="Q30" s="103"/>
      <c r="R30" s="83"/>
      <c r="S30" s="103"/>
      <c r="T30" s="103"/>
      <c r="U30" s="103"/>
    </row>
    <row r="31" customFormat="false" ht="22.5" hidden="false" customHeight="true" outlineLevel="0" collapsed="false">
      <c r="A31" s="153"/>
      <c r="B31" s="154"/>
      <c r="C31" s="99"/>
      <c r="D31" s="121"/>
      <c r="E31" s="99"/>
      <c r="F31" s="100" t="str">
        <f aca="false">IF(E31="CONTADO", 4%, IF(E31="TARJETA / CHEQUE", 3%, IF(OR(E31="FINANCIADO", E31="MCP"), 2.5%, "")))</f>
        <v/>
      </c>
      <c r="G31" s="148" t="str">
        <f aca="false">IF(F31="", "", F31*D31)</f>
        <v/>
      </c>
      <c r="H31" s="156" t="b">
        <f aca="false">FALSE()</f>
        <v>0</v>
      </c>
      <c r="I31" s="156" t="b">
        <f aca="false">FALSE()</f>
        <v>0</v>
      </c>
      <c r="J31" s="102"/>
      <c r="K31" s="96"/>
      <c r="L31" s="83"/>
      <c r="M31" s="103"/>
      <c r="N31" s="103"/>
      <c r="O31" s="103"/>
      <c r="P31" s="103"/>
      <c r="Q31" s="103"/>
      <c r="R31" s="83"/>
      <c r="S31" s="103"/>
      <c r="T31" s="103"/>
      <c r="U31" s="103"/>
    </row>
    <row r="32" customFormat="false" ht="22.5" hidden="false" customHeight="true" outlineLevel="0" collapsed="false">
      <c r="A32" s="151"/>
      <c r="B32" s="152"/>
      <c r="C32" s="110"/>
      <c r="D32" s="122"/>
      <c r="E32" s="110"/>
      <c r="F32" s="111" t="str">
        <f aca="false">IF(E32="CONTADO", 4%, IF(E32="TARJETA / CHEQUE", 3%, IF(OR(E32="FINANCIADO", E32="MCP"), 2.5%, "")))</f>
        <v/>
      </c>
      <c r="G32" s="109" t="str">
        <f aca="false">IF(F32="", "", F32*D32)</f>
        <v/>
      </c>
      <c r="H32" s="157" t="b">
        <f aca="false">FALSE()</f>
        <v>0</v>
      </c>
      <c r="I32" s="157" t="b">
        <f aca="false">FALSE()</f>
        <v>0</v>
      </c>
      <c r="J32" s="113"/>
      <c r="K32" s="107"/>
      <c r="L32" s="83"/>
      <c r="M32" s="103"/>
      <c r="N32" s="103"/>
      <c r="O32" s="103"/>
      <c r="P32" s="103"/>
      <c r="Q32" s="103"/>
      <c r="R32" s="83"/>
      <c r="S32" s="103"/>
      <c r="T32" s="103"/>
      <c r="U32" s="103"/>
    </row>
    <row r="33" customFormat="false" ht="22.5" hidden="false" customHeight="true" outlineLevel="0" collapsed="false">
      <c r="A33" s="153"/>
      <c r="B33" s="154"/>
      <c r="C33" s="99"/>
      <c r="D33" s="121"/>
      <c r="E33" s="99"/>
      <c r="F33" s="100" t="str">
        <f aca="false">IF(E33="CONTADO", 4%, IF(E33="TARJETA / CHEQUE", 3%, IF(OR(E33="FINANCIADO", E33="MCP"), 2.5%, "")))</f>
        <v/>
      </c>
      <c r="G33" s="98" t="str">
        <f aca="false">IF(F33="", "", F33*D33)</f>
        <v/>
      </c>
      <c r="H33" s="156" t="b">
        <f aca="false">FALSE()</f>
        <v>0</v>
      </c>
      <c r="I33" s="156" t="b">
        <f aca="false">FALSE()</f>
        <v>0</v>
      </c>
      <c r="J33" s="102"/>
      <c r="K33" s="96"/>
      <c r="L33" s="83"/>
      <c r="M33" s="103"/>
      <c r="N33" s="103"/>
      <c r="O33" s="103"/>
      <c r="P33" s="103"/>
      <c r="Q33" s="103"/>
      <c r="R33" s="83"/>
      <c r="S33" s="103"/>
      <c r="T33" s="103"/>
      <c r="U33" s="103"/>
    </row>
    <row r="34" customFormat="false" ht="22.5" hidden="false" customHeight="true" outlineLevel="0" collapsed="false">
      <c r="A34" s="151"/>
      <c r="B34" s="152"/>
      <c r="C34" s="110"/>
      <c r="D34" s="122"/>
      <c r="E34" s="110"/>
      <c r="F34" s="111" t="str">
        <f aca="false">IF(E34="CONTADO", 4%, IF(E34="TARJETA / CHEQUE", 3%, IF(OR(E34="FINANCIADO", E34="MCP"), 2.5%, "")))</f>
        <v/>
      </c>
      <c r="G34" s="109" t="str">
        <f aca="false">IF(F34="", "", F34*D34)</f>
        <v/>
      </c>
      <c r="H34" s="157" t="b">
        <f aca="false">FALSE()</f>
        <v>0</v>
      </c>
      <c r="I34" s="157" t="b">
        <f aca="false">FALSE()</f>
        <v>0</v>
      </c>
      <c r="J34" s="113"/>
      <c r="K34" s="107"/>
      <c r="L34" s="83"/>
      <c r="M34" s="103"/>
      <c r="N34" s="103"/>
      <c r="O34" s="103"/>
      <c r="P34" s="103"/>
      <c r="Q34" s="103"/>
      <c r="R34" s="83"/>
      <c r="S34" s="103"/>
      <c r="T34" s="103"/>
      <c r="U34" s="103"/>
    </row>
    <row r="35" customFormat="false" ht="22.5" hidden="false" customHeight="true" outlineLevel="0" collapsed="false">
      <c r="A35" s="153"/>
      <c r="B35" s="154"/>
      <c r="C35" s="99"/>
      <c r="D35" s="121"/>
      <c r="E35" s="99"/>
      <c r="F35" s="100" t="str">
        <f aca="false">IF(E35="CONTADO", 4%, IF(E35="TARJETA / CHEQUE", 3%, IF(OR(E35="FINANCIADO", E35="MCP"), 2.5%, "")))</f>
        <v/>
      </c>
      <c r="G35" s="148" t="str">
        <f aca="false">IF(F35="", "", F35*D35)</f>
        <v/>
      </c>
      <c r="H35" s="156" t="b">
        <f aca="false">FALSE()</f>
        <v>0</v>
      </c>
      <c r="I35" s="156" t="b">
        <f aca="false">FALSE()</f>
        <v>0</v>
      </c>
      <c r="J35" s="102"/>
      <c r="K35" s="96"/>
      <c r="L35" s="83"/>
      <c r="M35" s="103"/>
      <c r="N35" s="103"/>
      <c r="O35" s="103"/>
      <c r="P35" s="103"/>
      <c r="Q35" s="103"/>
      <c r="R35" s="83"/>
      <c r="S35" s="103"/>
      <c r="T35" s="103"/>
      <c r="U35" s="103"/>
    </row>
    <row r="36" customFormat="false" ht="22.5" hidden="false" customHeight="true" outlineLevel="0" collapsed="false">
      <c r="A36" s="151"/>
      <c r="B36" s="152"/>
      <c r="C36" s="110"/>
      <c r="D36" s="122"/>
      <c r="E36" s="110"/>
      <c r="F36" s="111" t="str">
        <f aca="false">IF(E36="CONTADO", 4%, IF(E36="TARJETA / CHEQUE", 3%, IF(OR(E36="FINANCIADO", E36="MCP"), 2.5%, "")))</f>
        <v/>
      </c>
      <c r="G36" s="109" t="str">
        <f aca="false">IF(F36="", "", F36*D36)</f>
        <v/>
      </c>
      <c r="H36" s="157" t="b">
        <f aca="false">FALSE()</f>
        <v>0</v>
      </c>
      <c r="I36" s="157" t="b">
        <f aca="false">FALSE()</f>
        <v>0</v>
      </c>
      <c r="J36" s="113"/>
      <c r="K36" s="107"/>
      <c r="L36" s="83"/>
      <c r="M36" s="103"/>
      <c r="N36" s="103"/>
      <c r="O36" s="103"/>
      <c r="P36" s="103"/>
      <c r="Q36" s="103"/>
      <c r="R36" s="83"/>
      <c r="S36" s="103"/>
      <c r="T36" s="103"/>
      <c r="U36" s="103"/>
    </row>
    <row r="37" customFormat="false" ht="22.5" hidden="false" customHeight="true" outlineLevel="0" collapsed="false">
      <c r="A37" s="153"/>
      <c r="B37" s="154"/>
      <c r="C37" s="99"/>
      <c r="D37" s="121"/>
      <c r="E37" s="99"/>
      <c r="F37" s="100" t="str">
        <f aca="false">IF(E37="CONTADO", 4%, IF(E37="TARJETA / CHEQUE", 3%, IF(OR(E37="FINANCIADO", E37="MCP"), 2.5%, "")))</f>
        <v/>
      </c>
      <c r="G37" s="148" t="str">
        <f aca="false">IF(F37="", "", F37*D37)</f>
        <v/>
      </c>
      <c r="H37" s="156" t="b">
        <f aca="false">FALSE()</f>
        <v>0</v>
      </c>
      <c r="I37" s="156" t="b">
        <f aca="false">FALSE()</f>
        <v>0</v>
      </c>
      <c r="J37" s="102"/>
      <c r="K37" s="96"/>
      <c r="L37" s="83"/>
      <c r="M37" s="103"/>
      <c r="N37" s="103"/>
      <c r="O37" s="103"/>
      <c r="P37" s="103"/>
      <c r="Q37" s="103"/>
      <c r="R37" s="83"/>
      <c r="S37" s="103"/>
      <c r="T37" s="103"/>
      <c r="U37" s="103"/>
    </row>
    <row r="38" customFormat="false" ht="22.5" hidden="false" customHeight="true" outlineLevel="0" collapsed="false">
      <c r="A38" s="151"/>
      <c r="B38" s="152"/>
      <c r="C38" s="110"/>
      <c r="D38" s="122"/>
      <c r="E38" s="110"/>
      <c r="F38" s="111" t="str">
        <f aca="false">IF(E38="CONTADO", 4%, IF(E38="TARJETA / CHEQUE", 3%, IF(OR(E38="FINANCIADO", E38="MCP"), 2.5%, "")))</f>
        <v/>
      </c>
      <c r="G38" s="109" t="str">
        <f aca="false">IF(F38="", "", F38*D38)</f>
        <v/>
      </c>
      <c r="H38" s="157" t="b">
        <f aca="false">FALSE()</f>
        <v>0</v>
      </c>
      <c r="I38" s="157" t="b">
        <f aca="false">FALSE()</f>
        <v>0</v>
      </c>
      <c r="J38" s="113"/>
      <c r="K38" s="107"/>
      <c r="L38" s="83"/>
      <c r="M38" s="103"/>
      <c r="N38" s="103"/>
      <c r="O38" s="103"/>
      <c r="P38" s="103"/>
      <c r="Q38" s="103"/>
      <c r="R38" s="83"/>
      <c r="S38" s="103"/>
      <c r="T38" s="103"/>
      <c r="U38" s="103"/>
    </row>
    <row r="39" customFormat="false" ht="22.5" hidden="false" customHeight="true" outlineLevel="0" collapsed="false">
      <c r="A39" s="153"/>
      <c r="B39" s="154"/>
      <c r="C39" s="99"/>
      <c r="D39" s="121"/>
      <c r="E39" s="99"/>
      <c r="F39" s="100" t="str">
        <f aca="false">IF(E39="CONTADO", 4%, IF(E39="TARJETA / CHEQUE", 3%, IF(OR(E39="FINANCIADO", E39="MCP"), 2.5%, "")))</f>
        <v/>
      </c>
      <c r="G39" s="98" t="str">
        <f aca="false">IF(F39="", "", F39*D39)</f>
        <v/>
      </c>
      <c r="H39" s="156" t="b">
        <f aca="false">FALSE()</f>
        <v>0</v>
      </c>
      <c r="I39" s="156" t="b">
        <f aca="false">FALSE()</f>
        <v>0</v>
      </c>
      <c r="J39" s="102"/>
      <c r="K39" s="96"/>
      <c r="L39" s="83"/>
      <c r="M39" s="103"/>
      <c r="N39" s="103"/>
      <c r="O39" s="103"/>
      <c r="P39" s="103"/>
      <c r="Q39" s="103"/>
      <c r="R39" s="83"/>
      <c r="S39" s="103"/>
      <c r="T39" s="103"/>
      <c r="U39" s="103"/>
    </row>
    <row r="40" customFormat="false" ht="22.5" hidden="false" customHeight="true" outlineLevel="0" collapsed="false">
      <c r="A40" s="151"/>
      <c r="B40" s="152"/>
      <c r="C40" s="110"/>
      <c r="D40" s="122"/>
      <c r="E40" s="110"/>
      <c r="F40" s="111" t="str">
        <f aca="false">IF(E40="CONTADO", 4%, IF(E40="TARJETA / CHEQUE", 3%, IF(OR(E40="FINANCIADO", E40="MCP"), 2.5%, "")))</f>
        <v/>
      </c>
      <c r="G40" s="109" t="str">
        <f aca="false">IF(F40="", "", F40*D40)</f>
        <v/>
      </c>
      <c r="H40" s="157" t="b">
        <f aca="false">FALSE()</f>
        <v>0</v>
      </c>
      <c r="I40" s="157" t="b">
        <f aca="false">FALSE()</f>
        <v>0</v>
      </c>
      <c r="J40" s="113"/>
      <c r="K40" s="107"/>
      <c r="L40" s="83"/>
      <c r="M40" s="103"/>
      <c r="N40" s="103"/>
      <c r="O40" s="103"/>
      <c r="P40" s="103"/>
      <c r="Q40" s="103"/>
      <c r="R40" s="83"/>
      <c r="S40" s="103"/>
      <c r="T40" s="103"/>
      <c r="U40" s="103"/>
    </row>
    <row r="41" customFormat="false" ht="22.5" hidden="false" customHeight="true" outlineLevel="0" collapsed="false">
      <c r="A41" s="153"/>
      <c r="B41" s="154"/>
      <c r="C41" s="99"/>
      <c r="D41" s="121"/>
      <c r="E41" s="99"/>
      <c r="F41" s="100" t="str">
        <f aca="false">IF(E41="CONTADO", 4%, IF(E41="TARJETA / CHEQUE", 3%, IF(OR(E41="FINANCIADO", E41="MCP"), 2.5%, "")))</f>
        <v/>
      </c>
      <c r="G41" s="98" t="str">
        <f aca="false">IF(F41="", "", F41*D41)</f>
        <v/>
      </c>
      <c r="H41" s="156" t="b">
        <f aca="false">FALSE()</f>
        <v>0</v>
      </c>
      <c r="I41" s="156" t="b">
        <f aca="false">FALSE()</f>
        <v>0</v>
      </c>
      <c r="J41" s="102"/>
      <c r="K41" s="96"/>
      <c r="L41" s="83"/>
      <c r="M41" s="103"/>
      <c r="N41" s="103"/>
      <c r="O41" s="103"/>
      <c r="P41" s="103"/>
      <c r="Q41" s="103"/>
      <c r="R41" s="83"/>
      <c r="S41" s="103"/>
      <c r="T41" s="103"/>
      <c r="U41" s="103"/>
    </row>
    <row r="42" customFormat="false" ht="22.5" hidden="false" customHeight="true" outlineLevel="0" collapsed="false">
      <c r="A42" s="151"/>
      <c r="B42" s="152"/>
      <c r="C42" s="110"/>
      <c r="D42" s="122"/>
      <c r="E42" s="110"/>
      <c r="F42" s="111" t="str">
        <f aca="false">IF(E42="CONTADO", 4%, IF(E42="TARJETA / CHEQUE", 3%, IF(OR(E42="FINANCIADO", E42="MCP"), 2.5%, "")))</f>
        <v/>
      </c>
      <c r="G42" s="109" t="str">
        <f aca="false">IF(F42="", "", F42*D42)</f>
        <v/>
      </c>
      <c r="H42" s="157" t="b">
        <f aca="false">FALSE()</f>
        <v>0</v>
      </c>
      <c r="I42" s="157" t="b">
        <f aca="false">FALSE()</f>
        <v>0</v>
      </c>
      <c r="J42" s="113"/>
      <c r="K42" s="107"/>
      <c r="L42" s="83"/>
      <c r="M42" s="103"/>
      <c r="N42" s="103"/>
      <c r="O42" s="103"/>
      <c r="P42" s="103"/>
      <c r="Q42" s="103"/>
      <c r="R42" s="83"/>
      <c r="S42" s="103"/>
      <c r="T42" s="103"/>
      <c r="U42" s="103"/>
    </row>
    <row r="43" customFormat="false" ht="22.5" hidden="false" customHeight="true" outlineLevel="0" collapsed="false">
      <c r="A43" s="134"/>
      <c r="B43" s="135"/>
      <c r="C43" s="99"/>
      <c r="D43" s="121"/>
      <c r="E43" s="99"/>
      <c r="F43" s="100" t="str">
        <f aca="false">IF(E43="CONTADO", 4%, IF(E43="TARJETA / CHEQUE", 3%, IF(OR(E43="FINANCIADO", E43="MCP"), 2.5%, "")))</f>
        <v/>
      </c>
      <c r="G43" s="98" t="str">
        <f aca="false">IF(F43="", "", F43*D43)</f>
        <v/>
      </c>
      <c r="H43" s="156" t="b">
        <f aca="false">FALSE()</f>
        <v>0</v>
      </c>
      <c r="I43" s="156" t="b">
        <f aca="false">FALSE()</f>
        <v>0</v>
      </c>
      <c r="J43" s="102"/>
      <c r="K43" s="96"/>
      <c r="L43" s="83"/>
      <c r="M43" s="103"/>
      <c r="N43" s="103"/>
      <c r="O43" s="103"/>
      <c r="P43" s="103"/>
      <c r="Q43" s="103"/>
      <c r="R43" s="83"/>
      <c r="S43" s="103"/>
      <c r="T43" s="103"/>
      <c r="U43" s="103"/>
    </row>
    <row r="44" customFormat="false" ht="22.5" hidden="false" customHeight="true" outlineLevel="0" collapsed="false">
      <c r="A44" s="136"/>
      <c r="B44" s="137"/>
      <c r="C44" s="110"/>
      <c r="D44" s="122"/>
      <c r="E44" s="110"/>
      <c r="F44" s="111" t="str">
        <f aca="false">IF(E44="CONTADO", 4%, IF(E44="TARJETA / CHEQUE", 3%, IF(OR(E44="FINANCIADO", E44="MCP"), 2.5%, "")))</f>
        <v/>
      </c>
      <c r="G44" s="109" t="str">
        <f aca="false">IF(F44="", "", F44*D44)</f>
        <v/>
      </c>
      <c r="H44" s="157" t="b">
        <f aca="false">FALSE()</f>
        <v>0</v>
      </c>
      <c r="I44" s="157" t="b">
        <f aca="false">FALSE()</f>
        <v>0</v>
      </c>
      <c r="J44" s="113"/>
      <c r="K44" s="107"/>
      <c r="L44" s="83"/>
      <c r="M44" s="103"/>
      <c r="N44" s="103"/>
      <c r="O44" s="103"/>
      <c r="P44" s="103"/>
      <c r="Q44" s="103"/>
      <c r="R44" s="83"/>
      <c r="S44" s="103"/>
      <c r="T44" s="103"/>
      <c r="U44" s="103"/>
    </row>
    <row r="45" customFormat="false" ht="22.5" hidden="false" customHeight="true" outlineLevel="0" collapsed="false">
      <c r="A45" s="134"/>
      <c r="B45" s="135"/>
      <c r="C45" s="99"/>
      <c r="D45" s="121"/>
      <c r="E45" s="99"/>
      <c r="F45" s="100" t="str">
        <f aca="false">IF(E45="CONTADO", 4%, IF(E45="TARJETA / CHEQUE", 3%, IF(OR(E45="FINANCIADO", E45="MCP"), 2.5%, "")))</f>
        <v/>
      </c>
      <c r="G45" s="98" t="str">
        <f aca="false">IF(F45="", "", F45*D45)</f>
        <v/>
      </c>
      <c r="H45" s="156" t="b">
        <f aca="false">FALSE()</f>
        <v>0</v>
      </c>
      <c r="I45" s="156" t="b">
        <f aca="false">FALSE()</f>
        <v>0</v>
      </c>
      <c r="J45" s="102"/>
      <c r="K45" s="96"/>
      <c r="L45" s="83"/>
      <c r="M45" s="103"/>
      <c r="N45" s="103"/>
      <c r="O45" s="103"/>
      <c r="P45" s="103"/>
      <c r="Q45" s="103"/>
      <c r="R45" s="83"/>
      <c r="S45" s="103"/>
      <c r="T45" s="103"/>
      <c r="U45" s="103"/>
    </row>
    <row r="46" customFormat="false" ht="22.5" hidden="false" customHeight="true" outlineLevel="0" collapsed="false">
      <c r="A46" s="136"/>
      <c r="B46" s="137"/>
      <c r="C46" s="110"/>
      <c r="D46" s="122"/>
      <c r="E46" s="110"/>
      <c r="F46" s="111" t="str">
        <f aca="false">IF(E46="CONTADO", 4%, IF(E46="TARJETA / CHEQUE", 3%, IF(OR(E46="FINANCIADO", E46="MCP"), 2.5%, "")))</f>
        <v/>
      </c>
      <c r="G46" s="109" t="str">
        <f aca="false">IF(F46="", "", F46*D46)</f>
        <v/>
      </c>
      <c r="H46" s="157" t="b">
        <f aca="false">FALSE()</f>
        <v>0</v>
      </c>
      <c r="I46" s="157" t="b">
        <f aca="false">FALSE()</f>
        <v>0</v>
      </c>
      <c r="J46" s="113"/>
      <c r="K46" s="107"/>
      <c r="L46" s="83"/>
      <c r="M46" s="103"/>
      <c r="N46" s="103"/>
      <c r="O46" s="103"/>
      <c r="P46" s="103"/>
      <c r="Q46" s="103"/>
      <c r="R46" s="83"/>
      <c r="S46" s="103"/>
      <c r="T46" s="103"/>
      <c r="U46" s="103"/>
    </row>
    <row r="47" customFormat="false" ht="22.5" hidden="false" customHeight="true" outlineLevel="0" collapsed="false">
      <c r="A47" s="134"/>
      <c r="B47" s="135"/>
      <c r="C47" s="99"/>
      <c r="D47" s="121"/>
      <c r="E47" s="99"/>
      <c r="F47" s="100" t="str">
        <f aca="false">IF(E47="CONTADO", 4%, IF(E47="TARJETA / CHEQUE", 3%, IF(OR(E47="FINANCIADO", E47="MCP"), 2.5%, "")))</f>
        <v/>
      </c>
      <c r="G47" s="98" t="str">
        <f aca="false">IF(F47="", "", F47*D47)</f>
        <v/>
      </c>
      <c r="H47" s="156" t="b">
        <f aca="false">FALSE()</f>
        <v>0</v>
      </c>
      <c r="I47" s="156" t="b">
        <f aca="false">FALSE()</f>
        <v>0</v>
      </c>
      <c r="J47" s="102"/>
      <c r="K47" s="96"/>
      <c r="L47" s="83"/>
      <c r="M47" s="103"/>
      <c r="N47" s="103"/>
      <c r="O47" s="103"/>
      <c r="P47" s="103"/>
      <c r="Q47" s="103"/>
      <c r="R47" s="83"/>
      <c r="S47" s="103"/>
      <c r="T47" s="103"/>
      <c r="U47" s="103"/>
    </row>
    <row r="48" customFormat="false" ht="22.5" hidden="false" customHeight="true" outlineLevel="0" collapsed="false">
      <c r="A48" s="136"/>
      <c r="B48" s="137"/>
      <c r="C48" s="110"/>
      <c r="D48" s="122"/>
      <c r="E48" s="110"/>
      <c r="F48" s="111" t="str">
        <f aca="false">IF(E48="CONTADO", 4%, IF(E48="TARJETA / CHEQUE", 3%, IF(OR(E48="FINANCIADO", E48="MCP"), 2.5%, "")))</f>
        <v/>
      </c>
      <c r="G48" s="109" t="str">
        <f aca="false">IF(F48="", "", F48*D48)</f>
        <v/>
      </c>
      <c r="H48" s="157" t="b">
        <f aca="false">FALSE()</f>
        <v>0</v>
      </c>
      <c r="I48" s="157" t="b">
        <f aca="false">FALSE()</f>
        <v>0</v>
      </c>
      <c r="J48" s="113"/>
      <c r="K48" s="107"/>
      <c r="L48" s="83"/>
      <c r="M48" s="103"/>
      <c r="N48" s="103"/>
      <c r="O48" s="103"/>
      <c r="P48" s="103"/>
      <c r="Q48" s="103"/>
      <c r="R48" s="83"/>
      <c r="S48" s="103"/>
      <c r="T48" s="103"/>
      <c r="U48" s="103"/>
    </row>
    <row r="49" customFormat="false" ht="22.5" hidden="false" customHeight="true" outlineLevel="0" collapsed="false">
      <c r="A49" s="134"/>
      <c r="B49" s="135"/>
      <c r="C49" s="99"/>
      <c r="D49" s="121"/>
      <c r="E49" s="99"/>
      <c r="F49" s="100" t="str">
        <f aca="false">IF(E49="CONTADO", 4%, IF(E49="TARJETA / CHEQUE", 3%, IF(OR(E49="FINANCIADO", E49="MCP"), 2.5%, "")))</f>
        <v/>
      </c>
      <c r="G49" s="98" t="str">
        <f aca="false">IF(F49="", "", F49*D49)</f>
        <v/>
      </c>
      <c r="H49" s="156" t="b">
        <f aca="false">FALSE()</f>
        <v>0</v>
      </c>
      <c r="I49" s="156" t="b">
        <f aca="false">FALSE()</f>
        <v>0</v>
      </c>
      <c r="J49" s="102"/>
      <c r="K49" s="96"/>
      <c r="L49" s="83"/>
      <c r="M49" s="103"/>
      <c r="N49" s="103"/>
      <c r="O49" s="103"/>
      <c r="P49" s="103"/>
      <c r="Q49" s="103"/>
      <c r="R49" s="83"/>
      <c r="S49" s="103"/>
      <c r="T49" s="103"/>
      <c r="U49" s="103"/>
    </row>
    <row r="50" customFormat="false" ht="22.5" hidden="false" customHeight="true" outlineLevel="0" collapsed="false">
      <c r="A50" s="136"/>
      <c r="B50" s="137"/>
      <c r="C50" s="110"/>
      <c r="D50" s="122"/>
      <c r="E50" s="110"/>
      <c r="F50" s="111" t="str">
        <f aca="false">IF(E50="CONTADO", 4%, IF(E50="TARJETA / CHEQUE", 3%, IF(OR(E50="FINANCIADO", E50="MCP"), 2.5%, "")))</f>
        <v/>
      </c>
      <c r="G50" s="109" t="str">
        <f aca="false">IF(F50="", "", F50*D50)</f>
        <v/>
      </c>
      <c r="H50" s="157" t="b">
        <f aca="false">FALSE()</f>
        <v>0</v>
      </c>
      <c r="I50" s="157" t="b">
        <f aca="false">FALSE()</f>
        <v>0</v>
      </c>
      <c r="J50" s="113"/>
      <c r="K50" s="107"/>
      <c r="L50" s="83"/>
      <c r="M50" s="103"/>
      <c r="N50" s="103"/>
      <c r="O50" s="103"/>
      <c r="P50" s="103"/>
      <c r="Q50" s="103"/>
      <c r="R50" s="83"/>
      <c r="S50" s="103"/>
      <c r="T50" s="103"/>
      <c r="U50" s="103"/>
    </row>
    <row r="51" customFormat="false" ht="22.5" hidden="false" customHeight="true" outlineLevel="0" collapsed="false">
      <c r="A51" s="134"/>
      <c r="B51" s="135"/>
      <c r="C51" s="99"/>
      <c r="D51" s="121"/>
      <c r="E51" s="99"/>
      <c r="F51" s="100" t="str">
        <f aca="false">IF(E51="CONTADO", 4%, IF(E51="TARJETA / CHEQUE", 3%, IF(OR(E51="FINANCIADO", E51="MCP"), 2.5%, "")))</f>
        <v/>
      </c>
      <c r="G51" s="98" t="str">
        <f aca="false">IF(F51="", "", F51*D51)</f>
        <v/>
      </c>
      <c r="H51" s="156" t="b">
        <f aca="false">FALSE()</f>
        <v>0</v>
      </c>
      <c r="I51" s="156" t="b">
        <f aca="false">FALSE()</f>
        <v>0</v>
      </c>
      <c r="J51" s="102"/>
      <c r="K51" s="96"/>
      <c r="L51" s="83"/>
      <c r="M51" s="103"/>
      <c r="N51" s="103"/>
      <c r="O51" s="103"/>
      <c r="P51" s="103"/>
      <c r="Q51" s="103"/>
      <c r="R51" s="83"/>
      <c r="S51" s="103"/>
      <c r="T51" s="103"/>
      <c r="U51" s="103"/>
    </row>
    <row r="52" customFormat="false" ht="22.5" hidden="false" customHeight="true" outlineLevel="0" collapsed="false">
      <c r="A52" s="136"/>
      <c r="B52" s="137"/>
      <c r="C52" s="110"/>
      <c r="D52" s="122"/>
      <c r="E52" s="110"/>
      <c r="F52" s="111" t="str">
        <f aca="false">IF(E52="CONTADO", 4%, IF(E52="TARJETA / CHEQUE", 3%, IF(OR(E52="FINANCIADO", E52="MCP"), 2.5%, "")))</f>
        <v/>
      </c>
      <c r="G52" s="109" t="str">
        <f aca="false">IF(F52="", "", F52*D52)</f>
        <v/>
      </c>
      <c r="H52" s="157" t="b">
        <f aca="false">FALSE()</f>
        <v>0</v>
      </c>
      <c r="I52" s="157" t="b">
        <f aca="false">FALSE()</f>
        <v>0</v>
      </c>
      <c r="J52" s="113"/>
      <c r="K52" s="107"/>
      <c r="L52" s="83"/>
      <c r="M52" s="103"/>
      <c r="N52" s="103"/>
      <c r="O52" s="103"/>
      <c r="P52" s="103"/>
      <c r="Q52" s="103"/>
      <c r="R52" s="83"/>
      <c r="S52" s="103"/>
      <c r="T52" s="103"/>
      <c r="U52" s="103"/>
    </row>
    <row r="53" customFormat="false" ht="22.5" hidden="false" customHeight="true" outlineLevel="0" collapsed="false">
      <c r="A53" s="134"/>
      <c r="B53" s="135"/>
      <c r="C53" s="99"/>
      <c r="D53" s="121"/>
      <c r="E53" s="99"/>
      <c r="F53" s="100" t="str">
        <f aca="false">IF(E53="CONTADO", 4%, IF(E53="TARJETA / CHEQUE", 3%, IF(OR(E53="FINANCIADO", E53="MCP"), 2.5%, "")))</f>
        <v/>
      </c>
      <c r="G53" s="98" t="str">
        <f aca="false">IF(F53="", "", F53*D53)</f>
        <v/>
      </c>
      <c r="H53" s="156" t="b">
        <f aca="false">FALSE()</f>
        <v>0</v>
      </c>
      <c r="I53" s="156" t="b">
        <f aca="false">FALSE()</f>
        <v>0</v>
      </c>
      <c r="J53" s="102"/>
      <c r="K53" s="96"/>
      <c r="L53" s="83"/>
      <c r="M53" s="103"/>
      <c r="N53" s="103"/>
      <c r="O53" s="103"/>
      <c r="P53" s="103"/>
      <c r="Q53" s="103"/>
      <c r="R53" s="83"/>
      <c r="S53" s="103"/>
      <c r="T53" s="103"/>
      <c r="U53" s="103"/>
    </row>
    <row r="54" customFormat="false" ht="22.5" hidden="false" customHeight="true" outlineLevel="0" collapsed="false">
      <c r="A54" s="136"/>
      <c r="B54" s="137"/>
      <c r="C54" s="110"/>
      <c r="D54" s="122"/>
      <c r="E54" s="110"/>
      <c r="F54" s="111" t="str">
        <f aca="false">IF(E54="CONTADO", 4%, IF(E54="TARJETA / CHEQUE", 3%, IF(OR(E54="FINANCIADO", E54="MCP"), 2.5%, "")))</f>
        <v/>
      </c>
      <c r="G54" s="109" t="str">
        <f aca="false">IF(F54="", "", F54*D54)</f>
        <v/>
      </c>
      <c r="H54" s="157" t="b">
        <f aca="false">FALSE()</f>
        <v>0</v>
      </c>
      <c r="I54" s="157" t="b">
        <f aca="false">FALSE()</f>
        <v>0</v>
      </c>
      <c r="J54" s="113"/>
      <c r="K54" s="107"/>
      <c r="L54" s="83"/>
      <c r="M54" s="103"/>
      <c r="N54" s="103"/>
      <c r="O54" s="103"/>
      <c r="P54" s="103"/>
      <c r="Q54" s="103"/>
      <c r="R54" s="83"/>
      <c r="S54" s="103"/>
      <c r="T54" s="103"/>
      <c r="U54" s="103"/>
    </row>
    <row r="55" customFormat="false" ht="22.5" hidden="false" customHeight="true" outlineLevel="0" collapsed="false">
      <c r="A55" s="134"/>
      <c r="B55" s="135"/>
      <c r="C55" s="99"/>
      <c r="D55" s="121"/>
      <c r="E55" s="99"/>
      <c r="F55" s="100" t="str">
        <f aca="false">IF(E55="CONTADO", 4%, IF(E55="TARJETA / CHEQUE", 3%, IF(OR(E55="FINANCIADO", E55="MCP"), 2.5%, "")))</f>
        <v/>
      </c>
      <c r="G55" s="98" t="str">
        <f aca="false">IF(F55="", "", F55*D55)</f>
        <v/>
      </c>
      <c r="H55" s="156" t="b">
        <f aca="false">FALSE()</f>
        <v>0</v>
      </c>
      <c r="I55" s="156" t="b">
        <f aca="false">FALSE()</f>
        <v>0</v>
      </c>
      <c r="J55" s="102"/>
      <c r="K55" s="96"/>
      <c r="L55" s="83"/>
      <c r="M55" s="103"/>
      <c r="N55" s="103"/>
      <c r="O55" s="103"/>
      <c r="P55" s="103"/>
      <c r="Q55" s="103"/>
      <c r="R55" s="83"/>
      <c r="S55" s="103"/>
      <c r="T55" s="103"/>
      <c r="U55" s="103"/>
    </row>
    <row r="56" customFormat="false" ht="22.5" hidden="false" customHeight="true" outlineLevel="0" collapsed="false">
      <c r="A56" s="136"/>
      <c r="B56" s="137"/>
      <c r="C56" s="110"/>
      <c r="D56" s="122"/>
      <c r="E56" s="110"/>
      <c r="F56" s="111" t="str">
        <f aca="false">IF(E56="CONTADO", 4%, IF(E56="TARJETA / CHEQUE", 3%, IF(OR(E56="FINANCIADO", E56="MCP"), 2.5%, "")))</f>
        <v/>
      </c>
      <c r="G56" s="109" t="str">
        <f aca="false">IF(F56="", "", F56*D56)</f>
        <v/>
      </c>
      <c r="H56" s="157" t="b">
        <f aca="false">FALSE()</f>
        <v>0</v>
      </c>
      <c r="I56" s="157" t="b">
        <f aca="false">FALSE()</f>
        <v>0</v>
      </c>
      <c r="J56" s="113"/>
      <c r="K56" s="107"/>
      <c r="L56" s="83"/>
      <c r="M56" s="103"/>
      <c r="N56" s="103"/>
      <c r="O56" s="103"/>
      <c r="P56" s="103"/>
      <c r="Q56" s="103"/>
      <c r="R56" s="83"/>
      <c r="S56" s="103"/>
      <c r="T56" s="103"/>
      <c r="U56" s="103"/>
    </row>
    <row r="57" customFormat="false" ht="22.5" hidden="false" customHeight="true" outlineLevel="0" collapsed="false">
      <c r="A57" s="134"/>
      <c r="B57" s="135"/>
      <c r="C57" s="99"/>
      <c r="D57" s="121"/>
      <c r="E57" s="99"/>
      <c r="F57" s="100" t="str">
        <f aca="false">IF(E57="CONTADO", 4%, IF(E57="TARJETA / CHEQUE", 3%, IF(OR(E57="FINANCIADO", E57="MCP"), 2.5%, "")))</f>
        <v/>
      </c>
      <c r="G57" s="98" t="str">
        <f aca="false">IF(F57="", "", F57*D57)</f>
        <v/>
      </c>
      <c r="H57" s="156" t="b">
        <f aca="false">FALSE()</f>
        <v>0</v>
      </c>
      <c r="I57" s="156" t="b">
        <f aca="false">FALSE()</f>
        <v>0</v>
      </c>
      <c r="J57" s="102"/>
      <c r="K57" s="96"/>
      <c r="L57" s="83"/>
      <c r="M57" s="103"/>
      <c r="N57" s="103"/>
      <c r="O57" s="103"/>
      <c r="P57" s="103"/>
      <c r="Q57" s="103"/>
      <c r="R57" s="83"/>
      <c r="S57" s="103"/>
      <c r="T57" s="103"/>
      <c r="U57" s="103"/>
    </row>
    <row r="58" customFormat="false" ht="22.5" hidden="false" customHeight="true" outlineLevel="0" collapsed="false">
      <c r="A58" s="136"/>
      <c r="B58" s="137"/>
      <c r="C58" s="110"/>
      <c r="D58" s="122"/>
      <c r="E58" s="110"/>
      <c r="F58" s="111" t="str">
        <f aca="false">IF(E58="CONTADO", 4%, IF(E58="TARJETA / CHEQUE", 3%, IF(OR(E58="FINANCIADO", E58="MCP"), 2.5%, "")))</f>
        <v/>
      </c>
      <c r="G58" s="109" t="str">
        <f aca="false">IF(F58="", "", F58*D58)</f>
        <v/>
      </c>
      <c r="H58" s="157" t="b">
        <f aca="false">FALSE()</f>
        <v>0</v>
      </c>
      <c r="I58" s="157" t="b">
        <f aca="false">FALSE()</f>
        <v>0</v>
      </c>
      <c r="J58" s="113"/>
      <c r="K58" s="107"/>
      <c r="L58" s="83"/>
      <c r="M58" s="103"/>
      <c r="N58" s="103"/>
      <c r="O58" s="103"/>
      <c r="P58" s="103"/>
      <c r="Q58" s="103"/>
      <c r="R58" s="83"/>
      <c r="S58" s="103"/>
      <c r="T58" s="103"/>
      <c r="U58" s="103"/>
    </row>
    <row r="59" customFormat="false" ht="22.5" hidden="false" customHeight="true" outlineLevel="0" collapsed="false">
      <c r="A59" s="134"/>
      <c r="B59" s="135"/>
      <c r="C59" s="99"/>
      <c r="D59" s="121"/>
      <c r="E59" s="99"/>
      <c r="F59" s="100" t="str">
        <f aca="false">IF(E59="CONTADO", 4%, IF(E59="TARJETA / CHEQUE", 3%, IF(OR(E59="FINANCIADO", E59="MCP"), 2.5%, "")))</f>
        <v/>
      </c>
      <c r="G59" s="98" t="str">
        <f aca="false">IF(F59="", "", F59*D59)</f>
        <v/>
      </c>
      <c r="H59" s="156" t="b">
        <f aca="false">FALSE()</f>
        <v>0</v>
      </c>
      <c r="I59" s="156" t="b">
        <f aca="false">FALSE()</f>
        <v>0</v>
      </c>
      <c r="J59" s="102"/>
      <c r="K59" s="96"/>
      <c r="L59" s="83"/>
      <c r="M59" s="103"/>
      <c r="N59" s="103"/>
      <c r="O59" s="103"/>
      <c r="P59" s="103"/>
      <c r="Q59" s="103"/>
      <c r="R59" s="83"/>
      <c r="S59" s="103"/>
      <c r="T59" s="103"/>
      <c r="U59" s="103"/>
    </row>
    <row r="60" customFormat="false" ht="22.5" hidden="false" customHeight="true" outlineLevel="0" collapsed="false">
      <c r="A60" s="136"/>
      <c r="B60" s="137"/>
      <c r="C60" s="110"/>
      <c r="D60" s="122"/>
      <c r="E60" s="110"/>
      <c r="F60" s="111" t="str">
        <f aca="false">IF(E60="CONTADO", 4%, IF(E60="TARJETA / CHEQUE", 3%, IF(OR(E60="FINANCIADO", E60="MCP"), 2.5%, "")))</f>
        <v/>
      </c>
      <c r="G60" s="109" t="str">
        <f aca="false">IF(F60="", "", F60*D60)</f>
        <v/>
      </c>
      <c r="H60" s="157" t="b">
        <f aca="false">FALSE()</f>
        <v>0</v>
      </c>
      <c r="I60" s="157" t="b">
        <f aca="false">FALSE()</f>
        <v>0</v>
      </c>
      <c r="J60" s="113"/>
      <c r="K60" s="107"/>
      <c r="L60" s="83"/>
      <c r="M60" s="103"/>
      <c r="N60" s="103"/>
      <c r="O60" s="103"/>
      <c r="P60" s="103"/>
      <c r="Q60" s="103"/>
      <c r="R60" s="83"/>
      <c r="S60" s="103"/>
      <c r="T60" s="103"/>
      <c r="U60" s="103"/>
    </row>
    <row r="61" customFormat="false" ht="22.5" hidden="false" customHeight="true" outlineLevel="0" collapsed="false">
      <c r="A61" s="134"/>
      <c r="B61" s="135"/>
      <c r="C61" s="99"/>
      <c r="D61" s="121"/>
      <c r="E61" s="99"/>
      <c r="F61" s="100" t="str">
        <f aca="false">IF(E61="CONTADO", 4%, IF(E61="TARJETA / CHEQUE", 3%, IF(OR(E61="FINANCIADO", E61="MCP"), 2.5%, "")))</f>
        <v/>
      </c>
      <c r="G61" s="98" t="str">
        <f aca="false">IF(F61="", "", F61*D61)</f>
        <v/>
      </c>
      <c r="H61" s="156" t="b">
        <f aca="false">FALSE()</f>
        <v>0</v>
      </c>
      <c r="I61" s="156" t="b">
        <f aca="false">FALSE()</f>
        <v>0</v>
      </c>
      <c r="J61" s="102"/>
      <c r="K61" s="96"/>
      <c r="L61" s="83"/>
      <c r="M61" s="103"/>
      <c r="N61" s="103"/>
      <c r="O61" s="103"/>
      <c r="P61" s="103"/>
      <c r="Q61" s="103"/>
      <c r="R61" s="83"/>
      <c r="S61" s="103"/>
      <c r="T61" s="103"/>
      <c r="U61" s="103"/>
    </row>
    <row r="62" customFormat="false" ht="22.5" hidden="false" customHeight="true" outlineLevel="0" collapsed="false">
      <c r="A62" s="136"/>
      <c r="B62" s="137"/>
      <c r="C62" s="110"/>
      <c r="D62" s="122"/>
      <c r="E62" s="110"/>
      <c r="F62" s="111" t="str">
        <f aca="false">IF(E62="CONTADO", 4%, IF(E62="TARJETA / CHEQUE", 3%, IF(OR(E62="FINANCIADO", E62="MCP"), 2.5%, "")))</f>
        <v/>
      </c>
      <c r="G62" s="109" t="str">
        <f aca="false">IF(F62="", "", F62*D62)</f>
        <v/>
      </c>
      <c r="H62" s="157" t="b">
        <f aca="false">FALSE()</f>
        <v>0</v>
      </c>
      <c r="I62" s="157" t="b">
        <f aca="false">FALSE()</f>
        <v>0</v>
      </c>
      <c r="J62" s="113"/>
      <c r="K62" s="107"/>
      <c r="L62" s="83"/>
      <c r="M62" s="103"/>
      <c r="N62" s="103"/>
      <c r="O62" s="103"/>
      <c r="P62" s="103"/>
      <c r="Q62" s="103"/>
      <c r="R62" s="83"/>
      <c r="S62" s="103"/>
      <c r="T62" s="103"/>
      <c r="U62" s="103"/>
    </row>
    <row r="63" customFormat="false" ht="22.5" hidden="false" customHeight="true" outlineLevel="0" collapsed="false">
      <c r="A63" s="134"/>
      <c r="B63" s="135"/>
      <c r="C63" s="99"/>
      <c r="D63" s="121"/>
      <c r="E63" s="99"/>
      <c r="F63" s="100" t="str">
        <f aca="false">IF(E63="CONTADO", 4%, IF(E63="TARJETA / CHEQUE", 3%, IF(OR(E63="FINANCIADO", E63="MCP"), 2.5%, "")))</f>
        <v/>
      </c>
      <c r="G63" s="98" t="str">
        <f aca="false">IF(F63="", "", F63*D63)</f>
        <v/>
      </c>
      <c r="H63" s="156" t="b">
        <f aca="false">FALSE()</f>
        <v>0</v>
      </c>
      <c r="I63" s="156" t="b">
        <f aca="false">FALSE()</f>
        <v>0</v>
      </c>
      <c r="J63" s="102"/>
      <c r="K63" s="96"/>
      <c r="L63" s="83"/>
      <c r="M63" s="103"/>
      <c r="N63" s="103"/>
      <c r="O63" s="103"/>
      <c r="P63" s="103"/>
      <c r="Q63" s="103"/>
      <c r="R63" s="83"/>
      <c r="S63" s="103"/>
      <c r="T63" s="103"/>
      <c r="U63" s="103"/>
    </row>
    <row r="64" customFormat="false" ht="22.5" hidden="false" customHeight="true" outlineLevel="0" collapsed="false">
      <c r="A64" s="110"/>
      <c r="B64" s="110"/>
      <c r="C64" s="110"/>
      <c r="D64" s="122"/>
      <c r="E64" s="110"/>
      <c r="F64" s="111" t="str">
        <f aca="false">IF(E64="CONTADO", 4%, IF(E64="TARJETA / CHEQUE", 3%, IF(OR(E64="FINANCIADO", E64="MCP"), 2.5%, "")))</f>
        <v/>
      </c>
      <c r="G64" s="109" t="str">
        <f aca="false">IF(F64="", "", F64*D64)</f>
        <v/>
      </c>
      <c r="H64" s="157" t="b">
        <f aca="false">FALSE()</f>
        <v>0</v>
      </c>
      <c r="I64" s="157" t="b">
        <f aca="false">FALSE()</f>
        <v>0</v>
      </c>
      <c r="J64" s="113"/>
      <c r="K64" s="107"/>
      <c r="L64" s="83"/>
      <c r="M64" s="103"/>
      <c r="N64" s="103"/>
      <c r="O64" s="103"/>
      <c r="P64" s="103"/>
      <c r="Q64" s="103"/>
      <c r="R64" s="83"/>
      <c r="S64" s="103"/>
      <c r="T64" s="103"/>
      <c r="U64" s="103"/>
    </row>
    <row r="65" customFormat="false" ht="22.5" hidden="false" customHeight="true" outlineLevel="0" collapsed="false">
      <c r="A65" s="99"/>
      <c r="B65" s="99"/>
      <c r="C65" s="99"/>
      <c r="D65" s="121"/>
      <c r="E65" s="99"/>
      <c r="F65" s="100" t="str">
        <f aca="false">IF(E65="CONTADO", 4%, IF(E65="TARJETA / CHEQUE", 3%, IF(OR(E65="FINANCIADO", E65="MCP"), 2.5%, "")))</f>
        <v/>
      </c>
      <c r="G65" s="98" t="str">
        <f aca="false">IF(F65="", "", F65*D65)</f>
        <v/>
      </c>
      <c r="H65" s="156" t="b">
        <f aca="false">FALSE()</f>
        <v>0</v>
      </c>
      <c r="I65" s="156" t="b">
        <f aca="false">FALSE()</f>
        <v>0</v>
      </c>
      <c r="J65" s="102"/>
      <c r="K65" s="96"/>
      <c r="L65" s="83"/>
      <c r="M65" s="103"/>
      <c r="N65" s="103"/>
      <c r="O65" s="103"/>
      <c r="P65" s="103"/>
      <c r="Q65" s="103"/>
      <c r="R65" s="83"/>
      <c r="S65" s="103"/>
      <c r="T65" s="103"/>
      <c r="U65" s="103"/>
    </row>
    <row r="66" customFormat="false" ht="22.5" hidden="false" customHeight="true" outlineLevel="0" collapsed="false">
      <c r="A66" s="110"/>
      <c r="B66" s="110"/>
      <c r="C66" s="110"/>
      <c r="D66" s="122"/>
      <c r="E66" s="110"/>
      <c r="F66" s="111" t="str">
        <f aca="false">IF(E66="CONTADO", 4%, IF(E66="TARJETA / CHEQUE", 3%, IF(OR(E66="FINANCIADO", E66="MCP"), 2.5%, "")))</f>
        <v/>
      </c>
      <c r="G66" s="109" t="str">
        <f aca="false">IF(F66="", "", F66*D66)</f>
        <v/>
      </c>
      <c r="H66" s="157" t="b">
        <f aca="false">FALSE()</f>
        <v>0</v>
      </c>
      <c r="I66" s="157" t="b">
        <f aca="false">FALSE()</f>
        <v>0</v>
      </c>
      <c r="J66" s="113"/>
      <c r="K66" s="107"/>
      <c r="L66" s="83"/>
      <c r="M66" s="103"/>
      <c r="N66" s="103"/>
      <c r="O66" s="103"/>
      <c r="P66" s="103"/>
      <c r="Q66" s="103"/>
      <c r="R66" s="83"/>
      <c r="S66" s="103"/>
      <c r="T66" s="103"/>
      <c r="U66" s="103"/>
    </row>
    <row r="67" customFormat="false" ht="22.5" hidden="false" customHeight="true" outlineLevel="0" collapsed="false">
      <c r="A67" s="99"/>
      <c r="B67" s="99"/>
      <c r="C67" s="99"/>
      <c r="D67" s="121"/>
      <c r="E67" s="99"/>
      <c r="F67" s="100" t="str">
        <f aca="false">IF(E67="CONTADO", 4%, IF(E67="TARJETA / CHEQUE", 3%, IF(OR(E67="FINANCIADO", E67="MCP"), 2.5%, "")))</f>
        <v/>
      </c>
      <c r="G67" s="98" t="str">
        <f aca="false">IF(F67="", "", F67*D67)</f>
        <v/>
      </c>
      <c r="H67" s="156" t="b">
        <f aca="false">FALSE()</f>
        <v>0</v>
      </c>
      <c r="I67" s="156" t="b">
        <f aca="false">FALSE()</f>
        <v>0</v>
      </c>
      <c r="J67" s="102"/>
      <c r="K67" s="96"/>
      <c r="L67" s="83"/>
      <c r="M67" s="103"/>
      <c r="N67" s="103"/>
      <c r="O67" s="103"/>
      <c r="P67" s="103"/>
      <c r="Q67" s="103"/>
      <c r="R67" s="83"/>
      <c r="S67" s="103"/>
      <c r="T67" s="103"/>
      <c r="U67" s="103"/>
    </row>
    <row r="68" customFormat="false" ht="22.5" hidden="false" customHeight="true" outlineLevel="0" collapsed="false">
      <c r="A68" s="110"/>
      <c r="B68" s="110"/>
      <c r="C68" s="110"/>
      <c r="D68" s="122"/>
      <c r="E68" s="110"/>
      <c r="F68" s="111" t="str">
        <f aca="false">IF(E68="CONTADO", 4%, IF(E68="TARJETA / CHEQUE", 3%, IF(OR(E68="FINANCIADO", E68="MCP"), 2.5%, "")))</f>
        <v/>
      </c>
      <c r="G68" s="109" t="str">
        <f aca="false">IF(F68="", "", F68*D68)</f>
        <v/>
      </c>
      <c r="H68" s="157" t="b">
        <f aca="false">FALSE()</f>
        <v>0</v>
      </c>
      <c r="I68" s="157" t="b">
        <f aca="false">FALSE()</f>
        <v>0</v>
      </c>
      <c r="J68" s="113"/>
      <c r="K68" s="107"/>
      <c r="L68" s="83"/>
      <c r="M68" s="103"/>
      <c r="N68" s="103"/>
      <c r="O68" s="103"/>
      <c r="P68" s="103"/>
      <c r="Q68" s="103"/>
      <c r="R68" s="83"/>
      <c r="S68" s="103"/>
      <c r="T68" s="103"/>
      <c r="U68" s="103"/>
    </row>
    <row r="69" customFormat="false" ht="22.5" hidden="false" customHeight="true" outlineLevel="0" collapsed="false">
      <c r="A69" s="99"/>
      <c r="B69" s="99"/>
      <c r="C69" s="99"/>
      <c r="D69" s="121"/>
      <c r="E69" s="99"/>
      <c r="F69" s="100" t="str">
        <f aca="false">IF(E69="CONTADO", 4%, IF(E69="TARJETA / CHEQUE", 3%, IF(OR(E69="FINANCIADO", E69="MCP"), 2.5%, "")))</f>
        <v/>
      </c>
      <c r="G69" s="98" t="str">
        <f aca="false">IF(F69="", "", F69*D69)</f>
        <v/>
      </c>
      <c r="H69" s="156" t="b">
        <f aca="false">FALSE()</f>
        <v>0</v>
      </c>
      <c r="I69" s="156" t="b">
        <f aca="false">FALSE()</f>
        <v>0</v>
      </c>
      <c r="J69" s="102"/>
      <c r="K69" s="96"/>
      <c r="L69" s="83"/>
      <c r="M69" s="103"/>
      <c r="N69" s="103"/>
      <c r="O69" s="103"/>
      <c r="P69" s="103"/>
      <c r="Q69" s="103"/>
      <c r="R69" s="83"/>
      <c r="S69" s="103"/>
      <c r="T69" s="103"/>
      <c r="U69" s="103"/>
    </row>
    <row r="70" customFormat="false" ht="22.5" hidden="false" customHeight="true" outlineLevel="0" collapsed="false">
      <c r="A70" s="110"/>
      <c r="B70" s="110"/>
      <c r="C70" s="110"/>
      <c r="D70" s="122"/>
      <c r="E70" s="110"/>
      <c r="F70" s="111" t="str">
        <f aca="false">IF(E70="CONTADO", 4%, IF(E70="TARJETA / CHEQUE", 3%, IF(OR(E70="FINANCIADO", E70="MCP"), 2.5%, "")))</f>
        <v/>
      </c>
      <c r="G70" s="109" t="str">
        <f aca="false">IF(F70="", "", F70*D70)</f>
        <v/>
      </c>
      <c r="H70" s="157" t="b">
        <f aca="false">FALSE()</f>
        <v>0</v>
      </c>
      <c r="I70" s="157" t="b">
        <f aca="false">FALSE()</f>
        <v>0</v>
      </c>
      <c r="J70" s="113"/>
      <c r="K70" s="107"/>
      <c r="L70" s="83"/>
      <c r="M70" s="103"/>
      <c r="N70" s="103"/>
      <c r="O70" s="103"/>
      <c r="P70" s="103"/>
      <c r="Q70" s="103"/>
      <c r="R70" s="83"/>
      <c r="S70" s="103"/>
      <c r="T70" s="103"/>
      <c r="U70" s="103"/>
    </row>
    <row r="71" customFormat="false" ht="22.5" hidden="false" customHeight="true" outlineLevel="0" collapsed="false">
      <c r="A71" s="99"/>
      <c r="B71" s="99"/>
      <c r="C71" s="99"/>
      <c r="D71" s="121"/>
      <c r="E71" s="99"/>
      <c r="F71" s="100" t="str">
        <f aca="false">IF(E71="CONTADO", 4%, IF(E71="TARJETA / CHEQUE", 3%, IF(OR(E71="FINANCIADO", E71="MCP"), 2.5%, "")))</f>
        <v/>
      </c>
      <c r="G71" s="98" t="str">
        <f aca="false">IF(F71="", "", F71*D71)</f>
        <v/>
      </c>
      <c r="H71" s="156" t="b">
        <f aca="false">FALSE()</f>
        <v>0</v>
      </c>
      <c r="I71" s="156" t="b">
        <f aca="false">FALSE()</f>
        <v>0</v>
      </c>
      <c r="J71" s="102"/>
      <c r="K71" s="96"/>
      <c r="L71" s="83"/>
      <c r="M71" s="103"/>
      <c r="N71" s="103"/>
      <c r="O71" s="103"/>
      <c r="P71" s="103"/>
      <c r="Q71" s="103"/>
      <c r="R71" s="83"/>
      <c r="S71" s="103"/>
      <c r="T71" s="103"/>
      <c r="U71" s="103"/>
    </row>
    <row r="72" customFormat="false" ht="22.5" hidden="false" customHeight="true" outlineLevel="0" collapsed="false">
      <c r="A72" s="110"/>
      <c r="B72" s="110"/>
      <c r="C72" s="110"/>
      <c r="D72" s="122"/>
      <c r="E72" s="110"/>
      <c r="F72" s="111" t="str">
        <f aca="false">IF(E72="CONTADO", 4%, IF(E72="TARJETA / CHEQUE", 3%, IF(OR(E72="FINANCIADO", E72="MCP"), 2.5%, "")))</f>
        <v/>
      </c>
      <c r="G72" s="109" t="str">
        <f aca="false">IF(F72="", "", F72*D72)</f>
        <v/>
      </c>
      <c r="H72" s="157" t="b">
        <f aca="false">FALSE()</f>
        <v>0</v>
      </c>
      <c r="I72" s="157" t="b">
        <f aca="false">FALSE()</f>
        <v>0</v>
      </c>
      <c r="J72" s="113"/>
      <c r="K72" s="107"/>
      <c r="L72" s="83"/>
      <c r="M72" s="103"/>
      <c r="N72" s="103"/>
      <c r="O72" s="103"/>
      <c r="P72" s="103"/>
      <c r="Q72" s="103"/>
      <c r="R72" s="83"/>
      <c r="S72" s="103"/>
      <c r="T72" s="103"/>
      <c r="U72" s="103"/>
    </row>
    <row r="73" customFormat="false" ht="22.5" hidden="false" customHeight="true" outlineLevel="0" collapsed="false">
      <c r="A73" s="99"/>
      <c r="B73" s="99"/>
      <c r="C73" s="99"/>
      <c r="D73" s="121"/>
      <c r="E73" s="99"/>
      <c r="F73" s="100" t="str">
        <f aca="false">IF(E73="CONTADO", 4%, IF(E73="TARJETA / CHEQUE", 3%, IF(OR(E73="FINANCIADO", E73="MCP"), 2.5%, "")))</f>
        <v/>
      </c>
      <c r="G73" s="98" t="str">
        <f aca="false">IF(F73="", "", F73*D73)</f>
        <v/>
      </c>
      <c r="H73" s="156" t="b">
        <f aca="false">FALSE()</f>
        <v>0</v>
      </c>
      <c r="I73" s="156" t="b">
        <f aca="false">FALSE()</f>
        <v>0</v>
      </c>
      <c r="J73" s="102"/>
      <c r="K73" s="96"/>
      <c r="L73" s="83"/>
      <c r="M73" s="103"/>
      <c r="N73" s="103"/>
      <c r="O73" s="103"/>
      <c r="P73" s="103"/>
      <c r="Q73" s="103"/>
      <c r="R73" s="83"/>
      <c r="S73" s="103"/>
      <c r="T73" s="103"/>
      <c r="U73" s="103"/>
    </row>
    <row r="74" customFormat="false" ht="22.5" hidden="false" customHeight="true" outlineLevel="0" collapsed="false">
      <c r="A74" s="110"/>
      <c r="B74" s="110"/>
      <c r="C74" s="110"/>
      <c r="D74" s="122"/>
      <c r="E74" s="110"/>
      <c r="F74" s="111" t="str">
        <f aca="false">IF(E74="CONTADO", 4%, IF(E74="TARJETA / CHEQUE", 3%, IF(OR(E74="FINANCIADO", E74="MCP"), 2.5%, "")))</f>
        <v/>
      </c>
      <c r="G74" s="109" t="str">
        <f aca="false">IF(F74="", "", F74*D74)</f>
        <v/>
      </c>
      <c r="H74" s="157" t="b">
        <f aca="false">FALSE()</f>
        <v>0</v>
      </c>
      <c r="I74" s="157" t="b">
        <f aca="false">FALSE()</f>
        <v>0</v>
      </c>
      <c r="J74" s="113"/>
      <c r="K74" s="107"/>
      <c r="L74" s="83"/>
      <c r="M74" s="103"/>
      <c r="N74" s="103"/>
      <c r="O74" s="103"/>
      <c r="P74" s="103"/>
      <c r="Q74" s="103"/>
      <c r="R74" s="83"/>
      <c r="S74" s="103"/>
      <c r="T74" s="103"/>
      <c r="U74" s="103"/>
    </row>
    <row r="75" customFormat="false" ht="22.5" hidden="false" customHeight="true" outlineLevel="0" collapsed="false">
      <c r="A75" s="99"/>
      <c r="B75" s="99"/>
      <c r="C75" s="99"/>
      <c r="D75" s="121"/>
      <c r="E75" s="99"/>
      <c r="F75" s="100" t="str">
        <f aca="false">IF(E75="CONTADO", 4%, IF(E75="TARJETA / CHEQUE", 3%, IF(OR(E75="FINANCIADO", E75="MCP"), 2.5%, "")))</f>
        <v/>
      </c>
      <c r="G75" s="98" t="str">
        <f aca="false">IF(F75="", "", F75*D75)</f>
        <v/>
      </c>
      <c r="H75" s="156" t="b">
        <f aca="false">FALSE()</f>
        <v>0</v>
      </c>
      <c r="I75" s="156" t="b">
        <f aca="false">FALSE()</f>
        <v>0</v>
      </c>
      <c r="J75" s="102"/>
      <c r="K75" s="96"/>
      <c r="L75" s="83"/>
      <c r="M75" s="103"/>
      <c r="N75" s="103"/>
      <c r="O75" s="103"/>
      <c r="P75" s="103"/>
      <c r="Q75" s="103"/>
      <c r="R75" s="83"/>
      <c r="S75" s="103"/>
      <c r="T75" s="103"/>
      <c r="U75" s="103"/>
    </row>
    <row r="76" customFormat="false" ht="22.5" hidden="false" customHeight="true" outlineLevel="0" collapsed="false">
      <c r="A76" s="110"/>
      <c r="B76" s="110"/>
      <c r="C76" s="110"/>
      <c r="D76" s="122"/>
      <c r="E76" s="110"/>
      <c r="F76" s="111" t="str">
        <f aca="false">IF(E76="CONTADO", 4%, IF(E76="TARJETA / CHEQUE", 3%, IF(OR(E76="FINANCIADO", E76="MCP"), 2.5%, "")))</f>
        <v/>
      </c>
      <c r="G76" s="109" t="str">
        <f aca="false">IF(F76="", "", F76*D76)</f>
        <v/>
      </c>
      <c r="H76" s="157" t="b">
        <f aca="false">FALSE()</f>
        <v>0</v>
      </c>
      <c r="I76" s="157" t="b">
        <f aca="false">FALSE()</f>
        <v>0</v>
      </c>
      <c r="J76" s="113"/>
      <c r="K76" s="107"/>
      <c r="L76" s="83"/>
      <c r="M76" s="103"/>
      <c r="N76" s="103"/>
      <c r="O76" s="103"/>
      <c r="P76" s="103"/>
      <c r="Q76" s="103"/>
      <c r="R76" s="83"/>
      <c r="S76" s="103"/>
      <c r="T76" s="103"/>
      <c r="U76" s="103"/>
    </row>
    <row r="77" customFormat="false" ht="22.5" hidden="false" customHeight="true" outlineLevel="0" collapsed="false">
      <c r="A77" s="99"/>
      <c r="B77" s="99"/>
      <c r="C77" s="99"/>
      <c r="D77" s="121"/>
      <c r="E77" s="99"/>
      <c r="F77" s="100" t="str">
        <f aca="false">IF(E77="CONTADO", 4%, IF(E77="TARJETA / CHEQUE", 3%, IF(OR(E77="FINANCIADO", E77="MCP"), 2.5%, "")))</f>
        <v/>
      </c>
      <c r="G77" s="98" t="str">
        <f aca="false">IF(F77="", "", F77*D77)</f>
        <v/>
      </c>
      <c r="H77" s="156" t="b">
        <f aca="false">FALSE()</f>
        <v>0</v>
      </c>
      <c r="I77" s="156" t="b">
        <f aca="false">FALSE()</f>
        <v>0</v>
      </c>
      <c r="J77" s="102"/>
      <c r="K77" s="96"/>
      <c r="L77" s="83"/>
      <c r="M77" s="103"/>
      <c r="N77" s="103"/>
      <c r="O77" s="103"/>
      <c r="P77" s="103"/>
      <c r="Q77" s="103"/>
      <c r="R77" s="83"/>
      <c r="S77" s="103"/>
      <c r="T77" s="103"/>
      <c r="U77" s="103"/>
    </row>
    <row r="78" customFormat="false" ht="22.5" hidden="false" customHeight="true" outlineLevel="0" collapsed="false">
      <c r="A78" s="110"/>
      <c r="B78" s="110"/>
      <c r="C78" s="110"/>
      <c r="D78" s="122"/>
      <c r="E78" s="110"/>
      <c r="F78" s="111" t="str">
        <f aca="false">IF(E78="CONTADO", 4%, IF(E78="TARJETA / CHEQUE", 3%, IF(OR(E78="FINANCIADO", E78="MCP"), 2.5%, "")))</f>
        <v/>
      </c>
      <c r="G78" s="109" t="str">
        <f aca="false">IF(F78="", "", F78*D78)</f>
        <v/>
      </c>
      <c r="H78" s="157" t="b">
        <f aca="false">FALSE()</f>
        <v>0</v>
      </c>
      <c r="I78" s="157" t="b">
        <f aca="false">FALSE()</f>
        <v>0</v>
      </c>
      <c r="J78" s="113"/>
      <c r="K78" s="107"/>
      <c r="L78" s="83"/>
      <c r="M78" s="103"/>
      <c r="N78" s="103"/>
      <c r="O78" s="103"/>
      <c r="P78" s="103"/>
      <c r="Q78" s="103"/>
      <c r="R78" s="83"/>
      <c r="S78" s="103"/>
      <c r="T78" s="103"/>
      <c r="U78" s="103"/>
    </row>
    <row r="79" customFormat="false" ht="22.5" hidden="false" customHeight="true" outlineLevel="0" collapsed="false">
      <c r="A79" s="99"/>
      <c r="B79" s="99"/>
      <c r="C79" s="99"/>
      <c r="D79" s="121"/>
      <c r="E79" s="99"/>
      <c r="F79" s="100" t="str">
        <f aca="false">IF(E79="CONTADO", 4%, IF(E79="TARJETA / CHEQUE", 3%, IF(OR(E79="FINANCIADO", E79="MCP"), 2.5%, "")))</f>
        <v/>
      </c>
      <c r="G79" s="98" t="str">
        <f aca="false">IF(F79="", "", F79*D79)</f>
        <v/>
      </c>
      <c r="H79" s="156" t="b">
        <f aca="false">FALSE()</f>
        <v>0</v>
      </c>
      <c r="I79" s="156" t="b">
        <f aca="false">FALSE()</f>
        <v>0</v>
      </c>
      <c r="J79" s="102"/>
      <c r="K79" s="96"/>
      <c r="L79" s="83"/>
      <c r="M79" s="103"/>
      <c r="N79" s="103"/>
      <c r="O79" s="103"/>
      <c r="P79" s="103"/>
      <c r="Q79" s="103"/>
      <c r="R79" s="83"/>
      <c r="S79" s="103"/>
      <c r="T79" s="103"/>
      <c r="U79" s="103"/>
    </row>
    <row r="80" customFormat="false" ht="22.5" hidden="false" customHeight="true" outlineLevel="0" collapsed="false">
      <c r="A80" s="110"/>
      <c r="B80" s="110"/>
      <c r="C80" s="110"/>
      <c r="D80" s="122"/>
      <c r="E80" s="110"/>
      <c r="F80" s="111" t="str">
        <f aca="false">IF(E80="CONTADO", 4%, IF(E80="TARJETA / CHEQUE", 3%, IF(OR(E80="FINANCIADO", E80="MCP"), 2.5%, "")))</f>
        <v/>
      </c>
      <c r="G80" s="109" t="str">
        <f aca="false">IF(F80="", "", F80*D80)</f>
        <v/>
      </c>
      <c r="H80" s="157" t="b">
        <f aca="false">FALSE()</f>
        <v>0</v>
      </c>
      <c r="I80" s="157" t="b">
        <f aca="false">FALSE()</f>
        <v>0</v>
      </c>
      <c r="J80" s="113"/>
      <c r="K80" s="107"/>
      <c r="L80" s="83"/>
      <c r="M80" s="103"/>
      <c r="N80" s="103"/>
      <c r="O80" s="103"/>
      <c r="P80" s="103"/>
      <c r="Q80" s="103"/>
      <c r="R80" s="83"/>
      <c r="S80" s="103"/>
      <c r="T80" s="103"/>
      <c r="U80" s="103"/>
    </row>
    <row r="81" customFormat="false" ht="22.5" hidden="false" customHeight="true" outlineLevel="0" collapsed="false">
      <c r="A81" s="99"/>
      <c r="B81" s="99"/>
      <c r="C81" s="99"/>
      <c r="D81" s="121"/>
      <c r="E81" s="99"/>
      <c r="F81" s="100" t="str">
        <f aca="false">IF(E81="CONTADO", 4%, IF(E81="TARJETA / CHEQUE", 3%, IF(OR(E81="FINANCIADO", E81="MCP"), 2.5%, "")))</f>
        <v/>
      </c>
      <c r="G81" s="98" t="str">
        <f aca="false">IF(F81="", "", F81*D81)</f>
        <v/>
      </c>
      <c r="H81" s="156" t="b">
        <f aca="false">FALSE()</f>
        <v>0</v>
      </c>
      <c r="I81" s="156" t="b">
        <f aca="false">FALSE()</f>
        <v>0</v>
      </c>
      <c r="J81" s="102"/>
      <c r="K81" s="96"/>
      <c r="L81" s="83"/>
      <c r="M81" s="103"/>
      <c r="N81" s="103"/>
      <c r="O81" s="103"/>
      <c r="P81" s="103"/>
      <c r="Q81" s="103"/>
      <c r="R81" s="83"/>
      <c r="S81" s="103"/>
      <c r="T81" s="103"/>
      <c r="U81" s="103"/>
    </row>
    <row r="82" customFormat="false" ht="22.5" hidden="false" customHeight="true" outlineLevel="0" collapsed="false">
      <c r="A82" s="110"/>
      <c r="B82" s="110"/>
      <c r="C82" s="110"/>
      <c r="D82" s="122"/>
      <c r="E82" s="110"/>
      <c r="F82" s="111" t="str">
        <f aca="false">IF(E82="CONTADO", 4%, IF(E82="TARJETA / CHEQUE", 3%, IF(OR(E82="FINANCIADO", E82="MCP"), 2.5%, "")))</f>
        <v/>
      </c>
      <c r="G82" s="109" t="str">
        <f aca="false">IF(F82="", "", F82*D82)</f>
        <v/>
      </c>
      <c r="H82" s="157" t="b">
        <f aca="false">FALSE()</f>
        <v>0</v>
      </c>
      <c r="I82" s="157" t="b">
        <f aca="false">FALSE()</f>
        <v>0</v>
      </c>
      <c r="J82" s="113"/>
      <c r="K82" s="107"/>
      <c r="L82" s="83"/>
      <c r="M82" s="103"/>
      <c r="N82" s="103"/>
      <c r="O82" s="103"/>
      <c r="P82" s="103"/>
      <c r="Q82" s="103"/>
      <c r="R82" s="83"/>
      <c r="S82" s="103"/>
      <c r="T82" s="103"/>
      <c r="U82" s="103"/>
    </row>
    <row r="83" customFormat="false" ht="22.5" hidden="false" customHeight="true" outlineLevel="0" collapsed="false">
      <c r="A83" s="99"/>
      <c r="B83" s="99"/>
      <c r="C83" s="99"/>
      <c r="D83" s="121"/>
      <c r="E83" s="99"/>
      <c r="F83" s="100" t="str">
        <f aca="false">IF(E83="CONTADO", 4%, IF(E83="TARJETA / CHEQUE", 3%, IF(OR(E83="FINANCIADO", E83="MCP"), 2.5%, "")))</f>
        <v/>
      </c>
      <c r="G83" s="98" t="str">
        <f aca="false">IF(F83="", "", F83*D83)</f>
        <v/>
      </c>
      <c r="H83" s="156" t="b">
        <f aca="false">FALSE()</f>
        <v>0</v>
      </c>
      <c r="I83" s="156" t="b">
        <f aca="false">FALSE()</f>
        <v>0</v>
      </c>
      <c r="J83" s="102"/>
      <c r="K83" s="96"/>
      <c r="L83" s="83"/>
      <c r="M83" s="103"/>
      <c r="N83" s="103"/>
      <c r="O83" s="103"/>
      <c r="P83" s="103"/>
      <c r="Q83" s="103"/>
      <c r="R83" s="83"/>
      <c r="S83" s="103"/>
      <c r="T83" s="103"/>
      <c r="U83" s="103"/>
    </row>
    <row r="84" customFormat="false" ht="22.5" hidden="false" customHeight="true" outlineLevel="0" collapsed="false">
      <c r="A84" s="110"/>
      <c r="B84" s="110"/>
      <c r="C84" s="110"/>
      <c r="D84" s="122"/>
      <c r="E84" s="110"/>
      <c r="F84" s="111" t="str">
        <f aca="false">IF(E84="CONTADO", 4%, IF(E84="TARJETA / CHEQUE", 3%, IF(OR(E84="FINANCIADO", E84="MCP"), 2.5%, "")))</f>
        <v/>
      </c>
      <c r="G84" s="109" t="str">
        <f aca="false">IF(F84="", "", F84*D84)</f>
        <v/>
      </c>
      <c r="H84" s="157" t="b">
        <f aca="false">FALSE()</f>
        <v>0</v>
      </c>
      <c r="I84" s="157" t="b">
        <f aca="false">FALSE()</f>
        <v>0</v>
      </c>
      <c r="J84" s="113"/>
      <c r="K84" s="107"/>
      <c r="L84" s="83"/>
      <c r="M84" s="103"/>
      <c r="N84" s="103"/>
      <c r="O84" s="103"/>
      <c r="P84" s="103"/>
      <c r="Q84" s="103"/>
      <c r="R84" s="83"/>
      <c r="S84" s="103"/>
      <c r="T84" s="103"/>
      <c r="U84" s="103"/>
    </row>
    <row r="85" customFormat="false" ht="22.5" hidden="false" customHeight="true" outlineLevel="0" collapsed="false">
      <c r="A85" s="99"/>
      <c r="B85" s="99"/>
      <c r="C85" s="99"/>
      <c r="D85" s="121"/>
      <c r="E85" s="99"/>
      <c r="F85" s="100" t="str">
        <f aca="false">IF(E85="CONTADO", 4%, IF(E85="TARJETA / CHEQUE", 3%, IF(OR(E85="FINANCIADO", E85="MCP"), 2.5%, "")))</f>
        <v/>
      </c>
      <c r="G85" s="98" t="str">
        <f aca="false">IF(F85="", "", F85*D85)</f>
        <v/>
      </c>
      <c r="H85" s="156" t="b">
        <f aca="false">FALSE()</f>
        <v>0</v>
      </c>
      <c r="I85" s="156" t="b">
        <f aca="false">FALSE()</f>
        <v>0</v>
      </c>
      <c r="J85" s="102"/>
      <c r="K85" s="96"/>
      <c r="L85" s="83"/>
      <c r="M85" s="103"/>
      <c r="N85" s="103"/>
      <c r="O85" s="103"/>
      <c r="P85" s="103"/>
      <c r="Q85" s="103"/>
      <c r="R85" s="83"/>
      <c r="S85" s="103"/>
      <c r="T85" s="103"/>
      <c r="U85" s="103"/>
    </row>
    <row r="86" customFormat="false" ht="22.5" hidden="false" customHeight="true" outlineLevel="0" collapsed="false">
      <c r="A86" s="110"/>
      <c r="B86" s="110"/>
      <c r="C86" s="110"/>
      <c r="D86" s="122"/>
      <c r="E86" s="110"/>
      <c r="F86" s="111" t="str">
        <f aca="false">IF(E86="CONTADO", 4%, IF(E86="TARJETA / CHEQUE", 3%, IF(OR(E86="FINANCIADO", E86="MCP"), 2.5%, "")))</f>
        <v/>
      </c>
      <c r="G86" s="109" t="str">
        <f aca="false">IF(F86="", "", F86*D86)</f>
        <v/>
      </c>
      <c r="H86" s="157" t="b">
        <f aca="false">FALSE()</f>
        <v>0</v>
      </c>
      <c r="I86" s="157" t="b">
        <f aca="false">FALSE()</f>
        <v>0</v>
      </c>
      <c r="J86" s="113"/>
      <c r="K86" s="107"/>
      <c r="L86" s="83"/>
      <c r="M86" s="103"/>
      <c r="N86" s="103"/>
      <c r="O86" s="103"/>
      <c r="P86" s="103"/>
      <c r="Q86" s="103"/>
      <c r="R86" s="83"/>
      <c r="S86" s="103"/>
      <c r="T86" s="103"/>
      <c r="U86" s="103"/>
    </row>
    <row r="87" customFormat="false" ht="22.5" hidden="false" customHeight="true" outlineLevel="0" collapsed="false">
      <c r="A87" s="99"/>
      <c r="B87" s="99"/>
      <c r="C87" s="99"/>
      <c r="D87" s="121"/>
      <c r="E87" s="99"/>
      <c r="F87" s="100" t="str">
        <f aca="false">IF(E87="CONTADO", 4%, IF(E87="TARJETA / CHEQUE", 3%, IF(OR(E87="FINANCIADO", E87="MCP"), 2.5%, "")))</f>
        <v/>
      </c>
      <c r="G87" s="98" t="str">
        <f aca="false">IF(F87="", "", F87*D87)</f>
        <v/>
      </c>
      <c r="H87" s="156" t="b">
        <f aca="false">FALSE()</f>
        <v>0</v>
      </c>
      <c r="I87" s="156" t="b">
        <f aca="false">FALSE()</f>
        <v>0</v>
      </c>
      <c r="J87" s="102"/>
      <c r="K87" s="96"/>
      <c r="L87" s="83"/>
      <c r="M87" s="103"/>
      <c r="N87" s="103"/>
      <c r="O87" s="103"/>
      <c r="P87" s="103"/>
      <c r="Q87" s="103"/>
      <c r="R87" s="83"/>
      <c r="S87" s="103"/>
      <c r="T87" s="103"/>
      <c r="U87" s="103"/>
    </row>
    <row r="88" customFormat="false" ht="22.5" hidden="false" customHeight="true" outlineLevel="0" collapsed="false">
      <c r="A88" s="110"/>
      <c r="B88" s="110"/>
      <c r="C88" s="110"/>
      <c r="D88" s="122"/>
      <c r="E88" s="110"/>
      <c r="F88" s="111" t="str">
        <f aca="false">IF(E88="CONTADO", 4%, IF(E88="TARJETA / CHEQUE", 3%, IF(OR(E88="FINANCIADO", E88="MCP"), 2.5%, "")))</f>
        <v/>
      </c>
      <c r="G88" s="109" t="str">
        <f aca="false">IF(F88="", "", F88*D88)</f>
        <v/>
      </c>
      <c r="H88" s="157" t="b">
        <f aca="false">FALSE()</f>
        <v>0</v>
      </c>
      <c r="I88" s="157" t="b">
        <f aca="false">FALSE()</f>
        <v>0</v>
      </c>
      <c r="J88" s="113"/>
      <c r="K88" s="107"/>
      <c r="L88" s="83"/>
      <c r="M88" s="103"/>
      <c r="N88" s="103"/>
      <c r="O88" s="103"/>
      <c r="P88" s="103"/>
      <c r="Q88" s="103"/>
      <c r="R88" s="83"/>
      <c r="S88" s="103"/>
      <c r="T88" s="103"/>
      <c r="U88" s="103"/>
    </row>
    <row r="89" customFormat="false" ht="22.5" hidden="false" customHeight="true" outlineLevel="0" collapsed="false">
      <c r="A89" s="99"/>
      <c r="B89" s="99"/>
      <c r="C89" s="99"/>
      <c r="D89" s="121"/>
      <c r="E89" s="99"/>
      <c r="F89" s="100" t="str">
        <f aca="false">IF(E89="CONTADO", 4%, IF(E89="TARJETA / CHEQUE", 3%, IF(OR(E89="FINANCIADO", E89="MCP"), 2.5%, "")))</f>
        <v/>
      </c>
      <c r="G89" s="98" t="str">
        <f aca="false">IF(F89="", "", F89*D89)</f>
        <v/>
      </c>
      <c r="H89" s="156" t="b">
        <f aca="false">FALSE()</f>
        <v>0</v>
      </c>
      <c r="I89" s="156" t="b">
        <f aca="false">FALSE()</f>
        <v>0</v>
      </c>
      <c r="J89" s="102"/>
      <c r="K89" s="96"/>
      <c r="L89" s="83"/>
      <c r="M89" s="103"/>
      <c r="N89" s="103"/>
      <c r="O89" s="103"/>
      <c r="P89" s="103"/>
      <c r="Q89" s="103"/>
      <c r="R89" s="83"/>
      <c r="S89" s="103"/>
      <c r="T89" s="103"/>
      <c r="U89" s="103"/>
    </row>
    <row r="90" customFormat="false" ht="22.5" hidden="false" customHeight="true" outlineLevel="0" collapsed="false">
      <c r="A90" s="110"/>
      <c r="B90" s="110"/>
      <c r="C90" s="110"/>
      <c r="D90" s="122"/>
      <c r="E90" s="110"/>
      <c r="F90" s="111" t="str">
        <f aca="false">IF(E90="CONTADO", 4%, IF(E90="TARJETA / CHEQUE", 3%, IF(OR(E90="FINANCIADO", E90="MCP"), 2.5%, "")))</f>
        <v/>
      </c>
      <c r="G90" s="109" t="str">
        <f aca="false">IF(F90="", "", F90*D90)</f>
        <v/>
      </c>
      <c r="H90" s="157" t="b">
        <f aca="false">FALSE()</f>
        <v>0</v>
      </c>
      <c r="I90" s="157" t="b">
        <f aca="false">FALSE()</f>
        <v>0</v>
      </c>
      <c r="J90" s="113"/>
      <c r="K90" s="107"/>
      <c r="L90" s="83"/>
      <c r="M90" s="103"/>
      <c r="N90" s="103"/>
      <c r="O90" s="103"/>
      <c r="P90" s="103"/>
      <c r="Q90" s="103"/>
      <c r="R90" s="83"/>
      <c r="S90" s="103"/>
      <c r="T90" s="103"/>
      <c r="U90" s="103"/>
    </row>
    <row r="91" customFormat="false" ht="22.5" hidden="false" customHeight="true" outlineLevel="0" collapsed="false">
      <c r="A91" s="99"/>
      <c r="B91" s="99"/>
      <c r="C91" s="99"/>
      <c r="D91" s="121"/>
      <c r="E91" s="99"/>
      <c r="F91" s="100" t="str">
        <f aca="false">IF(E91="CONTADO", 4%, IF(E91="TARJETA / CHEQUE", 3%, IF(OR(E91="FINANCIADO", E91="MCP"), 2.5%, "")))</f>
        <v/>
      </c>
      <c r="G91" s="98" t="str">
        <f aca="false">IF(F91="", "", F91*D91)</f>
        <v/>
      </c>
      <c r="H91" s="156" t="b">
        <f aca="false">FALSE()</f>
        <v>0</v>
      </c>
      <c r="I91" s="156" t="b">
        <f aca="false">FALSE()</f>
        <v>0</v>
      </c>
      <c r="J91" s="102"/>
      <c r="K91" s="96"/>
      <c r="L91" s="83"/>
      <c r="M91" s="103"/>
      <c r="N91" s="103"/>
      <c r="O91" s="103"/>
      <c r="P91" s="103"/>
      <c r="Q91" s="103"/>
      <c r="R91" s="83"/>
      <c r="S91" s="103"/>
      <c r="T91" s="103"/>
      <c r="U91" s="103"/>
    </row>
    <row r="92" customFormat="false" ht="22.5" hidden="false" customHeight="true" outlineLevel="0" collapsed="false">
      <c r="A92" s="110"/>
      <c r="B92" s="110"/>
      <c r="C92" s="110"/>
      <c r="D92" s="122"/>
      <c r="E92" s="110"/>
      <c r="F92" s="111" t="str">
        <f aca="false">IF(E92="CONTADO", 4%, IF(E92="TARJETA / CHEQUE", 3%, IF(OR(E92="FINANCIADO", E92="MCP"), 2.5%, "")))</f>
        <v/>
      </c>
      <c r="G92" s="109" t="str">
        <f aca="false">IF(F92="", "", F92*D92)</f>
        <v/>
      </c>
      <c r="H92" s="157" t="b">
        <f aca="false">FALSE()</f>
        <v>0</v>
      </c>
      <c r="I92" s="157" t="b">
        <f aca="false">FALSE()</f>
        <v>0</v>
      </c>
      <c r="J92" s="113"/>
      <c r="K92" s="107"/>
      <c r="L92" s="83"/>
      <c r="M92" s="103"/>
      <c r="N92" s="103"/>
      <c r="O92" s="103"/>
      <c r="P92" s="103"/>
      <c r="Q92" s="103"/>
      <c r="R92" s="83"/>
      <c r="S92" s="103"/>
      <c r="T92" s="103"/>
      <c r="U92" s="103"/>
    </row>
    <row r="93" customFormat="false" ht="22.5" hidden="false" customHeight="true" outlineLevel="0" collapsed="false">
      <c r="A93" s="99"/>
      <c r="B93" s="99"/>
      <c r="C93" s="99"/>
      <c r="D93" s="121"/>
      <c r="E93" s="99"/>
      <c r="F93" s="100" t="str">
        <f aca="false">IF(E93="CONTADO", 4%, IF(E93="TARJETA / CHEQUE", 3%, IF(OR(E93="FINANCIADO", E93="MCP"), 2.5%, "")))</f>
        <v/>
      </c>
      <c r="G93" s="98" t="str">
        <f aca="false">IF(F93="", "", F93*D93)</f>
        <v/>
      </c>
      <c r="H93" s="156" t="b">
        <f aca="false">FALSE()</f>
        <v>0</v>
      </c>
      <c r="I93" s="156" t="b">
        <f aca="false">FALSE()</f>
        <v>0</v>
      </c>
      <c r="J93" s="102"/>
      <c r="K93" s="96"/>
      <c r="L93" s="83"/>
      <c r="M93" s="103"/>
      <c r="N93" s="103"/>
      <c r="O93" s="103"/>
      <c r="P93" s="103"/>
      <c r="Q93" s="103"/>
      <c r="R93" s="83"/>
      <c r="S93" s="103"/>
      <c r="T93" s="103"/>
      <c r="U93" s="103"/>
    </row>
    <row r="94" customFormat="false" ht="22.5" hidden="false" customHeight="true" outlineLevel="0" collapsed="false">
      <c r="A94" s="110"/>
      <c r="B94" s="110"/>
      <c r="C94" s="110"/>
      <c r="D94" s="122"/>
      <c r="E94" s="110"/>
      <c r="F94" s="111" t="str">
        <f aca="false">IF(E94="CONTADO", 4%, IF(E94="TARJETA / CHEQUE", 3%, IF(OR(E94="FINANCIADO", E94="MCP"), 2.5%, "")))</f>
        <v/>
      </c>
      <c r="G94" s="109" t="str">
        <f aca="false">IF(F94="", "", F94*D94)</f>
        <v/>
      </c>
      <c r="H94" s="157" t="b">
        <f aca="false">FALSE()</f>
        <v>0</v>
      </c>
      <c r="I94" s="157" t="b">
        <f aca="false">FALSE()</f>
        <v>0</v>
      </c>
      <c r="J94" s="113"/>
      <c r="K94" s="107"/>
      <c r="L94" s="83"/>
      <c r="M94" s="103"/>
      <c r="N94" s="103"/>
      <c r="O94" s="103"/>
      <c r="P94" s="103"/>
      <c r="Q94" s="103"/>
      <c r="R94" s="83"/>
      <c r="S94" s="103"/>
      <c r="T94" s="103"/>
      <c r="U94" s="103"/>
    </row>
    <row r="95" customFormat="false" ht="22.5" hidden="false" customHeight="true" outlineLevel="0" collapsed="false">
      <c r="A95" s="99"/>
      <c r="B95" s="99"/>
      <c r="C95" s="99"/>
      <c r="D95" s="121"/>
      <c r="E95" s="99"/>
      <c r="F95" s="100" t="str">
        <f aca="false">IF(E95="CONTADO", 4%, IF(E95="TARJETA / CHEQUE", 3%, IF(OR(E95="FINANCIADO", E95="MCP"), 2.5%, "")))</f>
        <v/>
      </c>
      <c r="G95" s="98" t="str">
        <f aca="false">IF(F95="", "", F95*D95)</f>
        <v/>
      </c>
      <c r="H95" s="156" t="b">
        <f aca="false">FALSE()</f>
        <v>0</v>
      </c>
      <c r="I95" s="156" t="b">
        <f aca="false">FALSE()</f>
        <v>0</v>
      </c>
      <c r="J95" s="102"/>
      <c r="K95" s="96"/>
      <c r="L95" s="83"/>
      <c r="M95" s="103"/>
      <c r="N95" s="103"/>
      <c r="O95" s="103"/>
      <c r="P95" s="103"/>
      <c r="Q95" s="103"/>
      <c r="R95" s="83"/>
      <c r="S95" s="103"/>
      <c r="T95" s="103"/>
      <c r="U95" s="103"/>
    </row>
    <row r="96" customFormat="false" ht="22.5" hidden="false" customHeight="true" outlineLevel="0" collapsed="false">
      <c r="A96" s="110"/>
      <c r="B96" s="110"/>
      <c r="C96" s="110"/>
      <c r="D96" s="122"/>
      <c r="E96" s="110"/>
      <c r="F96" s="111" t="str">
        <f aca="false">IF(E96="CONTADO", 4%, IF(E96="TARJETA / CHEQUE", 3%, IF(OR(E96="FINANCIADO", E96="MCP"), 2.5%, "")))</f>
        <v/>
      </c>
      <c r="G96" s="109" t="str">
        <f aca="false">IF(F96="", "", F96*D96)</f>
        <v/>
      </c>
      <c r="H96" s="157" t="b">
        <f aca="false">FALSE()</f>
        <v>0</v>
      </c>
      <c r="I96" s="157" t="b">
        <f aca="false">FALSE()</f>
        <v>0</v>
      </c>
      <c r="J96" s="113"/>
      <c r="K96" s="107"/>
      <c r="L96" s="83"/>
      <c r="M96" s="103"/>
      <c r="N96" s="103"/>
      <c r="O96" s="103"/>
      <c r="P96" s="103"/>
      <c r="Q96" s="103"/>
      <c r="R96" s="83"/>
      <c r="S96" s="103"/>
      <c r="T96" s="103"/>
      <c r="U96" s="103"/>
    </row>
    <row r="97" customFormat="false" ht="22.5" hidden="false" customHeight="true" outlineLevel="0" collapsed="false">
      <c r="A97" s="99"/>
      <c r="B97" s="99"/>
      <c r="C97" s="99"/>
      <c r="D97" s="121"/>
      <c r="E97" s="99"/>
      <c r="F97" s="100" t="str">
        <f aca="false">IF(E97="CONTADO", 4%, IF(E97="TARJETA / CHEQUE", 3%, IF(OR(E97="FINANCIADO", E97="MCP"), 2.5%, "")))</f>
        <v/>
      </c>
      <c r="G97" s="98" t="str">
        <f aca="false">IF(F97="", "", F97*D97)</f>
        <v/>
      </c>
      <c r="H97" s="156" t="b">
        <f aca="false">FALSE()</f>
        <v>0</v>
      </c>
      <c r="I97" s="156" t="b">
        <f aca="false">FALSE()</f>
        <v>0</v>
      </c>
      <c r="J97" s="102"/>
      <c r="K97" s="96"/>
      <c r="L97" s="83"/>
      <c r="M97" s="103"/>
      <c r="N97" s="103"/>
      <c r="O97" s="103"/>
      <c r="P97" s="103"/>
      <c r="Q97" s="103"/>
      <c r="R97" s="83"/>
      <c r="S97" s="103"/>
      <c r="T97" s="103"/>
      <c r="U97" s="103"/>
    </row>
    <row r="98" customFormat="false" ht="22.5" hidden="false" customHeight="true" outlineLevel="0" collapsed="false">
      <c r="A98" s="110"/>
      <c r="B98" s="110"/>
      <c r="C98" s="110"/>
      <c r="D98" s="122"/>
      <c r="E98" s="110"/>
      <c r="F98" s="111" t="str">
        <f aca="false">IF(E98="CONTADO", 4%, IF(E98="TARJETA / CHEQUE", 3%, IF(OR(E98="FINANCIADO", E98="MCP"), 2.5%, "")))</f>
        <v/>
      </c>
      <c r="G98" s="109" t="str">
        <f aca="false">IF(F98="", "", F98*D98)</f>
        <v/>
      </c>
      <c r="H98" s="157" t="b">
        <f aca="false">FALSE()</f>
        <v>0</v>
      </c>
      <c r="I98" s="157" t="b">
        <f aca="false">FALSE()</f>
        <v>0</v>
      </c>
      <c r="J98" s="113"/>
      <c r="K98" s="107"/>
      <c r="L98" s="83"/>
      <c r="M98" s="103"/>
      <c r="N98" s="103"/>
      <c r="O98" s="103"/>
      <c r="P98" s="103"/>
      <c r="Q98" s="103"/>
      <c r="R98" s="83"/>
      <c r="S98" s="103"/>
      <c r="T98" s="103"/>
      <c r="U98" s="103"/>
    </row>
    <row r="99" customFormat="false" ht="22.5" hidden="false" customHeight="true" outlineLevel="0" collapsed="false">
      <c r="A99" s="99"/>
      <c r="B99" s="99"/>
      <c r="C99" s="99"/>
      <c r="D99" s="121"/>
      <c r="E99" s="99"/>
      <c r="F99" s="100" t="str">
        <f aca="false">IF(E99="CONTADO", 4%, IF(E99="TARJETA / CHEQUE", 3%, IF(OR(E99="FINANCIADO", E99="MCP"), 2.5%, "")))</f>
        <v/>
      </c>
      <c r="G99" s="98" t="str">
        <f aca="false">IF(F99="", "", F99*D99)</f>
        <v/>
      </c>
      <c r="H99" s="156" t="b">
        <f aca="false">FALSE()</f>
        <v>0</v>
      </c>
      <c r="I99" s="156" t="b">
        <f aca="false">FALSE()</f>
        <v>0</v>
      </c>
      <c r="J99" s="102"/>
      <c r="K99" s="96"/>
      <c r="L99" s="83"/>
      <c r="M99" s="103"/>
      <c r="N99" s="103"/>
      <c r="O99" s="103"/>
      <c r="P99" s="103"/>
      <c r="Q99" s="103"/>
      <c r="R99" s="83"/>
      <c r="S99" s="103"/>
      <c r="T99" s="103"/>
      <c r="U99" s="103"/>
    </row>
    <row r="100" customFormat="false" ht="22.5" hidden="false" customHeight="true" outlineLevel="0" collapsed="false">
      <c r="A100" s="110"/>
      <c r="B100" s="110"/>
      <c r="C100" s="110"/>
      <c r="D100" s="122"/>
      <c r="E100" s="110"/>
      <c r="F100" s="111" t="str">
        <f aca="false">IF(E100="CONTADO", 4%, IF(E100="TARJETA / CHEQUE", 3%, IF(OR(E100="FINANCIADO", E100="MCP"), 2.5%, "")))</f>
        <v/>
      </c>
      <c r="G100" s="109" t="str">
        <f aca="false">IF(F100="", "", F100*D100)</f>
        <v/>
      </c>
      <c r="H100" s="157" t="b">
        <f aca="false">FALSE()</f>
        <v>0</v>
      </c>
      <c r="I100" s="157" t="b">
        <f aca="false">FALSE()</f>
        <v>0</v>
      </c>
      <c r="J100" s="113"/>
      <c r="K100" s="107"/>
      <c r="L100" s="83"/>
      <c r="M100" s="103"/>
      <c r="N100" s="103"/>
      <c r="O100" s="103"/>
      <c r="P100" s="103"/>
      <c r="Q100" s="103"/>
      <c r="R100" s="83"/>
      <c r="S100" s="103"/>
      <c r="T100" s="103"/>
      <c r="U100" s="103"/>
    </row>
    <row r="101" customFormat="false" ht="22.5" hidden="false" customHeight="true" outlineLevel="0" collapsed="false">
      <c r="A101" s="99"/>
      <c r="B101" s="99"/>
      <c r="C101" s="99"/>
      <c r="D101" s="121"/>
      <c r="E101" s="99"/>
      <c r="F101" s="100" t="str">
        <f aca="false">IF(E101="CONTADO", 4%, IF(E101="TARJETA / CHEQUE", 3%, IF(OR(E101="FINANCIADO", E101="MCP"), 2.5%, "")))</f>
        <v/>
      </c>
      <c r="G101" s="98" t="str">
        <f aca="false">IF(F101="", "", F101*D101)</f>
        <v/>
      </c>
      <c r="H101" s="156" t="b">
        <f aca="false">FALSE()</f>
        <v>0</v>
      </c>
      <c r="I101" s="156" t="b">
        <f aca="false">FALSE()</f>
        <v>0</v>
      </c>
      <c r="J101" s="102"/>
      <c r="K101" s="96"/>
      <c r="L101" s="83"/>
      <c r="M101" s="103"/>
      <c r="N101" s="103"/>
      <c r="O101" s="103"/>
      <c r="P101" s="103"/>
      <c r="Q101" s="103"/>
      <c r="R101" s="83"/>
      <c r="S101" s="103"/>
      <c r="T101" s="103"/>
      <c r="U101" s="103"/>
    </row>
    <row r="102" customFormat="false" ht="22.5" hidden="false" customHeight="true" outlineLevel="0" collapsed="false">
      <c r="A102" s="110"/>
      <c r="B102" s="110"/>
      <c r="C102" s="110"/>
      <c r="D102" s="122"/>
      <c r="E102" s="110"/>
      <c r="F102" s="111" t="str">
        <f aca="false">IF(E102="CONTADO", 4%, IF(E102="TARJETA / CHEQUE", 3%, IF(OR(E102="FINANCIADO", E102="MCP"), 2.5%, "")))</f>
        <v/>
      </c>
      <c r="G102" s="109" t="str">
        <f aca="false">IF(F102="", "", F102*D102)</f>
        <v/>
      </c>
      <c r="H102" s="157" t="b">
        <f aca="false">FALSE()</f>
        <v>0</v>
      </c>
      <c r="I102" s="157" t="b">
        <f aca="false">FALSE()</f>
        <v>0</v>
      </c>
      <c r="J102" s="113"/>
      <c r="K102" s="107"/>
      <c r="L102" s="83"/>
      <c r="M102" s="103"/>
      <c r="N102" s="103"/>
      <c r="O102" s="103"/>
      <c r="P102" s="103"/>
      <c r="Q102" s="103"/>
      <c r="R102" s="83"/>
      <c r="S102" s="103"/>
      <c r="T102" s="103"/>
      <c r="U102" s="103"/>
    </row>
    <row r="103" customFormat="false" ht="22.5" hidden="false" customHeight="true" outlineLevel="0" collapsed="false">
      <c r="A103" s="99"/>
      <c r="B103" s="99"/>
      <c r="C103" s="99"/>
      <c r="D103" s="121"/>
      <c r="E103" s="99"/>
      <c r="F103" s="100" t="str">
        <f aca="false">IF(E103="CONTADO", 4%, IF(E103="TARJETA / CHEQUE", 3%, IF(OR(E103="FINANCIADO", E103="MCP"), 2.5%, "")))</f>
        <v/>
      </c>
      <c r="G103" s="98" t="str">
        <f aca="false">IF(F103="", "", F103*D103)</f>
        <v/>
      </c>
      <c r="H103" s="156" t="b">
        <f aca="false">FALSE()</f>
        <v>0</v>
      </c>
      <c r="I103" s="156" t="b">
        <f aca="false">FALSE()</f>
        <v>0</v>
      </c>
      <c r="J103" s="102"/>
      <c r="K103" s="96"/>
      <c r="L103" s="83"/>
      <c r="M103" s="103"/>
      <c r="N103" s="103"/>
      <c r="O103" s="103"/>
      <c r="P103" s="103"/>
      <c r="Q103" s="103"/>
      <c r="R103" s="83"/>
      <c r="S103" s="103"/>
      <c r="T103" s="103"/>
      <c r="U103" s="103"/>
    </row>
    <row r="104" customFormat="false" ht="22.5" hidden="false" customHeight="true" outlineLevel="0" collapsed="false">
      <c r="A104" s="110"/>
      <c r="B104" s="110"/>
      <c r="C104" s="110"/>
      <c r="D104" s="122"/>
      <c r="E104" s="110"/>
      <c r="F104" s="111" t="str">
        <f aca="false">IF(E104="CONTADO", 4%, IF(E104="TARJETA / CHEQUE", 3%, IF(OR(E104="FINANCIADO", E104="MCP"), 2.5%, "")))</f>
        <v/>
      </c>
      <c r="G104" s="109" t="str">
        <f aca="false">IF(F104="", "", F104*D104)</f>
        <v/>
      </c>
      <c r="H104" s="157" t="b">
        <f aca="false">FALSE()</f>
        <v>0</v>
      </c>
      <c r="I104" s="157" t="b">
        <f aca="false">FALSE()</f>
        <v>0</v>
      </c>
      <c r="J104" s="113"/>
      <c r="K104" s="107"/>
      <c r="L104" s="83"/>
      <c r="M104" s="103"/>
      <c r="N104" s="103"/>
      <c r="O104" s="103"/>
      <c r="P104" s="103"/>
      <c r="Q104" s="103"/>
      <c r="R104" s="83"/>
      <c r="S104" s="103"/>
      <c r="T104" s="103"/>
      <c r="U104" s="103"/>
    </row>
    <row r="105" customFormat="false" ht="22.5" hidden="false" customHeight="true" outlineLevel="0" collapsed="false">
      <c r="A105" s="99"/>
      <c r="B105" s="99"/>
      <c r="C105" s="99"/>
      <c r="D105" s="121"/>
      <c r="E105" s="99"/>
      <c r="F105" s="100" t="str">
        <f aca="false">IF(E105="CONTADO", 4%, IF(E105="TARJETA / CHEQUE", 3%, IF(OR(E105="FINANCIADO", E105="MCP"), 2.5%, "")))</f>
        <v/>
      </c>
      <c r="G105" s="98" t="str">
        <f aca="false">IF(F105="", "", F105*D105)</f>
        <v/>
      </c>
      <c r="H105" s="156" t="b">
        <f aca="false">FALSE()</f>
        <v>0</v>
      </c>
      <c r="I105" s="156" t="b">
        <f aca="false">FALSE()</f>
        <v>0</v>
      </c>
      <c r="J105" s="102"/>
      <c r="K105" s="96"/>
      <c r="L105" s="83"/>
      <c r="M105" s="103"/>
      <c r="N105" s="103"/>
      <c r="O105" s="103"/>
      <c r="P105" s="103"/>
      <c r="Q105" s="103"/>
      <c r="R105" s="83"/>
      <c r="S105" s="103"/>
      <c r="T105" s="103"/>
      <c r="U105" s="103"/>
    </row>
    <row r="106" customFormat="false" ht="22.5" hidden="false" customHeight="true" outlineLevel="0" collapsed="false">
      <c r="A106" s="110"/>
      <c r="B106" s="110"/>
      <c r="C106" s="110"/>
      <c r="D106" s="122"/>
      <c r="E106" s="110"/>
      <c r="F106" s="111" t="str">
        <f aca="false">IF(E106="CONTADO", 4%, IF(E106="TARJETA / CHEQUE", 3%, IF(OR(E106="FINANCIADO", E106="MCP"), 2.5%, "")))</f>
        <v/>
      </c>
      <c r="G106" s="109" t="str">
        <f aca="false">IF(F106="", "", F106*D106)</f>
        <v/>
      </c>
      <c r="H106" s="157" t="b">
        <f aca="false">FALSE()</f>
        <v>0</v>
      </c>
      <c r="I106" s="157" t="b">
        <f aca="false">FALSE()</f>
        <v>0</v>
      </c>
      <c r="J106" s="113"/>
      <c r="K106" s="107"/>
      <c r="L106" s="83"/>
      <c r="M106" s="103"/>
      <c r="N106" s="103"/>
      <c r="O106" s="103"/>
      <c r="P106" s="103"/>
      <c r="Q106" s="103"/>
      <c r="R106" s="83"/>
      <c r="S106" s="103"/>
      <c r="T106" s="103"/>
      <c r="U106" s="103"/>
    </row>
    <row r="107" customFormat="false" ht="22.5" hidden="false" customHeight="true" outlineLevel="0" collapsed="false">
      <c r="A107" s="99"/>
      <c r="B107" s="99"/>
      <c r="C107" s="99"/>
      <c r="D107" s="121"/>
      <c r="E107" s="99"/>
      <c r="F107" s="100" t="str">
        <f aca="false">IF(E107="CONTADO", 4%, IF(E107="TARJETA / CHEQUE", 3%, IF(OR(E107="FINANCIADO", E107="MCP"), 2.5%, "")))</f>
        <v/>
      </c>
      <c r="G107" s="98" t="str">
        <f aca="false">IF(F107="", "", F107*D107)</f>
        <v/>
      </c>
      <c r="H107" s="156" t="b">
        <f aca="false">FALSE()</f>
        <v>0</v>
      </c>
      <c r="I107" s="156" t="b">
        <f aca="false">FALSE()</f>
        <v>0</v>
      </c>
      <c r="J107" s="102"/>
      <c r="K107" s="96"/>
      <c r="L107" s="83"/>
      <c r="M107" s="103"/>
      <c r="N107" s="103"/>
      <c r="O107" s="103"/>
      <c r="P107" s="103"/>
      <c r="Q107" s="103"/>
      <c r="R107" s="83"/>
      <c r="S107" s="103"/>
      <c r="T107" s="103"/>
      <c r="U107" s="103"/>
    </row>
    <row r="108" customFormat="false" ht="22.5" hidden="false" customHeight="true" outlineLevel="0" collapsed="false">
      <c r="A108" s="110"/>
      <c r="B108" s="110"/>
      <c r="C108" s="110"/>
      <c r="D108" s="122"/>
      <c r="E108" s="110"/>
      <c r="F108" s="111" t="str">
        <f aca="false">IF(E108="CONTADO", 4%, IF(E108="TARJETA / CHEQUE", 3%, IF(OR(E108="FINANCIADO", E108="MCP"), 2.5%, "")))</f>
        <v/>
      </c>
      <c r="G108" s="109" t="str">
        <f aca="false">IF(F108="", "", F108*D108)</f>
        <v/>
      </c>
      <c r="H108" s="157" t="b">
        <f aca="false">FALSE()</f>
        <v>0</v>
      </c>
      <c r="I108" s="157" t="b">
        <f aca="false">FALSE()</f>
        <v>0</v>
      </c>
      <c r="J108" s="113"/>
      <c r="K108" s="107"/>
      <c r="L108" s="83"/>
      <c r="M108" s="103"/>
      <c r="N108" s="103"/>
      <c r="O108" s="103"/>
      <c r="P108" s="103"/>
      <c r="Q108" s="103"/>
      <c r="R108" s="83"/>
      <c r="S108" s="103"/>
      <c r="T108" s="103"/>
      <c r="U108" s="103"/>
    </row>
    <row r="109" customFormat="false" ht="22.5" hidden="false" customHeight="true" outlineLevel="0" collapsed="false">
      <c r="A109" s="99"/>
      <c r="B109" s="99"/>
      <c r="C109" s="99"/>
      <c r="D109" s="121"/>
      <c r="E109" s="99"/>
      <c r="F109" s="100" t="str">
        <f aca="false">IF(E109="CONTADO", 4%, IF(E109="TARJETA / CHEQUE", 3%, IF(OR(E109="FINANCIADO", E109="MCP"), 2.5%, "")))</f>
        <v/>
      </c>
      <c r="G109" s="98" t="str">
        <f aca="false">IF(F109="", "", F109*D109)</f>
        <v/>
      </c>
      <c r="H109" s="156" t="b">
        <f aca="false">FALSE()</f>
        <v>0</v>
      </c>
      <c r="I109" s="156" t="b">
        <f aca="false">FALSE()</f>
        <v>0</v>
      </c>
      <c r="J109" s="102"/>
      <c r="K109" s="96"/>
      <c r="L109" s="83"/>
      <c r="M109" s="103"/>
      <c r="N109" s="103"/>
      <c r="O109" s="103"/>
      <c r="P109" s="103"/>
      <c r="Q109" s="103"/>
      <c r="R109" s="83"/>
      <c r="S109" s="103"/>
      <c r="T109" s="103"/>
      <c r="U109" s="103"/>
    </row>
    <row r="110" customFormat="false" ht="22.5" hidden="false" customHeight="true" outlineLevel="0" collapsed="false">
      <c r="A110" s="110"/>
      <c r="B110" s="110"/>
      <c r="C110" s="110"/>
      <c r="D110" s="122"/>
      <c r="E110" s="110"/>
      <c r="F110" s="111" t="str">
        <f aca="false">IF(E110="CONTADO", 4%, IF(E110="TARJETA / CHEQUE", 3%, IF(OR(E110="FINANCIADO", E110="MCP"), 2.5%, "")))</f>
        <v/>
      </c>
      <c r="G110" s="109" t="str">
        <f aca="false">IF(F110="", "", F110*D110)</f>
        <v/>
      </c>
      <c r="H110" s="157" t="b">
        <f aca="false">FALSE()</f>
        <v>0</v>
      </c>
      <c r="I110" s="157" t="b">
        <f aca="false">FALSE()</f>
        <v>0</v>
      </c>
      <c r="J110" s="113"/>
      <c r="K110" s="107"/>
      <c r="L110" s="83"/>
      <c r="M110" s="103"/>
      <c r="N110" s="103"/>
      <c r="O110" s="103"/>
      <c r="P110" s="103"/>
      <c r="Q110" s="103"/>
      <c r="R110" s="83"/>
      <c r="S110" s="103"/>
      <c r="T110" s="103"/>
      <c r="U110" s="103"/>
    </row>
    <row r="111" customFormat="false" ht="22.5" hidden="false" customHeight="true" outlineLevel="0" collapsed="false">
      <c r="A111" s="99"/>
      <c r="B111" s="99"/>
      <c r="C111" s="99"/>
      <c r="D111" s="121"/>
      <c r="E111" s="99"/>
      <c r="F111" s="100" t="str">
        <f aca="false">IF(E111="CONTADO", 4%, IF(E111="TARJETA / CHEQUE", 3%, IF(OR(E111="FINANCIADO", E111="MCP"), 2.5%, "")))</f>
        <v/>
      </c>
      <c r="G111" s="98" t="str">
        <f aca="false">IF(F111="", "", F111*D111)</f>
        <v/>
      </c>
      <c r="H111" s="156" t="b">
        <f aca="false">FALSE()</f>
        <v>0</v>
      </c>
      <c r="I111" s="156" t="b">
        <f aca="false">FALSE()</f>
        <v>0</v>
      </c>
      <c r="J111" s="102"/>
      <c r="K111" s="96"/>
      <c r="L111" s="83"/>
      <c r="M111" s="103"/>
      <c r="N111" s="103"/>
      <c r="O111" s="103"/>
      <c r="P111" s="103"/>
      <c r="Q111" s="103"/>
      <c r="R111" s="83"/>
      <c r="S111" s="103"/>
      <c r="T111" s="103"/>
      <c r="U111" s="103"/>
    </row>
    <row r="112" customFormat="false" ht="22.5" hidden="false" customHeight="true" outlineLevel="0" collapsed="false">
      <c r="A112" s="110"/>
      <c r="B112" s="110"/>
      <c r="C112" s="110"/>
      <c r="D112" s="122"/>
      <c r="E112" s="110"/>
      <c r="F112" s="111" t="str">
        <f aca="false">IF(E112="CONTADO", 4%, IF(E112="TARJETA / CHEQUE", 3%, IF(OR(E112="FINANCIADO", E112="MCP"), 2.5%, "")))</f>
        <v/>
      </c>
      <c r="G112" s="109" t="str">
        <f aca="false">IF(F112="", "", F112*D112)</f>
        <v/>
      </c>
      <c r="H112" s="157" t="b">
        <f aca="false">FALSE()</f>
        <v>0</v>
      </c>
      <c r="I112" s="157" t="b">
        <f aca="false">FALSE()</f>
        <v>0</v>
      </c>
      <c r="J112" s="113"/>
      <c r="K112" s="107"/>
      <c r="L112" s="83"/>
      <c r="M112" s="103"/>
      <c r="N112" s="103"/>
      <c r="O112" s="103"/>
      <c r="P112" s="103"/>
      <c r="Q112" s="103"/>
      <c r="R112" s="83"/>
      <c r="S112" s="103"/>
      <c r="T112" s="103"/>
      <c r="U112" s="103"/>
    </row>
    <row r="113" customFormat="false" ht="22.5" hidden="false" customHeight="true" outlineLevel="0" collapsed="false">
      <c r="A113" s="99"/>
      <c r="B113" s="99"/>
      <c r="C113" s="99"/>
      <c r="D113" s="121"/>
      <c r="E113" s="99"/>
      <c r="F113" s="100" t="str">
        <f aca="false">IF(E113="CONTADO", 4%, IF(E113="TARJETA / CHEQUE", 3%, IF(OR(E113="FINANCIADO", E113="MCP"), 2.5%, "")))</f>
        <v/>
      </c>
      <c r="G113" s="98" t="str">
        <f aca="false">IF(F113="", "", F113*D113)</f>
        <v/>
      </c>
      <c r="H113" s="156" t="b">
        <f aca="false">FALSE()</f>
        <v>0</v>
      </c>
      <c r="I113" s="156" t="b">
        <f aca="false">FALSE()</f>
        <v>0</v>
      </c>
      <c r="J113" s="102"/>
      <c r="K113" s="96"/>
      <c r="L113" s="83"/>
      <c r="M113" s="103"/>
      <c r="N113" s="103"/>
      <c r="O113" s="103"/>
      <c r="P113" s="103"/>
      <c r="Q113" s="103"/>
      <c r="R113" s="83"/>
      <c r="S113" s="103"/>
      <c r="T113" s="103"/>
      <c r="U113" s="103"/>
    </row>
    <row r="114" customFormat="false" ht="22.5" hidden="false" customHeight="true" outlineLevel="0" collapsed="false">
      <c r="A114" s="110"/>
      <c r="B114" s="110"/>
      <c r="C114" s="110"/>
      <c r="D114" s="122"/>
      <c r="E114" s="110"/>
      <c r="F114" s="111" t="str">
        <f aca="false">IF(E114="CONTADO", 4%, IF(E114="TARJETA / CHEQUE", 3%, IF(OR(E114="FINANCIADO", E114="MCP"), 2.5%, "")))</f>
        <v/>
      </c>
      <c r="G114" s="109" t="str">
        <f aca="false">IF(F114="", "", F114*D114)</f>
        <v/>
      </c>
      <c r="H114" s="157" t="b">
        <f aca="false">FALSE()</f>
        <v>0</v>
      </c>
      <c r="I114" s="157" t="b">
        <f aca="false">FALSE()</f>
        <v>0</v>
      </c>
      <c r="J114" s="113"/>
      <c r="K114" s="107"/>
      <c r="L114" s="83"/>
      <c r="M114" s="103"/>
      <c r="N114" s="103"/>
      <c r="O114" s="103"/>
      <c r="P114" s="103"/>
      <c r="Q114" s="103"/>
      <c r="R114" s="83"/>
      <c r="S114" s="103"/>
      <c r="T114" s="103"/>
      <c r="U114" s="103"/>
    </row>
    <row r="115" customFormat="false" ht="22.5" hidden="false" customHeight="true" outlineLevel="0" collapsed="false">
      <c r="A115" s="99"/>
      <c r="B115" s="99"/>
      <c r="C115" s="99"/>
      <c r="D115" s="121"/>
      <c r="E115" s="99"/>
      <c r="F115" s="100" t="str">
        <f aca="false">IF(E115="CONTADO", 4%, IF(E115="TARJETA / CHEQUE", 3%, IF(OR(E115="FINANCIADO", E115="MCP"), 2.5%, "")))</f>
        <v/>
      </c>
      <c r="G115" s="98" t="str">
        <f aca="false">IF(F115="", "", F115*D115)</f>
        <v/>
      </c>
      <c r="H115" s="156" t="b">
        <f aca="false">FALSE()</f>
        <v>0</v>
      </c>
      <c r="I115" s="156" t="b">
        <f aca="false">FALSE()</f>
        <v>0</v>
      </c>
      <c r="J115" s="102"/>
      <c r="K115" s="96"/>
      <c r="L115" s="83"/>
      <c r="M115" s="103"/>
      <c r="N115" s="103"/>
      <c r="O115" s="103"/>
      <c r="P115" s="103"/>
      <c r="Q115" s="103"/>
      <c r="R115" s="83"/>
      <c r="S115" s="103"/>
      <c r="T115" s="103"/>
      <c r="U115" s="103"/>
    </row>
    <row r="116" customFormat="false" ht="22.5" hidden="false" customHeight="true" outlineLevel="0" collapsed="false">
      <c r="A116" s="110"/>
      <c r="B116" s="110"/>
      <c r="C116" s="110"/>
      <c r="D116" s="122"/>
      <c r="E116" s="110"/>
      <c r="F116" s="111" t="str">
        <f aca="false">IF(E116="CONTADO", 4%, IF(E116="TARJETA / CHEQUE", 3%, IF(OR(E116="FINANCIADO", E116="MCP"), 2.5%, "")))</f>
        <v/>
      </c>
      <c r="G116" s="109" t="str">
        <f aca="false">IF(F116="", "", F116*D116)</f>
        <v/>
      </c>
      <c r="H116" s="157" t="b">
        <f aca="false">FALSE()</f>
        <v>0</v>
      </c>
      <c r="I116" s="157" t="b">
        <f aca="false">FALSE()</f>
        <v>0</v>
      </c>
      <c r="J116" s="113"/>
      <c r="K116" s="107"/>
      <c r="L116" s="83"/>
      <c r="M116" s="103"/>
      <c r="N116" s="103"/>
      <c r="O116" s="103"/>
      <c r="P116" s="103"/>
      <c r="Q116" s="103"/>
      <c r="R116" s="83"/>
      <c r="S116" s="103"/>
      <c r="T116" s="103"/>
      <c r="U116" s="103"/>
    </row>
    <row r="117" customFormat="false" ht="22.5" hidden="false" customHeight="true" outlineLevel="0" collapsed="false">
      <c r="A117" s="99"/>
      <c r="B117" s="99"/>
      <c r="C117" s="99"/>
      <c r="D117" s="121"/>
      <c r="E117" s="99"/>
      <c r="F117" s="100" t="str">
        <f aca="false">IF(E117="CONTADO", 4%, IF(E117="TARJETA / CHEQUE", 3%, IF(OR(E117="FINANCIADO", E117="MCP"), 2.5%, "")))</f>
        <v/>
      </c>
      <c r="G117" s="98" t="str">
        <f aca="false">IF(F117="", "", F117*D117)</f>
        <v/>
      </c>
      <c r="H117" s="156" t="b">
        <f aca="false">FALSE()</f>
        <v>0</v>
      </c>
      <c r="I117" s="156" t="b">
        <f aca="false">FALSE()</f>
        <v>0</v>
      </c>
      <c r="J117" s="102"/>
      <c r="K117" s="96"/>
      <c r="L117" s="83"/>
      <c r="M117" s="103"/>
      <c r="N117" s="103"/>
      <c r="O117" s="103"/>
      <c r="P117" s="103"/>
      <c r="Q117" s="103"/>
      <c r="R117" s="83"/>
      <c r="S117" s="103"/>
      <c r="T117" s="103"/>
      <c r="U117" s="103"/>
    </row>
    <row r="118" customFormat="false" ht="22.5" hidden="false" customHeight="true" outlineLevel="0" collapsed="false">
      <c r="A118" s="110"/>
      <c r="B118" s="110"/>
      <c r="C118" s="110"/>
      <c r="D118" s="122"/>
      <c r="E118" s="110"/>
      <c r="F118" s="111" t="str">
        <f aca="false">IF(E118="CONTADO", 4%, IF(E118="TARJETA / CHEQUE", 3%, IF(OR(E118="FINANCIADO", E118="MCP"), 2.5%, "")))</f>
        <v/>
      </c>
      <c r="G118" s="109" t="str">
        <f aca="false">IF(F118="", "", F118*D118)</f>
        <v/>
      </c>
      <c r="H118" s="157" t="b">
        <f aca="false">FALSE()</f>
        <v>0</v>
      </c>
      <c r="I118" s="157" t="b">
        <f aca="false">FALSE()</f>
        <v>0</v>
      </c>
      <c r="J118" s="113"/>
      <c r="K118" s="107"/>
      <c r="L118" s="83"/>
      <c r="M118" s="103"/>
      <c r="N118" s="103"/>
      <c r="O118" s="103"/>
      <c r="P118" s="103"/>
      <c r="Q118" s="103"/>
      <c r="R118" s="83"/>
      <c r="S118" s="103"/>
      <c r="T118" s="103"/>
      <c r="U118" s="103"/>
    </row>
    <row r="119" customFormat="false" ht="22.5" hidden="false" customHeight="true" outlineLevel="0" collapsed="false">
      <c r="A119" s="99"/>
      <c r="B119" s="99"/>
      <c r="C119" s="99"/>
      <c r="D119" s="121"/>
      <c r="E119" s="99"/>
      <c r="F119" s="100" t="str">
        <f aca="false">IF(E119="CONTADO", 4%, IF(E119="TARJETA / CHEQUE", 3%, IF(OR(E119="FINANCIADO", E119="MCP"), 2.5%, "")))</f>
        <v/>
      </c>
      <c r="G119" s="98" t="str">
        <f aca="false">IF(F119="", "", F119*D119)</f>
        <v/>
      </c>
      <c r="H119" s="156" t="b">
        <f aca="false">FALSE()</f>
        <v>0</v>
      </c>
      <c r="I119" s="156" t="b">
        <f aca="false">FALSE()</f>
        <v>0</v>
      </c>
      <c r="J119" s="102"/>
      <c r="K119" s="96"/>
      <c r="L119" s="83"/>
      <c r="M119" s="103"/>
      <c r="N119" s="103"/>
      <c r="O119" s="103"/>
      <c r="P119" s="103"/>
      <c r="Q119" s="103"/>
      <c r="R119" s="83"/>
      <c r="S119" s="103"/>
      <c r="T119" s="103"/>
      <c r="U119" s="103"/>
    </row>
    <row r="120" customFormat="false" ht="22.5" hidden="false" customHeight="true" outlineLevel="0" collapsed="false">
      <c r="A120" s="110"/>
      <c r="B120" s="110"/>
      <c r="C120" s="110"/>
      <c r="D120" s="122"/>
      <c r="E120" s="110"/>
      <c r="F120" s="111" t="str">
        <f aca="false">IF(E120="CONTADO", 4%, IF(E120="TARJETA / CHEQUE", 3%, IF(OR(E120="FINANCIADO", E120="MCP"), 2.5%, "")))</f>
        <v/>
      </c>
      <c r="G120" s="109" t="str">
        <f aca="false">IF(F120="", "", F120*D120)</f>
        <v/>
      </c>
      <c r="H120" s="157" t="b">
        <f aca="false">FALSE()</f>
        <v>0</v>
      </c>
      <c r="I120" s="157" t="b">
        <f aca="false">FALSE()</f>
        <v>0</v>
      </c>
      <c r="J120" s="113"/>
      <c r="K120" s="107"/>
      <c r="L120" s="83"/>
      <c r="M120" s="103"/>
      <c r="N120" s="103"/>
      <c r="O120" s="103"/>
      <c r="P120" s="103"/>
      <c r="Q120" s="103"/>
      <c r="R120" s="83"/>
      <c r="S120" s="103"/>
      <c r="T120" s="103"/>
      <c r="U120" s="103"/>
    </row>
    <row r="121" customFormat="false" ht="22.5" hidden="false" customHeight="true" outlineLevel="0" collapsed="false">
      <c r="A121" s="99"/>
      <c r="B121" s="99"/>
      <c r="C121" s="99"/>
      <c r="D121" s="121"/>
      <c r="E121" s="99"/>
      <c r="F121" s="100" t="str">
        <f aca="false">IF(E121="CONTADO", 4%, IF(E121="TARJETA / CHEQUE", 3%, IF(OR(E121="FINANCIADO", E121="MCP"), 2.5%, "")))</f>
        <v/>
      </c>
      <c r="G121" s="98" t="str">
        <f aca="false">IF(F121="", "", F121*D121)</f>
        <v/>
      </c>
      <c r="H121" s="156" t="b">
        <f aca="false">FALSE()</f>
        <v>0</v>
      </c>
      <c r="I121" s="156" t="b">
        <f aca="false">FALSE()</f>
        <v>0</v>
      </c>
      <c r="J121" s="102"/>
      <c r="K121" s="96"/>
      <c r="L121" s="83"/>
      <c r="M121" s="103"/>
      <c r="N121" s="103"/>
      <c r="O121" s="103"/>
      <c r="P121" s="103"/>
      <c r="Q121" s="103"/>
      <c r="R121" s="83"/>
      <c r="S121" s="103"/>
      <c r="T121" s="103"/>
      <c r="U121" s="103"/>
    </row>
    <row r="122" customFormat="false" ht="22.5" hidden="false" customHeight="true" outlineLevel="0" collapsed="false">
      <c r="A122" s="110"/>
      <c r="B122" s="110"/>
      <c r="C122" s="110"/>
      <c r="D122" s="122"/>
      <c r="E122" s="110"/>
      <c r="F122" s="111" t="str">
        <f aca="false">IF(E122="CONTADO", 4%, IF(E122="TARJETA / CHEQUE", 3%, IF(OR(E122="FINANCIADO", E122="MCP"), 2.5%, "")))</f>
        <v/>
      </c>
      <c r="G122" s="109" t="str">
        <f aca="false">IF(F122="", "", F122*D122)</f>
        <v/>
      </c>
      <c r="H122" s="157" t="b">
        <f aca="false">FALSE()</f>
        <v>0</v>
      </c>
      <c r="I122" s="157" t="b">
        <f aca="false">FALSE()</f>
        <v>0</v>
      </c>
      <c r="J122" s="113"/>
      <c r="K122" s="107"/>
      <c r="L122" s="83"/>
      <c r="M122" s="103"/>
      <c r="N122" s="103"/>
      <c r="O122" s="103"/>
      <c r="P122" s="103"/>
      <c r="Q122" s="103"/>
      <c r="R122" s="83"/>
      <c r="S122" s="103"/>
      <c r="T122" s="103"/>
      <c r="U122" s="103"/>
    </row>
    <row r="123" customFormat="false" ht="22.5" hidden="false" customHeight="true" outlineLevel="0" collapsed="false">
      <c r="A123" s="99"/>
      <c r="B123" s="99"/>
      <c r="C123" s="99"/>
      <c r="D123" s="121"/>
      <c r="E123" s="99"/>
      <c r="F123" s="100" t="str">
        <f aca="false">IF(E123="CONTADO", 4%, IF(E123="TARJETA / CHEQUE", 3%, IF(OR(E123="FINANCIADO", E123="MCP"), 2.5%, "")))</f>
        <v/>
      </c>
      <c r="G123" s="98" t="str">
        <f aca="false">IF(F123="", "", F123*D123)</f>
        <v/>
      </c>
      <c r="H123" s="156" t="b">
        <f aca="false">FALSE()</f>
        <v>0</v>
      </c>
      <c r="I123" s="156" t="b">
        <f aca="false">FALSE()</f>
        <v>0</v>
      </c>
      <c r="J123" s="102"/>
      <c r="K123" s="96"/>
      <c r="L123" s="83"/>
      <c r="M123" s="103"/>
      <c r="N123" s="103"/>
      <c r="O123" s="103"/>
      <c r="P123" s="103"/>
      <c r="Q123" s="103"/>
      <c r="R123" s="83"/>
      <c r="S123" s="103"/>
      <c r="T123" s="103"/>
      <c r="U123" s="103"/>
    </row>
    <row r="124" customFormat="false" ht="22.5" hidden="false" customHeight="true" outlineLevel="0" collapsed="false">
      <c r="A124" s="110"/>
      <c r="B124" s="110"/>
      <c r="C124" s="110"/>
      <c r="D124" s="122"/>
      <c r="E124" s="110"/>
      <c r="F124" s="111" t="str">
        <f aca="false">IF(E124="CONTADO", 4%, IF(E124="TARJETA / CHEQUE", 3%, IF(OR(E124="FINANCIADO", E124="MCP"), 2.5%, "")))</f>
        <v/>
      </c>
      <c r="G124" s="109" t="str">
        <f aca="false">IF(F124="", "", F124*D124)</f>
        <v/>
      </c>
      <c r="H124" s="157" t="b">
        <f aca="false">FALSE()</f>
        <v>0</v>
      </c>
      <c r="I124" s="157" t="b">
        <f aca="false">FALSE()</f>
        <v>0</v>
      </c>
      <c r="J124" s="113"/>
      <c r="K124" s="107"/>
      <c r="L124" s="83"/>
      <c r="M124" s="103"/>
      <c r="N124" s="103"/>
      <c r="O124" s="103"/>
      <c r="P124" s="103"/>
      <c r="Q124" s="103"/>
      <c r="R124" s="83"/>
      <c r="S124" s="103"/>
      <c r="T124" s="103"/>
      <c r="U124" s="103"/>
    </row>
    <row r="125" customFormat="false" ht="22.5" hidden="false" customHeight="true" outlineLevel="0" collapsed="false">
      <c r="A125" s="99"/>
      <c r="B125" s="99"/>
      <c r="C125" s="99"/>
      <c r="D125" s="121"/>
      <c r="E125" s="99"/>
      <c r="F125" s="100" t="str">
        <f aca="false">IF(E125="CONTADO", 4%, IF(E125="TARJETA / CHEQUE", 3%, IF(OR(E125="FINANCIADO", E125="MCP"), 2.5%, "")))</f>
        <v/>
      </c>
      <c r="G125" s="98" t="str">
        <f aca="false">IF(F125="", "", F125*D125)</f>
        <v/>
      </c>
      <c r="H125" s="156" t="b">
        <f aca="false">FALSE()</f>
        <v>0</v>
      </c>
      <c r="I125" s="156" t="b">
        <f aca="false">FALSE()</f>
        <v>0</v>
      </c>
      <c r="J125" s="102"/>
      <c r="K125" s="96"/>
      <c r="L125" s="83"/>
      <c r="M125" s="103"/>
      <c r="N125" s="103"/>
      <c r="O125" s="103"/>
      <c r="P125" s="103"/>
      <c r="Q125" s="103"/>
      <c r="R125" s="83"/>
      <c r="S125" s="103"/>
      <c r="T125" s="103"/>
      <c r="U125" s="103"/>
    </row>
    <row r="126" customFormat="false" ht="22.5" hidden="false" customHeight="true" outlineLevel="0" collapsed="false">
      <c r="A126" s="110"/>
      <c r="B126" s="110"/>
      <c r="C126" s="110"/>
      <c r="D126" s="122"/>
      <c r="E126" s="110"/>
      <c r="F126" s="111" t="str">
        <f aca="false">IF(E126="CONTADO", 4%, IF(E126="TARJETA / CHEQUE", 3%, IF(OR(E126="FINANCIADO", E126="MCP"), 2.5%, "")))</f>
        <v/>
      </c>
      <c r="G126" s="109" t="str">
        <f aca="false">IF(F126="", "", F126*D126)</f>
        <v/>
      </c>
      <c r="H126" s="157" t="b">
        <f aca="false">FALSE()</f>
        <v>0</v>
      </c>
      <c r="I126" s="157" t="b">
        <f aca="false">FALSE()</f>
        <v>0</v>
      </c>
      <c r="J126" s="113"/>
      <c r="K126" s="107"/>
      <c r="L126" s="83"/>
      <c r="M126" s="103"/>
      <c r="N126" s="103"/>
      <c r="O126" s="103"/>
      <c r="P126" s="103"/>
      <c r="Q126" s="103"/>
      <c r="R126" s="83"/>
      <c r="S126" s="103"/>
      <c r="T126" s="103"/>
      <c r="U126" s="103"/>
    </row>
    <row r="127" customFormat="false" ht="22.5" hidden="false" customHeight="true" outlineLevel="0" collapsed="false">
      <c r="A127" s="99"/>
      <c r="B127" s="99"/>
      <c r="C127" s="99"/>
      <c r="D127" s="121"/>
      <c r="E127" s="99"/>
      <c r="F127" s="100" t="str">
        <f aca="false">IF(E127="CONTADO", 4%, IF(E127="TARJETA / CHEQUE", 3%, IF(OR(E127="FINANCIADO", E127="MCP"), 2.5%, "")))</f>
        <v/>
      </c>
      <c r="G127" s="98" t="str">
        <f aca="false">IF(F127="", "", F127*D127)</f>
        <v/>
      </c>
      <c r="H127" s="156" t="b">
        <f aca="false">FALSE()</f>
        <v>0</v>
      </c>
      <c r="I127" s="156" t="b">
        <f aca="false">FALSE()</f>
        <v>0</v>
      </c>
      <c r="J127" s="102"/>
      <c r="K127" s="96"/>
      <c r="L127" s="83"/>
      <c r="M127" s="103"/>
      <c r="N127" s="103"/>
      <c r="O127" s="103"/>
      <c r="P127" s="103"/>
      <c r="Q127" s="103"/>
      <c r="R127" s="83"/>
      <c r="S127" s="103"/>
      <c r="T127" s="103"/>
      <c r="U127" s="103"/>
    </row>
    <row r="128" customFormat="false" ht="22.5" hidden="false" customHeight="true" outlineLevel="0" collapsed="false">
      <c r="A128" s="110"/>
      <c r="B128" s="110"/>
      <c r="C128" s="110"/>
      <c r="D128" s="122"/>
      <c r="E128" s="110"/>
      <c r="F128" s="111" t="str">
        <f aca="false">IF(E128="CONTADO", 4%, IF(E128="TARJETA / CHEQUE", 3%, IF(OR(E128="FINANCIADO", E128="MCP"), 2.5%, "")))</f>
        <v/>
      </c>
      <c r="G128" s="109" t="str">
        <f aca="false">IF(F128="", "", F128*D128)</f>
        <v/>
      </c>
      <c r="H128" s="157" t="b">
        <f aca="false">FALSE()</f>
        <v>0</v>
      </c>
      <c r="I128" s="157" t="b">
        <f aca="false">FALSE()</f>
        <v>0</v>
      </c>
      <c r="J128" s="113"/>
      <c r="K128" s="107"/>
      <c r="L128" s="83"/>
      <c r="M128" s="103"/>
      <c r="N128" s="103"/>
      <c r="O128" s="103"/>
      <c r="P128" s="103"/>
      <c r="Q128" s="103"/>
      <c r="R128" s="83"/>
      <c r="S128" s="103"/>
      <c r="T128" s="103"/>
      <c r="U128" s="103"/>
    </row>
    <row r="129" customFormat="false" ht="22.5" hidden="false" customHeight="true" outlineLevel="0" collapsed="false">
      <c r="A129" s="99"/>
      <c r="B129" s="99"/>
      <c r="C129" s="99"/>
      <c r="D129" s="121"/>
      <c r="E129" s="99"/>
      <c r="F129" s="100" t="str">
        <f aca="false">IF(E129="CONTADO", 4%, IF(E129="TARJETA / CHEQUE", 3%, IF(OR(E129="FINANCIADO", E129="MCP"), 2.5%, "")))</f>
        <v/>
      </c>
      <c r="G129" s="98" t="str">
        <f aca="false">IF(F129="", "", F129*D129)</f>
        <v/>
      </c>
      <c r="H129" s="156" t="b">
        <f aca="false">FALSE()</f>
        <v>0</v>
      </c>
      <c r="I129" s="156" t="b">
        <f aca="false">FALSE()</f>
        <v>0</v>
      </c>
      <c r="J129" s="102"/>
      <c r="K129" s="96"/>
      <c r="L129" s="83"/>
      <c r="M129" s="103"/>
      <c r="N129" s="103"/>
      <c r="O129" s="103"/>
      <c r="P129" s="103"/>
      <c r="Q129" s="103"/>
      <c r="R129" s="83"/>
      <c r="S129" s="103"/>
      <c r="T129" s="103"/>
      <c r="U129" s="103"/>
    </row>
    <row r="130" customFormat="false" ht="22.5" hidden="false" customHeight="true" outlineLevel="0" collapsed="false">
      <c r="A130" s="110"/>
      <c r="B130" s="110"/>
      <c r="C130" s="110"/>
      <c r="D130" s="122"/>
      <c r="E130" s="110"/>
      <c r="F130" s="111" t="str">
        <f aca="false">IF(E130="CONTADO", 4%, IF(E130="TARJETA / CHEQUE", 3%, IF(OR(E130="FINANCIADO", E130="MCP"), 2.5%, "")))</f>
        <v/>
      </c>
      <c r="G130" s="109" t="str">
        <f aca="false">IF(F130="", "", F130*D130)</f>
        <v/>
      </c>
      <c r="H130" s="157" t="b">
        <f aca="false">FALSE()</f>
        <v>0</v>
      </c>
      <c r="I130" s="157" t="b">
        <f aca="false">FALSE()</f>
        <v>0</v>
      </c>
      <c r="J130" s="113"/>
      <c r="K130" s="107"/>
      <c r="L130" s="83"/>
      <c r="M130" s="103"/>
      <c r="N130" s="103"/>
      <c r="O130" s="103"/>
      <c r="P130" s="103"/>
      <c r="Q130" s="103"/>
      <c r="R130" s="83"/>
      <c r="S130" s="103"/>
      <c r="T130" s="103"/>
      <c r="U130" s="103"/>
    </row>
    <row r="131" customFormat="false" ht="22.5" hidden="false" customHeight="true" outlineLevel="0" collapsed="false">
      <c r="A131" s="99"/>
      <c r="B131" s="99"/>
      <c r="C131" s="99"/>
      <c r="D131" s="121"/>
      <c r="E131" s="99"/>
      <c r="F131" s="100" t="str">
        <f aca="false">IF(E131="CONTADO", 4%, IF(E131="TARJETA / CHEQUE", 3%, IF(OR(E131="FINANCIADO", E131="MCP"), 2.5%, "")))</f>
        <v/>
      </c>
      <c r="G131" s="98" t="str">
        <f aca="false">IF(F131="", "", F131*D131)</f>
        <v/>
      </c>
      <c r="H131" s="156" t="b">
        <f aca="false">FALSE()</f>
        <v>0</v>
      </c>
      <c r="I131" s="156" t="b">
        <f aca="false">FALSE()</f>
        <v>0</v>
      </c>
      <c r="J131" s="102"/>
      <c r="K131" s="96"/>
      <c r="L131" s="83"/>
      <c r="M131" s="103"/>
      <c r="N131" s="103"/>
      <c r="O131" s="103"/>
      <c r="P131" s="103"/>
      <c r="Q131" s="103"/>
      <c r="R131" s="83"/>
      <c r="S131" s="103"/>
      <c r="T131" s="103"/>
      <c r="U131" s="103"/>
    </row>
    <row r="132" customFormat="false" ht="22.5" hidden="false" customHeight="true" outlineLevel="0" collapsed="false">
      <c r="A132" s="110"/>
      <c r="B132" s="110"/>
      <c r="C132" s="110"/>
      <c r="D132" s="122"/>
      <c r="E132" s="110"/>
      <c r="F132" s="111" t="str">
        <f aca="false">IF(E132="CONTADO", 4%, IF(E132="TARJETA / CHEQUE", 3%, IF(OR(E132="FINANCIADO", E132="MCP"), 2.5%, "")))</f>
        <v/>
      </c>
      <c r="G132" s="109" t="str">
        <f aca="false">IF(F132="", "", F132*D132)</f>
        <v/>
      </c>
      <c r="H132" s="157" t="b">
        <f aca="false">FALSE()</f>
        <v>0</v>
      </c>
      <c r="I132" s="157" t="b">
        <f aca="false">FALSE()</f>
        <v>0</v>
      </c>
      <c r="J132" s="113"/>
      <c r="K132" s="107"/>
      <c r="L132" s="83"/>
      <c r="M132" s="103"/>
      <c r="N132" s="103"/>
      <c r="O132" s="103"/>
      <c r="P132" s="103"/>
      <c r="Q132" s="103"/>
      <c r="R132" s="83"/>
      <c r="S132" s="103"/>
      <c r="T132" s="103"/>
      <c r="U132" s="103"/>
    </row>
    <row r="133" customFormat="false" ht="22.5" hidden="false" customHeight="true" outlineLevel="0" collapsed="false">
      <c r="A133" s="99"/>
      <c r="B133" s="99"/>
      <c r="C133" s="99"/>
      <c r="D133" s="121"/>
      <c r="E133" s="99"/>
      <c r="F133" s="100" t="str">
        <f aca="false">IF(E133="CONTADO", 4%, IF(E133="TARJETA / CHEQUE", 3%, IF(OR(E133="FINANCIADO", E133="MCP"), 2.5%, "")))</f>
        <v/>
      </c>
      <c r="G133" s="98" t="str">
        <f aca="false">IF(F133="", "", F133*D133)</f>
        <v/>
      </c>
      <c r="H133" s="156" t="b">
        <f aca="false">FALSE()</f>
        <v>0</v>
      </c>
      <c r="I133" s="156" t="b">
        <f aca="false">FALSE()</f>
        <v>0</v>
      </c>
      <c r="J133" s="102"/>
      <c r="K133" s="96"/>
      <c r="L133" s="83"/>
      <c r="M133" s="103"/>
      <c r="N133" s="103"/>
      <c r="O133" s="103"/>
      <c r="P133" s="103"/>
      <c r="Q133" s="103"/>
      <c r="R133" s="83"/>
      <c r="S133" s="103"/>
      <c r="T133" s="103"/>
      <c r="U133" s="103"/>
    </row>
    <row r="134" customFormat="false" ht="22.5" hidden="false" customHeight="true" outlineLevel="0" collapsed="false">
      <c r="A134" s="110"/>
      <c r="B134" s="110"/>
      <c r="C134" s="110"/>
      <c r="D134" s="122"/>
      <c r="E134" s="110"/>
      <c r="F134" s="111" t="str">
        <f aca="false">IF(E134="CONTADO", 4%, IF(E134="TARJETA / CHEQUE", 3%, IF(OR(E134="FINANCIADO", E134="MCP"), 2.5%, "")))</f>
        <v/>
      </c>
      <c r="G134" s="109" t="str">
        <f aca="false">IF(F134="", "", F134*D134)</f>
        <v/>
      </c>
      <c r="H134" s="157" t="b">
        <f aca="false">FALSE()</f>
        <v>0</v>
      </c>
      <c r="I134" s="157" t="b">
        <f aca="false">FALSE()</f>
        <v>0</v>
      </c>
      <c r="J134" s="113"/>
      <c r="K134" s="107"/>
      <c r="L134" s="83"/>
      <c r="M134" s="103"/>
      <c r="N134" s="103"/>
      <c r="O134" s="103"/>
      <c r="P134" s="103"/>
      <c r="Q134" s="103"/>
      <c r="R134" s="83"/>
      <c r="S134" s="103"/>
      <c r="T134" s="103"/>
      <c r="U134" s="103"/>
    </row>
    <row r="135" customFormat="false" ht="22.5" hidden="false" customHeight="true" outlineLevel="0" collapsed="false">
      <c r="A135" s="99"/>
      <c r="B135" s="99"/>
      <c r="C135" s="99"/>
      <c r="D135" s="121"/>
      <c r="E135" s="99"/>
      <c r="F135" s="100" t="str">
        <f aca="false">IF(E135="CONTADO", 4%, IF(E135="TARJETA / CHEQUE", 3%, IF(OR(E135="FINANCIADO", E135="MCP"), 2.5%, "")))</f>
        <v/>
      </c>
      <c r="G135" s="98" t="str">
        <f aca="false">IF(F135="", "", F135*D135)</f>
        <v/>
      </c>
      <c r="H135" s="156" t="b">
        <f aca="false">FALSE()</f>
        <v>0</v>
      </c>
      <c r="I135" s="156" t="b">
        <f aca="false">FALSE()</f>
        <v>0</v>
      </c>
      <c r="J135" s="102"/>
      <c r="K135" s="96"/>
      <c r="L135" s="83"/>
      <c r="M135" s="103"/>
      <c r="N135" s="103"/>
      <c r="O135" s="103"/>
      <c r="P135" s="103"/>
      <c r="Q135" s="103"/>
      <c r="R135" s="83"/>
      <c r="S135" s="103"/>
      <c r="T135" s="103"/>
      <c r="U135" s="103"/>
    </row>
    <row r="136" customFormat="false" ht="22.5" hidden="false" customHeight="true" outlineLevel="0" collapsed="false">
      <c r="A136" s="110"/>
      <c r="B136" s="110"/>
      <c r="C136" s="110"/>
      <c r="D136" s="122"/>
      <c r="E136" s="110"/>
      <c r="F136" s="111" t="str">
        <f aca="false">IF(E136="CONTADO", 4%, IF(E136="TARJETA / CHEQUE", 3%, IF(OR(E136="FINANCIADO", E136="MCP"), 2.5%, "")))</f>
        <v/>
      </c>
      <c r="G136" s="109" t="str">
        <f aca="false">IF(F136="", "", F136*D136)</f>
        <v/>
      </c>
      <c r="H136" s="157" t="b">
        <f aca="false">FALSE()</f>
        <v>0</v>
      </c>
      <c r="I136" s="157" t="b">
        <f aca="false">FALSE()</f>
        <v>0</v>
      </c>
      <c r="J136" s="113"/>
      <c r="K136" s="107"/>
      <c r="L136" s="83"/>
      <c r="M136" s="103"/>
      <c r="N136" s="103"/>
      <c r="O136" s="103"/>
      <c r="P136" s="103"/>
      <c r="Q136" s="103"/>
      <c r="R136" s="83"/>
      <c r="S136" s="103"/>
      <c r="T136" s="103"/>
      <c r="U136" s="103"/>
    </row>
    <row r="137" customFormat="false" ht="22.5" hidden="false" customHeight="true" outlineLevel="0" collapsed="false">
      <c r="A137" s="99"/>
      <c r="B137" s="99"/>
      <c r="C137" s="99"/>
      <c r="D137" s="121"/>
      <c r="E137" s="99"/>
      <c r="F137" s="100" t="str">
        <f aca="false">IF(E137="CONTADO", 4%, IF(E137="TARJETA / CHEQUE", 3%, IF(OR(E137="FINANCIADO", E137="MCP"), 2.5%, "")))</f>
        <v/>
      </c>
      <c r="G137" s="98" t="str">
        <f aca="false">IF(F137="", "", F137*D137)</f>
        <v/>
      </c>
      <c r="H137" s="156" t="b">
        <f aca="false">FALSE()</f>
        <v>0</v>
      </c>
      <c r="I137" s="156" t="b">
        <f aca="false">FALSE()</f>
        <v>0</v>
      </c>
      <c r="J137" s="102"/>
      <c r="K137" s="96"/>
      <c r="L137" s="83"/>
      <c r="M137" s="103"/>
      <c r="N137" s="103"/>
      <c r="O137" s="103"/>
      <c r="P137" s="103"/>
      <c r="Q137" s="103"/>
      <c r="R137" s="83"/>
      <c r="S137" s="103"/>
      <c r="T137" s="103"/>
      <c r="U137" s="103"/>
    </row>
    <row r="138" customFormat="false" ht="22.5" hidden="false" customHeight="true" outlineLevel="0" collapsed="false">
      <c r="A138" s="110"/>
      <c r="B138" s="110"/>
      <c r="C138" s="110"/>
      <c r="D138" s="122"/>
      <c r="E138" s="110"/>
      <c r="F138" s="111" t="str">
        <f aca="false">IF(E138="CONTADO", 4%, IF(E138="TARJETA / CHEQUE", 3%, IF(OR(E138="FINANCIADO", E138="MCP"), 2.5%, "")))</f>
        <v/>
      </c>
      <c r="G138" s="109" t="str">
        <f aca="false">IF(F138="", "", F138*D138)</f>
        <v/>
      </c>
      <c r="H138" s="157" t="b">
        <f aca="false">FALSE()</f>
        <v>0</v>
      </c>
      <c r="I138" s="157" t="b">
        <f aca="false">FALSE()</f>
        <v>0</v>
      </c>
      <c r="J138" s="113"/>
      <c r="K138" s="107"/>
      <c r="L138" s="83"/>
      <c r="M138" s="103"/>
      <c r="N138" s="103"/>
      <c r="O138" s="103"/>
      <c r="P138" s="103"/>
      <c r="Q138" s="103"/>
      <c r="R138" s="83"/>
      <c r="S138" s="103"/>
      <c r="T138" s="103"/>
      <c r="U138" s="103"/>
    </row>
    <row r="139" customFormat="false" ht="22.5" hidden="false" customHeight="true" outlineLevel="0" collapsed="false">
      <c r="A139" s="99"/>
      <c r="B139" s="99"/>
      <c r="C139" s="99"/>
      <c r="D139" s="121"/>
      <c r="E139" s="99"/>
      <c r="F139" s="100" t="str">
        <f aca="false">IF(E139="CONTADO", 4%, IF(E139="TARJETA / CHEQUE", 3%, IF(OR(E139="FINANCIADO", E139="MCP"), 2.5%, "")))</f>
        <v/>
      </c>
      <c r="G139" s="98" t="str">
        <f aca="false">IF(F139="", "", F139*D139)</f>
        <v/>
      </c>
      <c r="H139" s="156" t="b">
        <f aca="false">FALSE()</f>
        <v>0</v>
      </c>
      <c r="I139" s="156" t="b">
        <f aca="false">FALSE()</f>
        <v>0</v>
      </c>
      <c r="J139" s="102"/>
      <c r="K139" s="96"/>
      <c r="L139" s="83"/>
      <c r="M139" s="103"/>
      <c r="N139" s="103"/>
      <c r="O139" s="103"/>
      <c r="P139" s="103"/>
      <c r="Q139" s="103"/>
      <c r="R139" s="83"/>
      <c r="S139" s="103"/>
      <c r="T139" s="103"/>
      <c r="U139" s="103"/>
    </row>
    <row r="140" customFormat="false" ht="22.5" hidden="false" customHeight="true" outlineLevel="0" collapsed="false">
      <c r="A140" s="110"/>
      <c r="B140" s="110"/>
      <c r="C140" s="110"/>
      <c r="D140" s="122"/>
      <c r="E140" s="110"/>
      <c r="F140" s="111" t="str">
        <f aca="false">IF(E140="CONTADO", 4%, IF(E140="TARJETA / CHEQUE", 3%, IF(OR(E140="FINANCIADO", E140="MCP"), 2.5%, "")))</f>
        <v/>
      </c>
      <c r="G140" s="109" t="str">
        <f aca="false">IF(F140="", "", F140*D140)</f>
        <v/>
      </c>
      <c r="H140" s="157" t="b">
        <f aca="false">FALSE()</f>
        <v>0</v>
      </c>
      <c r="I140" s="157" t="b">
        <f aca="false">FALSE()</f>
        <v>0</v>
      </c>
      <c r="J140" s="113"/>
      <c r="K140" s="107"/>
      <c r="L140" s="83"/>
      <c r="M140" s="103"/>
      <c r="N140" s="103"/>
      <c r="O140" s="103"/>
      <c r="P140" s="103"/>
      <c r="Q140" s="103"/>
      <c r="R140" s="83"/>
      <c r="S140" s="103"/>
      <c r="T140" s="103"/>
      <c r="U140" s="103"/>
    </row>
    <row r="141" customFormat="false" ht="22.5" hidden="false" customHeight="true" outlineLevel="0" collapsed="false">
      <c r="A141" s="99"/>
      <c r="B141" s="99"/>
      <c r="C141" s="99"/>
      <c r="D141" s="121"/>
      <c r="E141" s="99"/>
      <c r="F141" s="100" t="str">
        <f aca="false">IF(E141="CONTADO", 4%, IF(E141="TARJETA / CHEQUE", 3%, IF(OR(E141="FINANCIADO", E141="MCP"), 2.5%, "")))</f>
        <v/>
      </c>
      <c r="G141" s="98" t="str">
        <f aca="false">IF(F141="", "", F141*D141)</f>
        <v/>
      </c>
      <c r="H141" s="156" t="b">
        <f aca="false">FALSE()</f>
        <v>0</v>
      </c>
      <c r="I141" s="156" t="b">
        <f aca="false">FALSE()</f>
        <v>0</v>
      </c>
      <c r="J141" s="102"/>
      <c r="K141" s="96"/>
      <c r="L141" s="83"/>
      <c r="M141" s="103"/>
      <c r="N141" s="103"/>
      <c r="O141" s="103"/>
      <c r="P141" s="103"/>
      <c r="Q141" s="103"/>
      <c r="R141" s="83"/>
      <c r="S141" s="103"/>
      <c r="T141" s="103"/>
      <c r="U141" s="103"/>
    </row>
    <row r="142" customFormat="false" ht="22.5" hidden="false" customHeight="true" outlineLevel="0" collapsed="false">
      <c r="A142" s="110"/>
      <c r="B142" s="110"/>
      <c r="C142" s="110"/>
      <c r="D142" s="122"/>
      <c r="E142" s="110"/>
      <c r="F142" s="111" t="str">
        <f aca="false">IF(E142="CONTADO", 4%, IF(E142="TARJETA / CHEQUE", 3%, IF(OR(E142="FINANCIADO", E142="MCP"), 2.5%, "")))</f>
        <v/>
      </c>
      <c r="G142" s="109" t="str">
        <f aca="false">IF(F142="", "", F142*D142)</f>
        <v/>
      </c>
      <c r="H142" s="157" t="b">
        <f aca="false">FALSE()</f>
        <v>0</v>
      </c>
      <c r="I142" s="157" t="b">
        <f aca="false">FALSE()</f>
        <v>0</v>
      </c>
      <c r="J142" s="113"/>
      <c r="K142" s="107"/>
      <c r="L142" s="83"/>
      <c r="M142" s="103"/>
      <c r="N142" s="103"/>
      <c r="O142" s="103"/>
      <c r="P142" s="103"/>
      <c r="Q142" s="103"/>
      <c r="R142" s="83"/>
      <c r="S142" s="103"/>
      <c r="T142" s="103"/>
      <c r="U142" s="103"/>
    </row>
    <row r="143" customFormat="false" ht="22.5" hidden="false" customHeight="true" outlineLevel="0" collapsed="false">
      <c r="A143" s="99"/>
      <c r="B143" s="99"/>
      <c r="C143" s="99"/>
      <c r="D143" s="121"/>
      <c r="E143" s="99"/>
      <c r="F143" s="100" t="str">
        <f aca="false">IF(E143="CONTADO", 4%, IF(E143="TARJETA / CHEQUE", 3%, IF(OR(E143="FINANCIADO", E143="MCP"), 2.5%, "")))</f>
        <v/>
      </c>
      <c r="G143" s="98" t="str">
        <f aca="false">IF(F143="", "", F143*D143)</f>
        <v/>
      </c>
      <c r="H143" s="156" t="b">
        <f aca="false">FALSE()</f>
        <v>0</v>
      </c>
      <c r="I143" s="156" t="b">
        <f aca="false">FALSE()</f>
        <v>0</v>
      </c>
      <c r="J143" s="102"/>
      <c r="K143" s="96"/>
      <c r="L143" s="83"/>
      <c r="M143" s="103"/>
      <c r="N143" s="103"/>
      <c r="O143" s="103"/>
      <c r="P143" s="103"/>
      <c r="Q143" s="103"/>
      <c r="R143" s="83"/>
      <c r="S143" s="103"/>
      <c r="T143" s="103"/>
      <c r="U143" s="103"/>
    </row>
    <row r="144" customFormat="false" ht="22.5" hidden="false" customHeight="true" outlineLevel="0" collapsed="false">
      <c r="A144" s="110"/>
      <c r="B144" s="110"/>
      <c r="C144" s="110"/>
      <c r="D144" s="122"/>
      <c r="E144" s="110"/>
      <c r="F144" s="111" t="str">
        <f aca="false">IF(E144="CONTADO", 4%, IF(E144="TARJETA / CHEQUE", 3%, IF(OR(E144="FINANCIADO", E144="MCP"), 2.5%, "")))</f>
        <v/>
      </c>
      <c r="G144" s="109" t="str">
        <f aca="false">IF(F144="", "", F144*D144)</f>
        <v/>
      </c>
      <c r="H144" s="157" t="b">
        <f aca="false">FALSE()</f>
        <v>0</v>
      </c>
      <c r="I144" s="157" t="b">
        <f aca="false">FALSE()</f>
        <v>0</v>
      </c>
      <c r="J144" s="113"/>
      <c r="K144" s="107"/>
      <c r="L144" s="83"/>
      <c r="M144" s="103"/>
      <c r="N144" s="103"/>
      <c r="O144" s="103"/>
      <c r="P144" s="103"/>
      <c r="Q144" s="103"/>
      <c r="R144" s="83"/>
      <c r="S144" s="103"/>
      <c r="T144" s="103"/>
      <c r="U144" s="103"/>
    </row>
    <row r="145" customFormat="false" ht="22.5" hidden="false" customHeight="true" outlineLevel="0" collapsed="false">
      <c r="A145" s="99"/>
      <c r="B145" s="99"/>
      <c r="C145" s="99"/>
      <c r="D145" s="121"/>
      <c r="E145" s="99"/>
      <c r="F145" s="100" t="str">
        <f aca="false">IF(E145="CONTADO", 4%, IF(E145="TARJETA / CHEQUE", 3%, IF(OR(E145="FINANCIADO", E145="MCP"), 2.5%, "")))</f>
        <v/>
      </c>
      <c r="G145" s="98" t="str">
        <f aca="false">IF(F145="", "", F145*D145)</f>
        <v/>
      </c>
      <c r="H145" s="156" t="b">
        <f aca="false">FALSE()</f>
        <v>0</v>
      </c>
      <c r="I145" s="156" t="b">
        <f aca="false">FALSE()</f>
        <v>0</v>
      </c>
      <c r="J145" s="102"/>
      <c r="K145" s="96"/>
      <c r="L145" s="83"/>
      <c r="M145" s="103"/>
      <c r="N145" s="103"/>
      <c r="O145" s="103"/>
      <c r="P145" s="103"/>
      <c r="Q145" s="103"/>
      <c r="R145" s="83"/>
      <c r="S145" s="103"/>
      <c r="T145" s="103"/>
      <c r="U145" s="103"/>
    </row>
    <row r="146" customFormat="false" ht="22.5" hidden="false" customHeight="true" outlineLevel="0" collapsed="false">
      <c r="A146" s="110"/>
      <c r="B146" s="110"/>
      <c r="C146" s="110"/>
      <c r="D146" s="122"/>
      <c r="E146" s="110"/>
      <c r="F146" s="111" t="str">
        <f aca="false">IF(E146="CONTADO", 4%, IF(E146="TARJETA / CHEQUE", 3%, IF(OR(E146="FINANCIADO", E146="MCP"), 2.5%, "")))</f>
        <v/>
      </c>
      <c r="G146" s="109" t="str">
        <f aca="false">IF(F146="", "", F146*D146)</f>
        <v/>
      </c>
      <c r="H146" s="157" t="b">
        <f aca="false">FALSE()</f>
        <v>0</v>
      </c>
      <c r="I146" s="157" t="b">
        <f aca="false">FALSE()</f>
        <v>0</v>
      </c>
      <c r="J146" s="113"/>
      <c r="K146" s="107"/>
      <c r="L146" s="83"/>
      <c r="M146" s="103"/>
      <c r="N146" s="103"/>
      <c r="O146" s="103"/>
      <c r="P146" s="103"/>
      <c r="Q146" s="103"/>
      <c r="R146" s="83"/>
      <c r="S146" s="103"/>
      <c r="T146" s="103"/>
      <c r="U146" s="103"/>
    </row>
    <row r="147" customFormat="false" ht="22.5" hidden="false" customHeight="true" outlineLevel="0" collapsed="false">
      <c r="A147" s="99"/>
      <c r="B147" s="99"/>
      <c r="C147" s="99"/>
      <c r="D147" s="121"/>
      <c r="E147" s="99"/>
      <c r="F147" s="100" t="str">
        <f aca="false">IF(E147="CONTADO", 4%, IF(E147="TARJETA / CHEQUE", 3%, IF(OR(E147="FINANCIADO", E147="MCP"), 2.5%, "")))</f>
        <v/>
      </c>
      <c r="G147" s="98" t="str">
        <f aca="false">IF(F147="", "", F147*D147)</f>
        <v/>
      </c>
      <c r="H147" s="156" t="b">
        <f aca="false">FALSE()</f>
        <v>0</v>
      </c>
      <c r="I147" s="156" t="b">
        <f aca="false">FALSE()</f>
        <v>0</v>
      </c>
      <c r="J147" s="102"/>
      <c r="K147" s="96"/>
      <c r="L147" s="83"/>
      <c r="M147" s="103"/>
      <c r="N147" s="103"/>
      <c r="O147" s="103"/>
      <c r="P147" s="103"/>
      <c r="Q147" s="103"/>
      <c r="R147" s="83"/>
      <c r="S147" s="103"/>
      <c r="T147" s="103"/>
      <c r="U147" s="103"/>
    </row>
    <row r="148" customFormat="false" ht="22.5" hidden="false" customHeight="true" outlineLevel="0" collapsed="false">
      <c r="A148" s="110"/>
      <c r="B148" s="110"/>
      <c r="C148" s="110"/>
      <c r="D148" s="122"/>
      <c r="E148" s="110"/>
      <c r="F148" s="111" t="str">
        <f aca="false">IF(E148="CONTADO", 4%, IF(E148="TARJETA / CHEQUE", 3%, IF(OR(E148="FINANCIADO", E148="MCP"), 2.5%, "")))</f>
        <v/>
      </c>
      <c r="G148" s="109" t="str">
        <f aca="false">IF(F148="", "", F148*D148)</f>
        <v/>
      </c>
      <c r="H148" s="157" t="b">
        <f aca="false">FALSE()</f>
        <v>0</v>
      </c>
      <c r="I148" s="157" t="b">
        <f aca="false">FALSE()</f>
        <v>0</v>
      </c>
      <c r="J148" s="113"/>
      <c r="K148" s="107"/>
      <c r="L148" s="83"/>
      <c r="M148" s="103"/>
      <c r="N148" s="103"/>
      <c r="O148" s="103"/>
      <c r="P148" s="103"/>
      <c r="Q148" s="103"/>
      <c r="R148" s="83"/>
      <c r="S148" s="103"/>
      <c r="T148" s="103"/>
      <c r="U148" s="103"/>
    </row>
    <row r="149" customFormat="false" ht="22.5" hidden="false" customHeight="true" outlineLevel="0" collapsed="false">
      <c r="A149" s="99"/>
      <c r="B149" s="99"/>
      <c r="C149" s="99"/>
      <c r="D149" s="121"/>
      <c r="E149" s="99"/>
      <c r="F149" s="100" t="str">
        <f aca="false">IF(E149="CONTADO", 4%, IF(E149="TARJETA / CHEQUE", 3%, IF(OR(E149="FINANCIADO", E149="MCP"), 2.5%, "")))</f>
        <v/>
      </c>
      <c r="G149" s="98" t="str">
        <f aca="false">IF(F149="", "", F149*D149)</f>
        <v/>
      </c>
      <c r="H149" s="156" t="b">
        <f aca="false">FALSE()</f>
        <v>0</v>
      </c>
      <c r="I149" s="156" t="b">
        <f aca="false">FALSE()</f>
        <v>0</v>
      </c>
      <c r="J149" s="102"/>
      <c r="K149" s="96"/>
      <c r="L149" s="83"/>
      <c r="M149" s="103"/>
      <c r="N149" s="103"/>
      <c r="O149" s="103"/>
      <c r="P149" s="103"/>
      <c r="Q149" s="103"/>
      <c r="R149" s="83"/>
      <c r="S149" s="103"/>
      <c r="T149" s="103"/>
      <c r="U149" s="103"/>
    </row>
    <row r="150" customFormat="false" ht="22.5" hidden="false" customHeight="true" outlineLevel="0" collapsed="false">
      <c r="A150" s="110"/>
      <c r="B150" s="110"/>
      <c r="C150" s="110"/>
      <c r="D150" s="122"/>
      <c r="E150" s="110"/>
      <c r="F150" s="111" t="str">
        <f aca="false">IF(E150="CONTADO", 4%, IF(E150="TARJETA / CHEQUE", 3%, IF(OR(E150="FINANCIADO", E150="MCP"), 2.5%, "")))</f>
        <v/>
      </c>
      <c r="G150" s="109" t="str">
        <f aca="false">IF(F150="", "", F150*D150)</f>
        <v/>
      </c>
      <c r="H150" s="157" t="b">
        <f aca="false">FALSE()</f>
        <v>0</v>
      </c>
      <c r="I150" s="157" t="b">
        <f aca="false">FALSE()</f>
        <v>0</v>
      </c>
      <c r="J150" s="113"/>
      <c r="K150" s="107"/>
      <c r="L150" s="83"/>
      <c r="M150" s="103"/>
      <c r="N150" s="103"/>
      <c r="O150" s="103"/>
      <c r="P150" s="103"/>
      <c r="Q150" s="103"/>
      <c r="R150" s="83"/>
      <c r="S150" s="103"/>
      <c r="T150" s="103"/>
      <c r="U150" s="103"/>
    </row>
    <row r="151" customFormat="false" ht="22.5" hidden="false" customHeight="true" outlineLevel="0" collapsed="false">
      <c r="A151" s="99"/>
      <c r="B151" s="99"/>
      <c r="C151" s="99"/>
      <c r="D151" s="121"/>
      <c r="E151" s="99"/>
      <c r="F151" s="100" t="str">
        <f aca="false">IF(E151="CONTADO", 4%, IF(E151="TARJETA / CHEQUE", 3%, IF(OR(E151="FINANCIADO", E151="MCP"), 2.5%, "")))</f>
        <v/>
      </c>
      <c r="G151" s="98" t="str">
        <f aca="false">IF(F151="", "", F151*D151)</f>
        <v/>
      </c>
      <c r="H151" s="156" t="b">
        <f aca="false">FALSE()</f>
        <v>0</v>
      </c>
      <c r="I151" s="156" t="b">
        <f aca="false">FALSE()</f>
        <v>0</v>
      </c>
      <c r="J151" s="102"/>
      <c r="K151" s="96"/>
      <c r="L151" s="83"/>
      <c r="M151" s="103"/>
      <c r="N151" s="103"/>
      <c r="O151" s="103"/>
      <c r="P151" s="103"/>
      <c r="Q151" s="103"/>
      <c r="R151" s="83"/>
      <c r="S151" s="103"/>
      <c r="T151" s="103"/>
      <c r="U151" s="103"/>
    </row>
    <row r="152" customFormat="false" ht="22.5" hidden="false" customHeight="true" outlineLevel="0" collapsed="false">
      <c r="A152" s="110"/>
      <c r="B152" s="110"/>
      <c r="C152" s="110"/>
      <c r="D152" s="122"/>
      <c r="E152" s="110"/>
      <c r="F152" s="111" t="str">
        <f aca="false">IF(E152="CONTADO", 4%, IF(E152="TARJETA / CHEQUE", 3%, IF(OR(E152="FINANCIADO", E152="MCP"), 2.5%, "")))</f>
        <v/>
      </c>
      <c r="G152" s="109" t="str">
        <f aca="false">IF(F152="", "", F152*D152)</f>
        <v/>
      </c>
      <c r="H152" s="157" t="b">
        <f aca="false">FALSE()</f>
        <v>0</v>
      </c>
      <c r="I152" s="157" t="b">
        <f aca="false">FALSE()</f>
        <v>0</v>
      </c>
      <c r="J152" s="113"/>
      <c r="K152" s="107"/>
      <c r="L152" s="83"/>
      <c r="M152" s="103"/>
      <c r="N152" s="103"/>
      <c r="O152" s="103"/>
      <c r="P152" s="103"/>
      <c r="Q152" s="103"/>
      <c r="R152" s="83"/>
      <c r="S152" s="103"/>
      <c r="T152" s="103"/>
      <c r="U152" s="103"/>
    </row>
    <row r="153" customFormat="false" ht="22.5" hidden="false" customHeight="true" outlineLevel="0" collapsed="false">
      <c r="A153" s="99"/>
      <c r="B153" s="99"/>
      <c r="C153" s="99"/>
      <c r="D153" s="121"/>
      <c r="E153" s="99"/>
      <c r="F153" s="100" t="str">
        <f aca="false">IF(E153="CONTADO", 4%, IF(E153="TARJETA / CHEQUE", 3%, IF(OR(E153="FINANCIADO", E153="MCP"), 2.5%, "")))</f>
        <v/>
      </c>
      <c r="G153" s="98" t="str">
        <f aca="false">IF(F153="", "", F153*D153)</f>
        <v/>
      </c>
      <c r="H153" s="156" t="b">
        <f aca="false">FALSE()</f>
        <v>0</v>
      </c>
      <c r="I153" s="156" t="b">
        <f aca="false">FALSE()</f>
        <v>0</v>
      </c>
      <c r="J153" s="102"/>
      <c r="K153" s="96"/>
      <c r="L153" s="83"/>
      <c r="M153" s="103"/>
      <c r="N153" s="103"/>
      <c r="O153" s="103"/>
      <c r="P153" s="103"/>
      <c r="Q153" s="103"/>
      <c r="R153" s="83"/>
      <c r="S153" s="103"/>
      <c r="T153" s="103"/>
      <c r="U153" s="103"/>
    </row>
    <row r="154" customFormat="false" ht="22.5" hidden="false" customHeight="true" outlineLevel="0" collapsed="false">
      <c r="A154" s="110"/>
      <c r="B154" s="110"/>
      <c r="C154" s="110"/>
      <c r="D154" s="122"/>
      <c r="E154" s="110"/>
      <c r="F154" s="111" t="str">
        <f aca="false">IF(E154="CONTADO", 4%, IF(E154="TARJETA / CHEQUE", 3%, IF(OR(E154="FINANCIADO", E154="MCP"), 2.5%, "")))</f>
        <v/>
      </c>
      <c r="G154" s="109" t="str">
        <f aca="false">IF(F154="", "", F154*D154)</f>
        <v/>
      </c>
      <c r="H154" s="157" t="b">
        <f aca="false">FALSE()</f>
        <v>0</v>
      </c>
      <c r="I154" s="157" t="b">
        <f aca="false">FALSE()</f>
        <v>0</v>
      </c>
      <c r="J154" s="113"/>
      <c r="K154" s="107"/>
      <c r="L154" s="83"/>
      <c r="M154" s="103"/>
      <c r="N154" s="103"/>
      <c r="O154" s="103"/>
      <c r="P154" s="103"/>
      <c r="Q154" s="103"/>
      <c r="R154" s="83"/>
      <c r="S154" s="103"/>
      <c r="T154" s="103"/>
      <c r="U154" s="103"/>
    </row>
    <row r="155" customFormat="false" ht="22.5" hidden="false" customHeight="true" outlineLevel="0" collapsed="false">
      <c r="A155" s="99"/>
      <c r="B155" s="99"/>
      <c r="C155" s="99"/>
      <c r="D155" s="121"/>
      <c r="E155" s="99"/>
      <c r="F155" s="100" t="str">
        <f aca="false">IF(E155="CONTADO", 4%, IF(E155="TARJETA / CHEQUE", 3%, IF(OR(E155="FINANCIADO", E155="MCP"), 2.5%, "")))</f>
        <v/>
      </c>
      <c r="G155" s="98" t="str">
        <f aca="false">IF(F155="", "", F155*D155)</f>
        <v/>
      </c>
      <c r="H155" s="132" t="b">
        <f aca="false">FALSE()</f>
        <v>0</v>
      </c>
      <c r="I155" s="132" t="b">
        <f aca="false">FALSE()</f>
        <v>0</v>
      </c>
      <c r="J155" s="126"/>
      <c r="K155" s="99"/>
      <c r="L155" s="83"/>
      <c r="M155" s="103"/>
      <c r="N155" s="103"/>
      <c r="O155" s="103"/>
      <c r="P155" s="103"/>
      <c r="Q155" s="103"/>
      <c r="R155" s="83"/>
      <c r="S155" s="103"/>
      <c r="T155" s="103"/>
      <c r="U155" s="103"/>
    </row>
    <row r="156" customFormat="false" ht="22.5" hidden="false" customHeight="true" outlineLevel="0" collapsed="false">
      <c r="A156" s="110"/>
      <c r="B156" s="110"/>
      <c r="C156" s="110"/>
      <c r="D156" s="122"/>
      <c r="E156" s="110"/>
      <c r="F156" s="111" t="str">
        <f aca="false">IF(E156="CONTADO", 4%, IF(E156="TARJETA / CHEQUE", 3%, IF(OR(E156="FINANCIADO", E156="MCP"), 2.5%, "")))</f>
        <v/>
      </c>
      <c r="G156" s="109" t="str">
        <f aca="false">IF(F156="", "", F156*D156)</f>
        <v/>
      </c>
      <c r="H156" s="131" t="b">
        <f aca="false">FALSE()</f>
        <v>0</v>
      </c>
      <c r="I156" s="131" t="b">
        <f aca="false">FALSE()</f>
        <v>0</v>
      </c>
      <c r="J156" s="130"/>
      <c r="K156" s="110"/>
      <c r="L156" s="83"/>
      <c r="M156" s="103"/>
      <c r="N156" s="103"/>
      <c r="O156" s="103"/>
      <c r="P156" s="103"/>
      <c r="Q156" s="103"/>
      <c r="R156" s="83"/>
      <c r="S156" s="103"/>
      <c r="T156" s="103"/>
      <c r="U156" s="103"/>
    </row>
    <row r="157" customFormat="false" ht="22.5" hidden="false" customHeight="true" outlineLevel="0" collapsed="false">
      <c r="A157" s="99"/>
      <c r="B157" s="99"/>
      <c r="C157" s="99"/>
      <c r="D157" s="121"/>
      <c r="E157" s="99"/>
      <c r="F157" s="100" t="str">
        <f aca="false">IF(E157="CONTADO", 4%, IF(E157="TARJETA / CHEQUE", 3%, IF(OR(E157="FINANCIADO", E157="MCP"), 2.5%, "")))</f>
        <v/>
      </c>
      <c r="G157" s="98" t="str">
        <f aca="false">IF(F157="", "", F157*D157)</f>
        <v/>
      </c>
      <c r="H157" s="132" t="b">
        <f aca="false">FALSE()</f>
        <v>0</v>
      </c>
      <c r="I157" s="132" t="b">
        <f aca="false">FALSE()</f>
        <v>0</v>
      </c>
      <c r="J157" s="126"/>
      <c r="K157" s="99"/>
      <c r="L157" s="83"/>
      <c r="M157" s="103"/>
      <c r="N157" s="103"/>
      <c r="O157" s="103"/>
      <c r="P157" s="103"/>
      <c r="Q157" s="103"/>
      <c r="R157" s="83"/>
      <c r="S157" s="103"/>
      <c r="T157" s="103"/>
      <c r="U157" s="103"/>
    </row>
    <row r="158" customFormat="false" ht="22.5" hidden="false" customHeight="true" outlineLevel="0" collapsed="false">
      <c r="A158" s="110"/>
      <c r="B158" s="110"/>
      <c r="C158" s="110"/>
      <c r="D158" s="122"/>
      <c r="E158" s="110"/>
      <c r="F158" s="111" t="str">
        <f aca="false">IF(E158="CONTADO", 4%, IF(E158="TARJETA / CHEQUE", 3%, IF(OR(E158="FINANCIADO", E158="MCP"), 2.5%, "")))</f>
        <v/>
      </c>
      <c r="G158" s="109" t="str">
        <f aca="false">IF(F158="", "", F158*D158)</f>
        <v/>
      </c>
      <c r="H158" s="131" t="b">
        <f aca="false">FALSE()</f>
        <v>0</v>
      </c>
      <c r="I158" s="131" t="b">
        <f aca="false">FALSE()</f>
        <v>0</v>
      </c>
      <c r="J158" s="130"/>
      <c r="K158" s="110"/>
      <c r="L158" s="83"/>
      <c r="M158" s="103"/>
      <c r="N158" s="103"/>
      <c r="O158" s="103"/>
      <c r="P158" s="103"/>
      <c r="Q158" s="103"/>
      <c r="R158" s="83"/>
      <c r="S158" s="103"/>
      <c r="T158" s="103"/>
      <c r="U158" s="103"/>
    </row>
    <row r="159" customFormat="false" ht="22.5" hidden="false" customHeight="true" outlineLevel="0" collapsed="false">
      <c r="A159" s="99"/>
      <c r="B159" s="99"/>
      <c r="C159" s="99"/>
      <c r="D159" s="121"/>
      <c r="E159" s="99"/>
      <c r="F159" s="100" t="str">
        <f aca="false">IF(E159="CONTADO", 4%, IF(E159="TARJETA / CHEQUE", 3%, IF(OR(E159="FINANCIADO", E159="MCP"), 2.5%, "")))</f>
        <v/>
      </c>
      <c r="G159" s="98" t="str">
        <f aca="false">IF(F159="", "", F159*D159)</f>
        <v/>
      </c>
      <c r="H159" s="132" t="b">
        <f aca="false">FALSE()</f>
        <v>0</v>
      </c>
      <c r="I159" s="132" t="b">
        <f aca="false">FALSE()</f>
        <v>0</v>
      </c>
      <c r="J159" s="126"/>
      <c r="K159" s="99"/>
      <c r="L159" s="83"/>
      <c r="M159" s="103"/>
      <c r="N159" s="103"/>
      <c r="O159" s="103"/>
      <c r="P159" s="103"/>
      <c r="Q159" s="103"/>
      <c r="R159" s="83"/>
      <c r="S159" s="103"/>
      <c r="T159" s="103"/>
      <c r="U159" s="103"/>
    </row>
    <row r="160" customFormat="false" ht="22.5" hidden="false" customHeight="true" outlineLevel="0" collapsed="false">
      <c r="A160" s="110"/>
      <c r="B160" s="110"/>
      <c r="C160" s="110"/>
      <c r="D160" s="122"/>
      <c r="E160" s="110"/>
      <c r="F160" s="111" t="str">
        <f aca="false">IF(E160="CONTADO", 4%, IF(E160="TARJETA / CHEQUE", 3%, IF(OR(E160="FINANCIADO", E160="MCP"), 2.5%, "")))</f>
        <v/>
      </c>
      <c r="G160" s="109" t="str">
        <f aca="false">IF(F160="", "", F160*D160)</f>
        <v/>
      </c>
      <c r="H160" s="131" t="b">
        <f aca="false">FALSE()</f>
        <v>0</v>
      </c>
      <c r="I160" s="131" t="b">
        <f aca="false">FALSE()</f>
        <v>0</v>
      </c>
      <c r="J160" s="130"/>
      <c r="K160" s="110"/>
      <c r="L160" s="83"/>
      <c r="M160" s="103"/>
      <c r="N160" s="103"/>
      <c r="O160" s="103"/>
      <c r="P160" s="103"/>
      <c r="Q160" s="103"/>
      <c r="R160" s="83"/>
      <c r="S160" s="103"/>
      <c r="T160" s="103"/>
      <c r="U160" s="103"/>
    </row>
    <row r="161" customFormat="false" ht="22.5" hidden="false" customHeight="true" outlineLevel="0" collapsed="false">
      <c r="A161" s="99"/>
      <c r="B161" s="99"/>
      <c r="C161" s="99"/>
      <c r="D161" s="121"/>
      <c r="E161" s="99"/>
      <c r="F161" s="100" t="str">
        <f aca="false">IF(E161="CONTADO", 4%, IF(E161="TARJETA / CHEQUE", 3%, IF(OR(E161="FINANCIADO", E161="MCP"), 2.5%, "")))</f>
        <v/>
      </c>
      <c r="G161" s="98" t="str">
        <f aca="false">IF(F161="", "", F161*D161)</f>
        <v/>
      </c>
      <c r="H161" s="132" t="b">
        <f aca="false">FALSE()</f>
        <v>0</v>
      </c>
      <c r="I161" s="132" t="b">
        <f aca="false">FALSE()</f>
        <v>0</v>
      </c>
      <c r="J161" s="126"/>
      <c r="K161" s="99"/>
      <c r="L161" s="83"/>
      <c r="M161" s="103"/>
      <c r="N161" s="103"/>
      <c r="O161" s="103"/>
      <c r="P161" s="103"/>
      <c r="Q161" s="103"/>
      <c r="R161" s="83"/>
      <c r="S161" s="103"/>
      <c r="T161" s="103"/>
      <c r="U161" s="103"/>
    </row>
    <row r="162" customFormat="false" ht="22.5" hidden="false" customHeight="true" outlineLevel="0" collapsed="false">
      <c r="A162" s="110"/>
      <c r="B162" s="110"/>
      <c r="C162" s="110"/>
      <c r="D162" s="122"/>
      <c r="E162" s="110"/>
      <c r="F162" s="111" t="str">
        <f aca="false">IF(E162="CONTADO", 4%, IF(E162="TARJETA / CHEQUE", 3%, IF(OR(E162="FINANCIADO", E162="MCP"), 2.5%, "")))</f>
        <v/>
      </c>
      <c r="G162" s="109" t="str">
        <f aca="false">IF(F162="", "", F162*D162)</f>
        <v/>
      </c>
      <c r="H162" s="131" t="b">
        <f aca="false">FALSE()</f>
        <v>0</v>
      </c>
      <c r="I162" s="131" t="b">
        <f aca="false">FALSE()</f>
        <v>0</v>
      </c>
      <c r="J162" s="130"/>
      <c r="K162" s="110"/>
      <c r="L162" s="83"/>
      <c r="M162" s="103"/>
      <c r="N162" s="103"/>
      <c r="O162" s="103"/>
      <c r="P162" s="103"/>
      <c r="Q162" s="103"/>
      <c r="R162" s="83"/>
      <c r="S162" s="103"/>
      <c r="T162" s="103"/>
      <c r="U162" s="103"/>
    </row>
    <row r="163" customFormat="false" ht="22.5" hidden="false" customHeight="true" outlineLevel="0" collapsed="false">
      <c r="A163" s="99"/>
      <c r="B163" s="99"/>
      <c r="C163" s="99"/>
      <c r="D163" s="121"/>
      <c r="E163" s="99"/>
      <c r="F163" s="100" t="str">
        <f aca="false">IF(E163="CONTADO", 4%, IF(E163="TARJETA / CHEQUE", 3%, IF(OR(E163="FINANCIADO", E163="MCP"), 2.5%, "")))</f>
        <v/>
      </c>
      <c r="G163" s="98" t="str">
        <f aca="false">IF(F163="", "", F163*D163)</f>
        <v/>
      </c>
      <c r="H163" s="132" t="b">
        <f aca="false">FALSE()</f>
        <v>0</v>
      </c>
      <c r="I163" s="132" t="b">
        <f aca="false">FALSE()</f>
        <v>0</v>
      </c>
      <c r="J163" s="126"/>
      <c r="K163" s="99"/>
      <c r="L163" s="83"/>
      <c r="M163" s="103"/>
      <c r="N163" s="103"/>
      <c r="O163" s="103"/>
      <c r="P163" s="103"/>
      <c r="Q163" s="103"/>
      <c r="R163" s="83"/>
      <c r="S163" s="103"/>
      <c r="T163" s="103"/>
      <c r="U163" s="103"/>
    </row>
    <row r="164" customFormat="false" ht="22.5" hidden="false" customHeight="true" outlineLevel="0" collapsed="false">
      <c r="A164" s="110"/>
      <c r="B164" s="110"/>
      <c r="C164" s="110"/>
      <c r="D164" s="122"/>
      <c r="E164" s="110"/>
      <c r="F164" s="111" t="str">
        <f aca="false">IF(E164="CONTADO", 4%, IF(E164="TARJETA / CHEQUE", 3%, IF(OR(E164="FINANCIADO", E164="MCP"), 2.5%, "")))</f>
        <v/>
      </c>
      <c r="G164" s="109" t="str">
        <f aca="false">IF(F164="", "", F164*D164)</f>
        <v/>
      </c>
      <c r="H164" s="131" t="b">
        <f aca="false">FALSE()</f>
        <v>0</v>
      </c>
      <c r="I164" s="131" t="b">
        <f aca="false">FALSE()</f>
        <v>0</v>
      </c>
      <c r="J164" s="130"/>
      <c r="K164" s="110"/>
      <c r="L164" s="83"/>
      <c r="M164" s="103"/>
      <c r="N164" s="103"/>
      <c r="O164" s="103"/>
      <c r="P164" s="103"/>
      <c r="Q164" s="103"/>
      <c r="R164" s="83"/>
      <c r="S164" s="103"/>
      <c r="T164" s="103"/>
      <c r="U164" s="103"/>
    </row>
    <row r="165" customFormat="false" ht="22.5" hidden="false" customHeight="true" outlineLevel="0" collapsed="false">
      <c r="A165" s="99"/>
      <c r="B165" s="99"/>
      <c r="C165" s="99"/>
      <c r="D165" s="121"/>
      <c r="E165" s="99"/>
      <c r="F165" s="100" t="str">
        <f aca="false">IF(E165="CONTADO", 4%, IF(E165="TARJETA / CHEQUE", 3%, IF(OR(E165="FINANCIADO", E165="MCP"), 2.5%, "")))</f>
        <v/>
      </c>
      <c r="G165" s="98" t="str">
        <f aca="false">IF(F165="", "", F165*D165)</f>
        <v/>
      </c>
      <c r="H165" s="132" t="b">
        <f aca="false">FALSE()</f>
        <v>0</v>
      </c>
      <c r="I165" s="132" t="b">
        <f aca="false">FALSE()</f>
        <v>0</v>
      </c>
      <c r="J165" s="126"/>
      <c r="K165" s="99"/>
      <c r="L165" s="83"/>
      <c r="M165" s="103"/>
      <c r="N165" s="103"/>
      <c r="O165" s="103"/>
      <c r="P165" s="103"/>
      <c r="Q165" s="103"/>
      <c r="R165" s="83"/>
      <c r="S165" s="103"/>
      <c r="T165" s="103"/>
      <c r="U165" s="103"/>
    </row>
    <row r="166" customFormat="false" ht="22.5" hidden="false" customHeight="true" outlineLevel="0" collapsed="false">
      <c r="A166" s="110"/>
      <c r="B166" s="110"/>
      <c r="C166" s="110"/>
      <c r="D166" s="122"/>
      <c r="E166" s="110"/>
      <c r="F166" s="111" t="str">
        <f aca="false">IF(E166="CONTADO", 4%, IF(E166="TARJETA / CHEQUE", 3%, IF(OR(E166="FINANCIADO", E166="MCP"), 2.5%, "")))</f>
        <v/>
      </c>
      <c r="G166" s="109" t="str">
        <f aca="false">IF(F166="", "", F166*D166)</f>
        <v/>
      </c>
      <c r="H166" s="131" t="b">
        <f aca="false">FALSE()</f>
        <v>0</v>
      </c>
      <c r="I166" s="131" t="b">
        <f aca="false">FALSE()</f>
        <v>0</v>
      </c>
      <c r="J166" s="130"/>
      <c r="K166" s="110"/>
      <c r="L166" s="83"/>
      <c r="M166" s="103"/>
      <c r="N166" s="103"/>
      <c r="O166" s="103"/>
      <c r="P166" s="103"/>
      <c r="Q166" s="103"/>
      <c r="R166" s="83"/>
      <c r="S166" s="103"/>
      <c r="T166" s="103"/>
      <c r="U166" s="103"/>
    </row>
    <row r="167" customFormat="false" ht="22.5" hidden="false" customHeight="true" outlineLevel="0" collapsed="false">
      <c r="A167" s="99"/>
      <c r="B167" s="99"/>
      <c r="C167" s="99"/>
      <c r="D167" s="121"/>
      <c r="E167" s="99"/>
      <c r="F167" s="100" t="str">
        <f aca="false">IF(E167="CONTADO", 4%, IF(E167="TARJETA / CHEQUE", 3%, IF(OR(E167="FINANCIADO", E167="MCP"), 2.5%, "")))</f>
        <v/>
      </c>
      <c r="G167" s="98" t="str">
        <f aca="false">IF(F167="", "", F167*D167)</f>
        <v/>
      </c>
      <c r="H167" s="132" t="b">
        <f aca="false">FALSE()</f>
        <v>0</v>
      </c>
      <c r="I167" s="132" t="b">
        <f aca="false">FALSE()</f>
        <v>0</v>
      </c>
      <c r="J167" s="126"/>
      <c r="K167" s="99"/>
      <c r="L167" s="83"/>
      <c r="M167" s="103"/>
      <c r="N167" s="103"/>
      <c r="O167" s="103"/>
      <c r="P167" s="103"/>
      <c r="Q167" s="103"/>
      <c r="R167" s="83"/>
      <c r="S167" s="103"/>
      <c r="T167" s="103"/>
      <c r="U167" s="103"/>
    </row>
    <row r="168" customFormat="false" ht="22.5" hidden="false" customHeight="true" outlineLevel="0" collapsed="false">
      <c r="A168" s="110"/>
      <c r="B168" s="110"/>
      <c r="C168" s="110"/>
      <c r="D168" s="122"/>
      <c r="E168" s="110"/>
      <c r="F168" s="111" t="str">
        <f aca="false">IF(E168="CONTADO", 4%, IF(E168="TARJETA / CHEQUE", 3%, IF(OR(E168="FINANCIADO", E168="MCP"), 2.5%, "")))</f>
        <v/>
      </c>
      <c r="G168" s="109" t="str">
        <f aca="false">IF(F168="", "", F168*D168)</f>
        <v/>
      </c>
      <c r="H168" s="131" t="b">
        <f aca="false">FALSE()</f>
        <v>0</v>
      </c>
      <c r="I168" s="131" t="b">
        <f aca="false">FALSE()</f>
        <v>0</v>
      </c>
      <c r="J168" s="130"/>
      <c r="K168" s="110"/>
      <c r="L168" s="83"/>
      <c r="M168" s="103"/>
      <c r="N168" s="103"/>
      <c r="O168" s="103"/>
      <c r="P168" s="103"/>
      <c r="Q168" s="103"/>
      <c r="R168" s="83"/>
      <c r="S168" s="103"/>
      <c r="T168" s="103"/>
      <c r="U168" s="103"/>
    </row>
    <row r="169" customFormat="false" ht="22.5" hidden="false" customHeight="true" outlineLevel="0" collapsed="false">
      <c r="A169" s="99"/>
      <c r="B169" s="99"/>
      <c r="C169" s="99"/>
      <c r="D169" s="121"/>
      <c r="E169" s="99"/>
      <c r="F169" s="100" t="str">
        <f aca="false">IF(E169="CONTADO", 4%, IF(E169="TARJETA / CHEQUE", 3%, IF(OR(E169="FINANCIADO", E169="MCP"), 2.5%, "")))</f>
        <v/>
      </c>
      <c r="G169" s="98" t="str">
        <f aca="false">IF(F169="", "", F169*D169)</f>
        <v/>
      </c>
      <c r="H169" s="132" t="b">
        <f aca="false">FALSE()</f>
        <v>0</v>
      </c>
      <c r="I169" s="132" t="b">
        <f aca="false">FALSE()</f>
        <v>0</v>
      </c>
      <c r="J169" s="126"/>
      <c r="K169" s="99"/>
      <c r="L169" s="83"/>
      <c r="M169" s="103"/>
      <c r="N169" s="103"/>
      <c r="O169" s="103"/>
      <c r="P169" s="103"/>
      <c r="Q169" s="103"/>
      <c r="R169" s="83"/>
      <c r="S169" s="103"/>
      <c r="T169" s="103"/>
      <c r="U169" s="103"/>
    </row>
    <row r="170" customFormat="false" ht="22.5" hidden="false" customHeight="true" outlineLevel="0" collapsed="false">
      <c r="A170" s="110"/>
      <c r="B170" s="110"/>
      <c r="C170" s="110"/>
      <c r="D170" s="122"/>
      <c r="E170" s="110"/>
      <c r="F170" s="111" t="str">
        <f aca="false">IF(E170="CONTADO", 4%, IF(E170="TARJETA / CHEQUE", 3%, IF(OR(E170="FINANCIADO", E170="MCP"), 2.5%, "")))</f>
        <v/>
      </c>
      <c r="G170" s="109" t="str">
        <f aca="false">IF(F170="", "", F170*D170)</f>
        <v/>
      </c>
      <c r="H170" s="131" t="b">
        <f aca="false">FALSE()</f>
        <v>0</v>
      </c>
      <c r="I170" s="131" t="b">
        <f aca="false">FALSE()</f>
        <v>0</v>
      </c>
      <c r="J170" s="130"/>
      <c r="K170" s="110"/>
      <c r="L170" s="83"/>
      <c r="M170" s="103"/>
      <c r="N170" s="103"/>
      <c r="O170" s="103"/>
      <c r="P170" s="103"/>
      <c r="Q170" s="103"/>
      <c r="R170" s="83"/>
      <c r="S170" s="103"/>
      <c r="T170" s="103"/>
      <c r="U170" s="103"/>
    </row>
    <row r="171" customFormat="false" ht="22.5" hidden="false" customHeight="true" outlineLevel="0" collapsed="false">
      <c r="A171" s="99"/>
      <c r="B171" s="99"/>
      <c r="C171" s="99"/>
      <c r="D171" s="121"/>
      <c r="E171" s="99"/>
      <c r="F171" s="100" t="str">
        <f aca="false">IF(E171="CONTADO", 4%, IF(E171="TARJETA / CHEQUE", 3%, IF(OR(E171="FINANCIADO", E171="MCP"), 2.5%, "")))</f>
        <v/>
      </c>
      <c r="G171" s="98" t="str">
        <f aca="false">IF(F171="", "", F171*D171)</f>
        <v/>
      </c>
      <c r="H171" s="132" t="b">
        <f aca="false">FALSE()</f>
        <v>0</v>
      </c>
      <c r="I171" s="132" t="b">
        <f aca="false">FALSE()</f>
        <v>0</v>
      </c>
      <c r="J171" s="126"/>
      <c r="K171" s="99"/>
      <c r="L171" s="83"/>
      <c r="M171" s="103"/>
      <c r="N171" s="103"/>
      <c r="O171" s="103"/>
      <c r="P171" s="103"/>
      <c r="Q171" s="103"/>
      <c r="R171" s="83"/>
      <c r="S171" s="103"/>
      <c r="T171" s="103"/>
      <c r="U171" s="103"/>
    </row>
    <row r="172" customFormat="false" ht="22.5" hidden="false" customHeight="true" outlineLevel="0" collapsed="false">
      <c r="A172" s="110"/>
      <c r="B172" s="110"/>
      <c r="C172" s="110"/>
      <c r="D172" s="122"/>
      <c r="E172" s="110"/>
      <c r="F172" s="111" t="str">
        <f aca="false">IF(E172="CONTADO", 4%, IF(E172="TARJETA / CHEQUE", 3%, IF(OR(E172="FINANCIADO", E172="MCP"), 2.5%, "")))</f>
        <v/>
      </c>
      <c r="G172" s="109" t="str">
        <f aca="false">IF(F172="", "", F172*D172)</f>
        <v/>
      </c>
      <c r="H172" s="131" t="b">
        <f aca="false">FALSE()</f>
        <v>0</v>
      </c>
      <c r="I172" s="131" t="b">
        <f aca="false">FALSE()</f>
        <v>0</v>
      </c>
      <c r="J172" s="130"/>
      <c r="K172" s="110"/>
      <c r="L172" s="83"/>
      <c r="M172" s="103"/>
      <c r="N172" s="103"/>
      <c r="O172" s="103"/>
      <c r="P172" s="103"/>
      <c r="Q172" s="103"/>
      <c r="R172" s="83"/>
      <c r="S172" s="103"/>
      <c r="T172" s="103"/>
      <c r="U172" s="103"/>
    </row>
    <row r="173" customFormat="false" ht="22.5" hidden="false" customHeight="true" outlineLevel="0" collapsed="false">
      <c r="A173" s="99"/>
      <c r="B173" s="99"/>
      <c r="C173" s="99"/>
      <c r="D173" s="121"/>
      <c r="E173" s="99"/>
      <c r="F173" s="100" t="str">
        <f aca="false">IF(E173="CONTADO", 4%, IF(E173="TARJETA / CHEQUE", 3%, IF(OR(E173="FINANCIADO", E173="MCP"), 2.5%, "")))</f>
        <v/>
      </c>
      <c r="G173" s="98" t="str">
        <f aca="false">IF(F173="", "", F173*D173)</f>
        <v/>
      </c>
      <c r="H173" s="132" t="b">
        <f aca="false">FALSE()</f>
        <v>0</v>
      </c>
      <c r="I173" s="132" t="b">
        <f aca="false">FALSE()</f>
        <v>0</v>
      </c>
      <c r="J173" s="126"/>
      <c r="K173" s="99"/>
      <c r="L173" s="83"/>
      <c r="M173" s="103"/>
      <c r="N173" s="103"/>
      <c r="O173" s="103"/>
      <c r="P173" s="103"/>
      <c r="Q173" s="103"/>
      <c r="R173" s="83"/>
      <c r="S173" s="103"/>
      <c r="T173" s="103"/>
      <c r="U173" s="103"/>
    </row>
    <row r="174" customFormat="false" ht="22.5" hidden="false" customHeight="true" outlineLevel="0" collapsed="false">
      <c r="A174" s="110"/>
      <c r="B174" s="110"/>
      <c r="C174" s="110"/>
      <c r="D174" s="122"/>
      <c r="E174" s="110"/>
      <c r="F174" s="111" t="str">
        <f aca="false">IF(E174="CONTADO", 4%, IF(E174="TARJETA / CHEQUE", 3%, IF(OR(E174="FINANCIADO", E174="MCP"), 2.5%, "")))</f>
        <v/>
      </c>
      <c r="G174" s="109" t="str">
        <f aca="false">IF(F174="", "", F174*D174)</f>
        <v/>
      </c>
      <c r="H174" s="131" t="b">
        <f aca="false">FALSE()</f>
        <v>0</v>
      </c>
      <c r="I174" s="131" t="b">
        <f aca="false">FALSE()</f>
        <v>0</v>
      </c>
      <c r="J174" s="130"/>
      <c r="K174" s="110"/>
      <c r="L174" s="83"/>
      <c r="M174" s="103"/>
      <c r="N174" s="103"/>
      <c r="O174" s="103"/>
      <c r="P174" s="103"/>
      <c r="Q174" s="103"/>
      <c r="R174" s="83"/>
      <c r="S174" s="103"/>
      <c r="T174" s="103"/>
      <c r="U174" s="103"/>
    </row>
    <row r="175" customFormat="false" ht="22.5" hidden="false" customHeight="true" outlineLevel="0" collapsed="false">
      <c r="A175" s="99"/>
      <c r="B175" s="99"/>
      <c r="C175" s="99"/>
      <c r="D175" s="121"/>
      <c r="E175" s="99"/>
      <c r="F175" s="100" t="str">
        <f aca="false">IF(E175="CONTADO", 4%, IF(E175="TARJETA / CHEQUE", 3%, IF(OR(E175="FINANCIADO", E175="MCP"), 2.5%, "")))</f>
        <v/>
      </c>
      <c r="G175" s="98" t="str">
        <f aca="false">IF(F175="", "", F175*D175)</f>
        <v/>
      </c>
      <c r="H175" s="132" t="b">
        <f aca="false">FALSE()</f>
        <v>0</v>
      </c>
      <c r="I175" s="132" t="b">
        <f aca="false">FALSE()</f>
        <v>0</v>
      </c>
      <c r="J175" s="126"/>
      <c r="K175" s="99"/>
      <c r="L175" s="83"/>
      <c r="M175" s="103"/>
      <c r="N175" s="103"/>
      <c r="O175" s="103"/>
      <c r="P175" s="103"/>
      <c r="Q175" s="103"/>
      <c r="R175" s="83"/>
      <c r="S175" s="103"/>
      <c r="T175" s="103"/>
      <c r="U175" s="103"/>
    </row>
    <row r="176" customFormat="false" ht="22.5" hidden="false" customHeight="true" outlineLevel="0" collapsed="false">
      <c r="A176" s="110"/>
      <c r="B176" s="110"/>
      <c r="C176" s="110"/>
      <c r="D176" s="122"/>
      <c r="E176" s="110"/>
      <c r="F176" s="111" t="str">
        <f aca="false">IF(E176="CONTADO", 4%, IF(E176="TARJETA / CHEQUE", 3%, IF(OR(E176="FINANCIADO", E176="MCP"), 2.5%, "")))</f>
        <v/>
      </c>
      <c r="G176" s="109" t="str">
        <f aca="false">IF(F176="", "", F176*D176)</f>
        <v/>
      </c>
      <c r="H176" s="131" t="b">
        <f aca="false">FALSE()</f>
        <v>0</v>
      </c>
      <c r="I176" s="131" t="b">
        <f aca="false">FALSE()</f>
        <v>0</v>
      </c>
      <c r="J176" s="130"/>
      <c r="K176" s="110"/>
      <c r="L176" s="83"/>
      <c r="M176" s="103"/>
      <c r="N176" s="103"/>
      <c r="O176" s="103"/>
      <c r="P176" s="103"/>
      <c r="Q176" s="103"/>
      <c r="R176" s="83"/>
      <c r="S176" s="103"/>
      <c r="T176" s="103"/>
      <c r="U176" s="103"/>
    </row>
    <row r="177" customFormat="false" ht="22.5" hidden="false" customHeight="true" outlineLevel="0" collapsed="false">
      <c r="A177" s="99"/>
      <c r="B177" s="99"/>
      <c r="C177" s="99"/>
      <c r="D177" s="121"/>
      <c r="E177" s="99"/>
      <c r="F177" s="100" t="str">
        <f aca="false">IF(E177="CONTADO", 4%, IF(E177="TARJETA / CHEQUE", 3%, IF(OR(E177="FINANCIADO", E177="MCP"), 2.5%, "")))</f>
        <v/>
      </c>
      <c r="G177" s="98" t="str">
        <f aca="false">IF(F177="", "", F177*D177)</f>
        <v/>
      </c>
      <c r="H177" s="132" t="b">
        <f aca="false">FALSE()</f>
        <v>0</v>
      </c>
      <c r="I177" s="132" t="b">
        <f aca="false">FALSE()</f>
        <v>0</v>
      </c>
      <c r="J177" s="126"/>
      <c r="K177" s="99"/>
      <c r="L177" s="83"/>
      <c r="M177" s="103"/>
      <c r="N177" s="103"/>
      <c r="O177" s="103"/>
      <c r="P177" s="103"/>
      <c r="Q177" s="103"/>
      <c r="R177" s="83"/>
      <c r="S177" s="103"/>
      <c r="T177" s="103"/>
      <c r="U177" s="103"/>
    </row>
    <row r="178" customFormat="false" ht="22.5" hidden="false" customHeight="true" outlineLevel="0" collapsed="false">
      <c r="A178" s="110"/>
      <c r="B178" s="110"/>
      <c r="C178" s="110"/>
      <c r="D178" s="122"/>
      <c r="E178" s="110"/>
      <c r="F178" s="111" t="str">
        <f aca="false">IF(E178="CONTADO", 4%, IF(E178="TARJETA / CHEQUE", 3%, IF(OR(E178="FINANCIADO", E178="MCP"), 2.5%, "")))</f>
        <v/>
      </c>
      <c r="G178" s="109" t="str">
        <f aca="false">IF(F178="", "", F178*D178)</f>
        <v/>
      </c>
      <c r="H178" s="131" t="b">
        <f aca="false">FALSE()</f>
        <v>0</v>
      </c>
      <c r="I178" s="131" t="b">
        <f aca="false">FALSE()</f>
        <v>0</v>
      </c>
      <c r="J178" s="130"/>
      <c r="K178" s="110"/>
      <c r="L178" s="83"/>
      <c r="M178" s="103"/>
      <c r="N178" s="103"/>
      <c r="O178" s="103"/>
      <c r="P178" s="103"/>
      <c r="Q178" s="103"/>
      <c r="R178" s="83"/>
      <c r="S178" s="103"/>
      <c r="T178" s="103"/>
      <c r="U178" s="103"/>
    </row>
    <row r="179" customFormat="false" ht="22.5" hidden="false" customHeight="true" outlineLevel="0" collapsed="false">
      <c r="A179" s="99"/>
      <c r="B179" s="99"/>
      <c r="C179" s="99"/>
      <c r="D179" s="121"/>
      <c r="E179" s="99"/>
      <c r="F179" s="100" t="str">
        <f aca="false">IF(E179="CONTADO", 4%, IF(E179="TARJETA / CHEQUE", 3%, IF(OR(E179="FINANCIADO", E179="MCP"), 2.5%, "")))</f>
        <v/>
      </c>
      <c r="G179" s="98" t="str">
        <f aca="false">IF(F179="", "", F179*D179)</f>
        <v/>
      </c>
      <c r="H179" s="132" t="b">
        <f aca="false">FALSE()</f>
        <v>0</v>
      </c>
      <c r="I179" s="132" t="b">
        <f aca="false">FALSE()</f>
        <v>0</v>
      </c>
      <c r="J179" s="126"/>
      <c r="K179" s="99"/>
      <c r="L179" s="83"/>
      <c r="M179" s="103"/>
      <c r="N179" s="103"/>
      <c r="O179" s="103"/>
      <c r="P179" s="103"/>
      <c r="Q179" s="103"/>
      <c r="R179" s="83"/>
      <c r="S179" s="103"/>
      <c r="T179" s="103"/>
      <c r="U179" s="103"/>
    </row>
    <row r="180" customFormat="false" ht="22.5" hidden="false" customHeight="true" outlineLevel="0" collapsed="false">
      <c r="A180" s="110"/>
      <c r="B180" s="110"/>
      <c r="C180" s="110"/>
      <c r="D180" s="122"/>
      <c r="E180" s="110"/>
      <c r="F180" s="111" t="str">
        <f aca="false">IF(E180="CONTADO", 4%, IF(E180="TARJETA / CHEQUE", 3%, IF(OR(E180="FINANCIADO", E180="MCP"), 2.5%, "")))</f>
        <v/>
      </c>
      <c r="G180" s="109" t="str">
        <f aca="false">IF(F180="", "", F180*D180)</f>
        <v/>
      </c>
      <c r="H180" s="131" t="b">
        <f aca="false">FALSE()</f>
        <v>0</v>
      </c>
      <c r="I180" s="131" t="b">
        <f aca="false">FALSE()</f>
        <v>0</v>
      </c>
      <c r="J180" s="130"/>
      <c r="K180" s="110"/>
      <c r="L180" s="83"/>
      <c r="M180" s="103"/>
      <c r="N180" s="103"/>
      <c r="O180" s="103"/>
      <c r="P180" s="103"/>
      <c r="Q180" s="103"/>
      <c r="R180" s="83"/>
      <c r="S180" s="103"/>
      <c r="T180" s="103"/>
      <c r="U180" s="103"/>
    </row>
    <row r="181" customFormat="false" ht="22.5" hidden="false" customHeight="true" outlineLevel="0" collapsed="false">
      <c r="A181" s="99"/>
      <c r="B181" s="99"/>
      <c r="C181" s="99"/>
      <c r="D181" s="121"/>
      <c r="E181" s="99"/>
      <c r="F181" s="100" t="str">
        <f aca="false">IF(E181="CONTADO", 4%, IF(E181="TARJETA / CHEQUE", 3%, IF(OR(E181="FINANCIADO", E181="MCP"), 2.5%, "")))</f>
        <v/>
      </c>
      <c r="G181" s="98" t="str">
        <f aca="false">IF(F181="", "", F181*D181)</f>
        <v/>
      </c>
      <c r="H181" s="132" t="b">
        <f aca="false">FALSE()</f>
        <v>0</v>
      </c>
      <c r="I181" s="132" t="b">
        <f aca="false">FALSE()</f>
        <v>0</v>
      </c>
      <c r="J181" s="126"/>
      <c r="K181" s="99"/>
      <c r="L181" s="83"/>
      <c r="M181" s="103"/>
      <c r="N181" s="103"/>
      <c r="O181" s="103"/>
      <c r="P181" s="103"/>
      <c r="Q181" s="103"/>
      <c r="R181" s="83"/>
      <c r="S181" s="103"/>
      <c r="T181" s="103"/>
      <c r="U181" s="103"/>
    </row>
    <row r="182" customFormat="false" ht="22.5" hidden="false" customHeight="true" outlineLevel="0" collapsed="false">
      <c r="A182" s="110"/>
      <c r="B182" s="110"/>
      <c r="C182" s="110"/>
      <c r="D182" s="122"/>
      <c r="E182" s="110"/>
      <c r="F182" s="111" t="str">
        <f aca="false">IF(E182="CONTADO", 4%, IF(E182="TARJETA / CHEQUE", 3%, IF(OR(E182="FINANCIADO", E182="MCP"), 2.5%, "")))</f>
        <v/>
      </c>
      <c r="G182" s="109" t="str">
        <f aca="false">IF(F182="", "", F182*D182)</f>
        <v/>
      </c>
      <c r="H182" s="131" t="b">
        <f aca="false">FALSE()</f>
        <v>0</v>
      </c>
      <c r="I182" s="131" t="b">
        <f aca="false">FALSE()</f>
        <v>0</v>
      </c>
      <c r="J182" s="130"/>
      <c r="K182" s="110"/>
      <c r="L182" s="83"/>
      <c r="M182" s="103"/>
      <c r="N182" s="103"/>
      <c r="O182" s="103"/>
      <c r="P182" s="103"/>
      <c r="Q182" s="103"/>
      <c r="R182" s="83"/>
      <c r="S182" s="103"/>
      <c r="T182" s="103"/>
      <c r="U182" s="103"/>
    </row>
    <row r="183" customFormat="false" ht="22.5" hidden="false" customHeight="true" outlineLevel="0" collapsed="false">
      <c r="A183" s="99"/>
      <c r="B183" s="99"/>
      <c r="C183" s="99"/>
      <c r="D183" s="121"/>
      <c r="E183" s="99"/>
      <c r="F183" s="100" t="str">
        <f aca="false">IF(E183="CONTADO", 4%, IF(E183="TARJETA / CHEQUE", 3%, IF(OR(E183="FINANCIADO", E183="MCP"), 2.5%, "")))</f>
        <v/>
      </c>
      <c r="G183" s="98" t="str">
        <f aca="false">IF(F183="", "", F183*D183)</f>
        <v/>
      </c>
      <c r="H183" s="132" t="b">
        <f aca="false">FALSE()</f>
        <v>0</v>
      </c>
      <c r="I183" s="132" t="b">
        <f aca="false">FALSE()</f>
        <v>0</v>
      </c>
      <c r="J183" s="126"/>
      <c r="K183" s="99"/>
      <c r="L183" s="83"/>
      <c r="M183" s="103"/>
      <c r="N183" s="103"/>
      <c r="O183" s="103"/>
      <c r="P183" s="103"/>
      <c r="Q183" s="103"/>
      <c r="R183" s="83"/>
      <c r="S183" s="103"/>
      <c r="T183" s="103"/>
      <c r="U183" s="103"/>
    </row>
    <row r="184" customFormat="false" ht="22.5" hidden="false" customHeight="true" outlineLevel="0" collapsed="false">
      <c r="A184" s="110"/>
      <c r="B184" s="110"/>
      <c r="C184" s="110"/>
      <c r="D184" s="122"/>
      <c r="E184" s="110"/>
      <c r="F184" s="111" t="str">
        <f aca="false">IF(E184="CONTADO", 4%, IF(E184="TARJETA / CHEQUE", 3%, IF(OR(E184="FINANCIADO", E184="MCP"), 2.5%, "")))</f>
        <v/>
      </c>
      <c r="G184" s="109" t="str">
        <f aca="false">IF(F184="", "", F184*D184)</f>
        <v/>
      </c>
      <c r="H184" s="131" t="b">
        <f aca="false">FALSE()</f>
        <v>0</v>
      </c>
      <c r="I184" s="131" t="b">
        <f aca="false">FALSE()</f>
        <v>0</v>
      </c>
      <c r="J184" s="130"/>
      <c r="K184" s="110"/>
      <c r="L184" s="83"/>
      <c r="M184" s="103"/>
      <c r="N184" s="103"/>
      <c r="O184" s="103"/>
      <c r="P184" s="103"/>
      <c r="Q184" s="103"/>
      <c r="R184" s="83"/>
      <c r="S184" s="103"/>
      <c r="T184" s="103"/>
      <c r="U184" s="103"/>
    </row>
    <row r="185" customFormat="false" ht="22.5" hidden="false" customHeight="true" outlineLevel="0" collapsed="false">
      <c r="A185" s="99"/>
      <c r="B185" s="99"/>
      <c r="C185" s="99"/>
      <c r="D185" s="121"/>
      <c r="E185" s="99"/>
      <c r="F185" s="100" t="str">
        <f aca="false">IF(E185="CONTADO", 4%, IF(E185="TARJETA / CHEQUE", 3%, IF(OR(E185="FINANCIADO", E185="MCP"), 2.5%, "")))</f>
        <v/>
      </c>
      <c r="G185" s="98" t="str">
        <f aca="false">IF(F185="", "", F185*D185)</f>
        <v/>
      </c>
      <c r="H185" s="132" t="b">
        <f aca="false">FALSE()</f>
        <v>0</v>
      </c>
      <c r="I185" s="132" t="b">
        <f aca="false">FALSE()</f>
        <v>0</v>
      </c>
      <c r="J185" s="126"/>
      <c r="K185" s="99"/>
      <c r="L185" s="83"/>
      <c r="M185" s="103"/>
      <c r="N185" s="103"/>
      <c r="O185" s="103"/>
      <c r="P185" s="103"/>
      <c r="Q185" s="103"/>
      <c r="R185" s="83"/>
      <c r="S185" s="103"/>
      <c r="T185" s="103"/>
      <c r="U185" s="103"/>
    </row>
    <row r="186" customFormat="false" ht="22.5" hidden="false" customHeight="true" outlineLevel="0" collapsed="false">
      <c r="A186" s="110"/>
      <c r="B186" s="110"/>
      <c r="C186" s="110"/>
      <c r="D186" s="122"/>
      <c r="E186" s="110"/>
      <c r="F186" s="111" t="str">
        <f aca="false">IF(E186="CONTADO", 4%, IF(E186="TARJETA / CHEQUE", 3%, IF(OR(E186="FINANCIADO", E186="MCP"), 2.5%, "")))</f>
        <v/>
      </c>
      <c r="G186" s="109" t="str">
        <f aca="false">IF(F186="", "", F186*D186)</f>
        <v/>
      </c>
      <c r="H186" s="131" t="b">
        <f aca="false">FALSE()</f>
        <v>0</v>
      </c>
      <c r="I186" s="131" t="b">
        <f aca="false">FALSE()</f>
        <v>0</v>
      </c>
      <c r="J186" s="130"/>
      <c r="K186" s="110"/>
      <c r="L186" s="83"/>
      <c r="M186" s="103"/>
      <c r="N186" s="103"/>
      <c r="O186" s="103"/>
      <c r="P186" s="103"/>
      <c r="Q186" s="103"/>
      <c r="R186" s="83"/>
      <c r="S186" s="103"/>
      <c r="T186" s="103"/>
      <c r="U186" s="103"/>
    </row>
    <row r="187" customFormat="false" ht="22.5" hidden="false" customHeight="true" outlineLevel="0" collapsed="false">
      <c r="A187" s="99"/>
      <c r="B187" s="99"/>
      <c r="C187" s="99"/>
      <c r="D187" s="121"/>
      <c r="E187" s="99"/>
      <c r="F187" s="100" t="str">
        <f aca="false">IF(E187="CONTADO", 4%, IF(E187="TARJETA / CHEQUE", 3%, IF(OR(E187="FINANCIADO", E187="MCP"), 2.5%, "")))</f>
        <v/>
      </c>
      <c r="G187" s="98" t="str">
        <f aca="false">IF(F187="", "", F187*D187)</f>
        <v/>
      </c>
      <c r="H187" s="132" t="b">
        <f aca="false">FALSE()</f>
        <v>0</v>
      </c>
      <c r="I187" s="132" t="b">
        <f aca="false">FALSE()</f>
        <v>0</v>
      </c>
      <c r="J187" s="126"/>
      <c r="K187" s="99"/>
      <c r="L187" s="83"/>
      <c r="M187" s="103"/>
      <c r="N187" s="103"/>
      <c r="O187" s="103"/>
      <c r="P187" s="103"/>
      <c r="Q187" s="103"/>
      <c r="R187" s="83"/>
      <c r="S187" s="103"/>
      <c r="T187" s="103"/>
      <c r="U187" s="103"/>
    </row>
    <row r="188" customFormat="false" ht="22.5" hidden="false" customHeight="true" outlineLevel="0" collapsed="false">
      <c r="A188" s="110"/>
      <c r="B188" s="110"/>
      <c r="C188" s="110"/>
      <c r="D188" s="122"/>
      <c r="E188" s="110"/>
      <c r="F188" s="111" t="str">
        <f aca="false">IF(E188="CONTADO", 4%, IF(E188="TARJETA / CHEQUE", 3%, IF(OR(E188="FINANCIADO", E188="MCP"), 2.5%, "")))</f>
        <v/>
      </c>
      <c r="G188" s="109" t="str">
        <f aca="false">IF(F188="", "", F188*D188)</f>
        <v/>
      </c>
      <c r="H188" s="131" t="b">
        <f aca="false">FALSE()</f>
        <v>0</v>
      </c>
      <c r="I188" s="131" t="b">
        <f aca="false">FALSE()</f>
        <v>0</v>
      </c>
      <c r="J188" s="130"/>
      <c r="K188" s="110"/>
      <c r="L188" s="83"/>
      <c r="M188" s="103"/>
      <c r="N188" s="103"/>
      <c r="O188" s="103"/>
      <c r="P188" s="103"/>
      <c r="Q188" s="103"/>
      <c r="R188" s="83"/>
      <c r="S188" s="103"/>
      <c r="T188" s="103"/>
      <c r="U188" s="103"/>
    </row>
    <row r="189" customFormat="false" ht="22.5" hidden="false" customHeight="true" outlineLevel="0" collapsed="false">
      <c r="A189" s="99"/>
      <c r="B189" s="99"/>
      <c r="C189" s="99"/>
      <c r="D189" s="121"/>
      <c r="E189" s="99"/>
      <c r="F189" s="100" t="str">
        <f aca="false">IF(E189="CONTADO", 4%, IF(E189="TARJETA / CHEQUE", 3%, IF(OR(E189="FINANCIADO", E189="MCP"), 2.5%, "")))</f>
        <v/>
      </c>
      <c r="G189" s="98" t="str">
        <f aca="false">IF(F189="", "", F189*D189)</f>
        <v/>
      </c>
      <c r="H189" s="132" t="b">
        <f aca="false">FALSE()</f>
        <v>0</v>
      </c>
      <c r="I189" s="132" t="b">
        <f aca="false">FALSE()</f>
        <v>0</v>
      </c>
      <c r="J189" s="126"/>
      <c r="K189" s="99"/>
      <c r="L189" s="83"/>
      <c r="M189" s="103"/>
      <c r="N189" s="103"/>
      <c r="O189" s="103"/>
      <c r="P189" s="103"/>
      <c r="Q189" s="103"/>
      <c r="R189" s="83"/>
      <c r="S189" s="103"/>
      <c r="T189" s="103"/>
      <c r="U189" s="103"/>
    </row>
    <row r="190" customFormat="false" ht="22.5" hidden="false" customHeight="true" outlineLevel="0" collapsed="false">
      <c r="A190" s="110"/>
      <c r="B190" s="110"/>
      <c r="C190" s="110"/>
      <c r="D190" s="122"/>
      <c r="E190" s="110"/>
      <c r="F190" s="111" t="str">
        <f aca="false">IF(E190="CONTADO", 4%, IF(E190="TARJETA / CHEQUE", 3%, IF(OR(E190="FINANCIADO", E190="MCP"), 2.5%, "")))</f>
        <v/>
      </c>
      <c r="G190" s="109" t="str">
        <f aca="false">IF(F190="", "", F190*D190)</f>
        <v/>
      </c>
      <c r="H190" s="131" t="b">
        <f aca="false">FALSE()</f>
        <v>0</v>
      </c>
      <c r="I190" s="131" t="b">
        <f aca="false">FALSE()</f>
        <v>0</v>
      </c>
      <c r="J190" s="130"/>
      <c r="K190" s="110"/>
      <c r="L190" s="83"/>
      <c r="M190" s="103"/>
      <c r="N190" s="103"/>
      <c r="O190" s="103"/>
      <c r="P190" s="103"/>
      <c r="Q190" s="103"/>
      <c r="R190" s="83"/>
      <c r="S190" s="103"/>
      <c r="T190" s="103"/>
      <c r="U190" s="103"/>
    </row>
    <row r="191" customFormat="false" ht="22.5" hidden="false" customHeight="true" outlineLevel="0" collapsed="false">
      <c r="A191" s="99"/>
      <c r="B191" s="99"/>
      <c r="C191" s="99"/>
      <c r="D191" s="121"/>
      <c r="E191" s="99"/>
      <c r="F191" s="100" t="str">
        <f aca="false">IF(E191="CONTADO", 4%, IF(E191="TARJETA / CHEQUE", 3%, IF(OR(E191="FINANCIADO", E191="MCP"), 2.5%, "")))</f>
        <v/>
      </c>
      <c r="G191" s="98" t="str">
        <f aca="false">IF(F191="", "", F191*D191)</f>
        <v/>
      </c>
      <c r="H191" s="132" t="b">
        <f aca="false">FALSE()</f>
        <v>0</v>
      </c>
      <c r="I191" s="132" t="b">
        <f aca="false">FALSE()</f>
        <v>0</v>
      </c>
      <c r="J191" s="126"/>
      <c r="K191" s="99"/>
      <c r="L191" s="83"/>
      <c r="M191" s="103"/>
      <c r="N191" s="103"/>
      <c r="O191" s="103"/>
      <c r="P191" s="103"/>
      <c r="Q191" s="103"/>
      <c r="R191" s="83"/>
      <c r="S191" s="103"/>
      <c r="T191" s="103"/>
      <c r="U191" s="103"/>
    </row>
    <row r="192" customFormat="false" ht="22.5" hidden="false" customHeight="true" outlineLevel="0" collapsed="false">
      <c r="A192" s="110"/>
      <c r="B192" s="110"/>
      <c r="C192" s="110"/>
      <c r="D192" s="122"/>
      <c r="E192" s="110"/>
      <c r="F192" s="111" t="str">
        <f aca="false">IF(E192="CONTADO", 4%, IF(E192="TARJETA / CHEQUE", 3%, IF(OR(E192="FINANCIADO", E192="MCP"), 2.5%, "")))</f>
        <v/>
      </c>
      <c r="G192" s="109" t="str">
        <f aca="false">IF(F192="", "", F192*D192)</f>
        <v/>
      </c>
      <c r="H192" s="131" t="b">
        <f aca="false">FALSE()</f>
        <v>0</v>
      </c>
      <c r="I192" s="131" t="b">
        <f aca="false">FALSE()</f>
        <v>0</v>
      </c>
      <c r="J192" s="130"/>
      <c r="K192" s="110"/>
      <c r="L192" s="83"/>
      <c r="M192" s="103"/>
      <c r="N192" s="103"/>
      <c r="O192" s="103"/>
      <c r="P192" s="103"/>
      <c r="Q192" s="103"/>
      <c r="R192" s="83"/>
      <c r="S192" s="103"/>
      <c r="T192" s="103"/>
      <c r="U192" s="103"/>
    </row>
    <row r="193" customFormat="false" ht="22.5" hidden="false" customHeight="true" outlineLevel="0" collapsed="false">
      <c r="A193" s="99"/>
      <c r="B193" s="99"/>
      <c r="C193" s="99"/>
      <c r="D193" s="121"/>
      <c r="E193" s="99"/>
      <c r="F193" s="100" t="str">
        <f aca="false">IF(E193="CONTADO", 4%, IF(E193="TARJETA / CHEQUE", 3%, IF(OR(E193="FINANCIADO", E193="MCP"), 2.5%, "")))</f>
        <v/>
      </c>
      <c r="G193" s="98" t="str">
        <f aca="false">IF(F193="", "", F193*D193)</f>
        <v/>
      </c>
      <c r="H193" s="132" t="b">
        <f aca="false">FALSE()</f>
        <v>0</v>
      </c>
      <c r="I193" s="132" t="b">
        <f aca="false">FALSE()</f>
        <v>0</v>
      </c>
      <c r="J193" s="126"/>
      <c r="K193" s="99"/>
      <c r="L193" s="83"/>
      <c r="M193" s="103"/>
      <c r="N193" s="103"/>
      <c r="O193" s="103"/>
      <c r="P193" s="103"/>
      <c r="Q193" s="103"/>
      <c r="R193" s="83"/>
      <c r="S193" s="103"/>
      <c r="T193" s="103"/>
      <c r="U193" s="103"/>
    </row>
    <row r="194" customFormat="false" ht="22.5" hidden="false" customHeight="true" outlineLevel="0" collapsed="false">
      <c r="A194" s="110"/>
      <c r="B194" s="110"/>
      <c r="C194" s="110"/>
      <c r="D194" s="122"/>
      <c r="E194" s="110"/>
      <c r="F194" s="111" t="str">
        <f aca="false">IF(E194="CONTADO", 4%, IF(E194="TARJETA / CHEQUE", 3%, IF(OR(E194="FINANCIADO", E194="MCP"), 2.5%, "")))</f>
        <v/>
      </c>
      <c r="G194" s="109" t="str">
        <f aca="false">IF(F194="", "", F194*D194)</f>
        <v/>
      </c>
      <c r="H194" s="131" t="b">
        <f aca="false">FALSE()</f>
        <v>0</v>
      </c>
      <c r="I194" s="131" t="b">
        <f aca="false">FALSE()</f>
        <v>0</v>
      </c>
      <c r="J194" s="130"/>
      <c r="K194" s="110"/>
      <c r="L194" s="83"/>
      <c r="M194" s="103"/>
      <c r="N194" s="103"/>
      <c r="O194" s="103"/>
      <c r="P194" s="103"/>
      <c r="Q194" s="103"/>
      <c r="R194" s="83"/>
      <c r="S194" s="103"/>
      <c r="T194" s="103"/>
      <c r="U194" s="103"/>
    </row>
    <row r="195" customFormat="false" ht="22.5" hidden="false" customHeight="true" outlineLevel="0" collapsed="false">
      <c r="A195" s="99"/>
      <c r="B195" s="99"/>
      <c r="C195" s="99"/>
      <c r="D195" s="121"/>
      <c r="E195" s="99"/>
      <c r="F195" s="100" t="str">
        <f aca="false">IF(E195="CONTADO", 4%, IF(E195="TARJETA / CHEQUE", 3%, IF(OR(E195="FINANCIADO", E195="MCP"), 2.5%, "")))</f>
        <v/>
      </c>
      <c r="G195" s="98" t="str">
        <f aca="false">IF(F195="", "", F195*D195)</f>
        <v/>
      </c>
      <c r="H195" s="132" t="b">
        <f aca="false">FALSE()</f>
        <v>0</v>
      </c>
      <c r="I195" s="132" t="b">
        <f aca="false">FALSE()</f>
        <v>0</v>
      </c>
      <c r="J195" s="126"/>
      <c r="K195" s="99"/>
      <c r="L195" s="83"/>
      <c r="M195" s="103"/>
      <c r="N195" s="103"/>
      <c r="O195" s="103"/>
      <c r="P195" s="103"/>
      <c r="Q195" s="103"/>
      <c r="R195" s="83"/>
      <c r="S195" s="103"/>
      <c r="T195" s="103"/>
      <c r="U195" s="103"/>
    </row>
    <row r="196" customFormat="false" ht="22.5" hidden="false" customHeight="true" outlineLevel="0" collapsed="false">
      <c r="A196" s="110"/>
      <c r="B196" s="110"/>
      <c r="C196" s="110"/>
      <c r="D196" s="122"/>
      <c r="E196" s="110"/>
      <c r="F196" s="111" t="str">
        <f aca="false">IF(E196="CONTADO", 4%, IF(E196="TARJETA / CHEQUE", 3%, IF(OR(E196="FINANCIADO", E196="MCP"), 2.5%, "")))</f>
        <v/>
      </c>
      <c r="G196" s="109" t="str">
        <f aca="false">IF(F196="", "", F196*D196)</f>
        <v/>
      </c>
      <c r="H196" s="131" t="b">
        <f aca="false">FALSE()</f>
        <v>0</v>
      </c>
      <c r="I196" s="131" t="b">
        <f aca="false">FALSE()</f>
        <v>0</v>
      </c>
      <c r="J196" s="130"/>
      <c r="K196" s="110"/>
      <c r="L196" s="83"/>
      <c r="M196" s="103"/>
      <c r="N196" s="103"/>
      <c r="O196" s="103"/>
      <c r="P196" s="103"/>
      <c r="Q196" s="103"/>
      <c r="R196" s="83"/>
      <c r="S196" s="103"/>
      <c r="T196" s="103"/>
      <c r="U196" s="103"/>
    </row>
    <row r="197" customFormat="false" ht="22.5" hidden="false" customHeight="true" outlineLevel="0" collapsed="false">
      <c r="A197" s="99"/>
      <c r="B197" s="99"/>
      <c r="C197" s="99"/>
      <c r="D197" s="121"/>
      <c r="E197" s="99"/>
      <c r="F197" s="100" t="str">
        <f aca="false">IF(E197="CONTADO", 4%, IF(E197="TARJETA / CHEQUE", 3%, IF(OR(E197="FINANCIADO", E197="MCP"), 2.5%, "")))</f>
        <v/>
      </c>
      <c r="G197" s="98" t="str">
        <f aca="false">IF(F197="", "", F197*D197)</f>
        <v/>
      </c>
      <c r="H197" s="132" t="b">
        <f aca="false">FALSE()</f>
        <v>0</v>
      </c>
      <c r="I197" s="132" t="b">
        <f aca="false">FALSE()</f>
        <v>0</v>
      </c>
      <c r="J197" s="126"/>
      <c r="K197" s="99"/>
      <c r="L197" s="83"/>
      <c r="M197" s="103"/>
      <c r="N197" s="103"/>
      <c r="O197" s="103"/>
      <c r="P197" s="103"/>
      <c r="Q197" s="103"/>
      <c r="R197" s="83"/>
      <c r="S197" s="103"/>
      <c r="T197" s="103"/>
      <c r="U197" s="103"/>
    </row>
    <row r="198" customFormat="false" ht="22.5" hidden="false" customHeight="true" outlineLevel="0" collapsed="false">
      <c r="A198" s="110"/>
      <c r="B198" s="110"/>
      <c r="C198" s="110"/>
      <c r="D198" s="122"/>
      <c r="E198" s="110"/>
      <c r="F198" s="111" t="str">
        <f aca="false">IF(E198="CONTADO", 4%, IF(E198="TARJETA / CHEQUE", 3%, IF(OR(E198="FINANCIADO", E198="MCP"), 2.5%, "")))</f>
        <v/>
      </c>
      <c r="G198" s="109" t="str">
        <f aca="false">IF(F198="", "", F198*D198)</f>
        <v/>
      </c>
      <c r="H198" s="131" t="b">
        <f aca="false">FALSE()</f>
        <v>0</v>
      </c>
      <c r="I198" s="131" t="b">
        <f aca="false">FALSE()</f>
        <v>0</v>
      </c>
      <c r="J198" s="130"/>
      <c r="K198" s="110"/>
      <c r="L198" s="83"/>
      <c r="M198" s="103"/>
      <c r="N198" s="103"/>
      <c r="O198" s="103"/>
      <c r="P198" s="103"/>
      <c r="Q198" s="103"/>
      <c r="R198" s="83"/>
      <c r="S198" s="103"/>
      <c r="T198" s="103"/>
      <c r="U198" s="103"/>
    </row>
    <row r="199" customFormat="false" ht="22.5" hidden="false" customHeight="true" outlineLevel="0" collapsed="false">
      <c r="A199" s="99"/>
      <c r="B199" s="99"/>
      <c r="C199" s="99"/>
      <c r="D199" s="121"/>
      <c r="E199" s="99"/>
      <c r="F199" s="100" t="str">
        <f aca="false">IF(E199="CONTADO", 4%, IF(E199="TARJETA / CHEQUE", 3%, IF(OR(E199="FINANCIADO", E199="MCP"), 2.5%, "")))</f>
        <v/>
      </c>
      <c r="G199" s="98" t="str">
        <f aca="false">IF(F199="", "", F199*D199)</f>
        <v/>
      </c>
      <c r="H199" s="132" t="b">
        <f aca="false">FALSE()</f>
        <v>0</v>
      </c>
      <c r="I199" s="132" t="b">
        <f aca="false">FALSE()</f>
        <v>0</v>
      </c>
      <c r="J199" s="126"/>
      <c r="K199" s="99"/>
      <c r="L199" s="83"/>
      <c r="M199" s="103"/>
      <c r="N199" s="103"/>
      <c r="O199" s="103"/>
      <c r="P199" s="103"/>
      <c r="Q199" s="103"/>
      <c r="R199" s="83"/>
      <c r="S199" s="103"/>
      <c r="T199" s="103"/>
      <c r="U199" s="103"/>
    </row>
    <row r="200" customFormat="false" ht="22.5" hidden="false" customHeight="true" outlineLevel="0" collapsed="false">
      <c r="A200" s="110"/>
      <c r="B200" s="110"/>
      <c r="C200" s="110"/>
      <c r="D200" s="122"/>
      <c r="E200" s="110"/>
      <c r="F200" s="111" t="str">
        <f aca="false">IF(E200="CONTADO", 4%, IF(E200="TARJETA / CHEQUE", 3%, IF(OR(E200="FINANCIADO", E200="MCP"), 2.5%, "")))</f>
        <v/>
      </c>
      <c r="G200" s="109" t="str">
        <f aca="false">IF(F200="", "", F200*D200)</f>
        <v/>
      </c>
      <c r="H200" s="131" t="b">
        <f aca="false">FALSE()</f>
        <v>0</v>
      </c>
      <c r="I200" s="131" t="b">
        <f aca="false">FALSE()</f>
        <v>0</v>
      </c>
      <c r="J200" s="130"/>
      <c r="K200" s="110"/>
      <c r="L200" s="83"/>
      <c r="M200" s="103"/>
      <c r="N200" s="103"/>
      <c r="O200" s="103"/>
      <c r="P200" s="103"/>
      <c r="Q200" s="103"/>
      <c r="R200" s="83"/>
      <c r="S200" s="103"/>
      <c r="T200" s="103"/>
      <c r="U200" s="103"/>
    </row>
    <row r="201" customFormat="false" ht="22.5" hidden="false" customHeight="true" outlineLevel="0" collapsed="false">
      <c r="A201" s="99"/>
      <c r="B201" s="99"/>
      <c r="C201" s="99"/>
      <c r="D201" s="121"/>
      <c r="E201" s="99"/>
      <c r="F201" s="100" t="str">
        <f aca="false">IF(E201="CONTADO", 4%, IF(E201="TARJETA / CHEQUE", 3%, IF(OR(E201="FINANCIADO", E201="MCP"), 2.5%, "")))</f>
        <v/>
      </c>
      <c r="G201" s="98" t="str">
        <f aca="false">IF(F201="", "", F201*D201)</f>
        <v/>
      </c>
      <c r="H201" s="132" t="b">
        <f aca="false">FALSE()</f>
        <v>0</v>
      </c>
      <c r="I201" s="132" t="b">
        <f aca="false">FALSE()</f>
        <v>0</v>
      </c>
      <c r="J201" s="126"/>
      <c r="K201" s="99"/>
      <c r="L201" s="83"/>
      <c r="M201" s="103"/>
      <c r="N201" s="103"/>
      <c r="O201" s="103"/>
      <c r="P201" s="103"/>
      <c r="Q201" s="103"/>
      <c r="R201" s="83"/>
      <c r="S201" s="103"/>
      <c r="T201" s="103"/>
      <c r="U201" s="103"/>
    </row>
    <row r="202" customFormat="false" ht="22.5" hidden="false" customHeight="true" outlineLevel="0" collapsed="false">
      <c r="A202" s="110"/>
      <c r="B202" s="110"/>
      <c r="C202" s="110"/>
      <c r="D202" s="122"/>
      <c r="E202" s="110"/>
      <c r="F202" s="111" t="str">
        <f aca="false">IF(E202="CONTADO", 4%, IF(E202="TARJETA / CHEQUE", 3%, IF(OR(E202="FINANCIADO", E202="MCP"), 2.5%, "")))</f>
        <v/>
      </c>
      <c r="G202" s="109" t="str">
        <f aca="false">IF(F202="", "", F202*D202)</f>
        <v/>
      </c>
      <c r="H202" s="131" t="b">
        <f aca="false">FALSE()</f>
        <v>0</v>
      </c>
      <c r="I202" s="131" t="b">
        <f aca="false">FALSE()</f>
        <v>0</v>
      </c>
      <c r="J202" s="130"/>
      <c r="K202" s="110"/>
      <c r="L202" s="83"/>
      <c r="M202" s="103"/>
      <c r="N202" s="103"/>
      <c r="O202" s="103"/>
      <c r="P202" s="103"/>
      <c r="Q202" s="103"/>
      <c r="R202" s="83"/>
      <c r="S202" s="103"/>
      <c r="T202" s="103"/>
      <c r="U202" s="103"/>
    </row>
    <row r="203" customFormat="false" ht="22.5" hidden="false" customHeight="true" outlineLevel="0" collapsed="false">
      <c r="A203" s="99"/>
      <c r="B203" s="99"/>
      <c r="C203" s="99"/>
      <c r="D203" s="121"/>
      <c r="E203" s="99"/>
      <c r="F203" s="100" t="str">
        <f aca="false">IF(E203="CONTADO", 4%, IF(E203="TARJETA / CHEQUE", 3%, IF(OR(E203="FINANCIADO", E203="MCP"), 2.5%, "")))</f>
        <v/>
      </c>
      <c r="G203" s="98" t="str">
        <f aca="false">IF(F203="", "", F203*D203)</f>
        <v/>
      </c>
      <c r="H203" s="132" t="b">
        <f aca="false">FALSE()</f>
        <v>0</v>
      </c>
      <c r="I203" s="132" t="b">
        <f aca="false">FALSE()</f>
        <v>0</v>
      </c>
      <c r="J203" s="126"/>
      <c r="K203" s="99"/>
      <c r="L203" s="83"/>
      <c r="M203" s="103"/>
      <c r="N203" s="103"/>
      <c r="O203" s="103"/>
      <c r="P203" s="103"/>
      <c r="Q203" s="103"/>
      <c r="R203" s="83"/>
      <c r="S203" s="103"/>
      <c r="T203" s="103"/>
      <c r="U203" s="103"/>
    </row>
    <row r="204" customFormat="false" ht="22.5" hidden="false" customHeight="true" outlineLevel="0" collapsed="false">
      <c r="A204" s="110"/>
      <c r="B204" s="110"/>
      <c r="C204" s="110"/>
      <c r="D204" s="122"/>
      <c r="E204" s="110"/>
      <c r="F204" s="111" t="str">
        <f aca="false">IF(E204="CONTADO", 4%, IF(E204="TARJETA / CHEQUE", 3%, IF(OR(E204="FINANCIADO", E204="MCP"), 2.5%, "")))</f>
        <v/>
      </c>
      <c r="G204" s="109" t="str">
        <f aca="false">IF(F204="", "", F204*D204)</f>
        <v/>
      </c>
      <c r="H204" s="131" t="b">
        <f aca="false">FALSE()</f>
        <v>0</v>
      </c>
      <c r="I204" s="131" t="b">
        <f aca="false">FALSE()</f>
        <v>0</v>
      </c>
      <c r="J204" s="130"/>
      <c r="K204" s="110"/>
      <c r="L204" s="83"/>
      <c r="M204" s="103"/>
      <c r="N204" s="103"/>
      <c r="O204" s="103"/>
      <c r="P204" s="103"/>
      <c r="Q204" s="103"/>
      <c r="R204" s="83"/>
      <c r="S204" s="103"/>
      <c r="T204" s="103"/>
      <c r="U204" s="103"/>
    </row>
    <row r="205" customFormat="false" ht="22.5" hidden="false" customHeight="true" outlineLevel="0" collapsed="false">
      <c r="A205" s="99"/>
      <c r="B205" s="99"/>
      <c r="C205" s="99"/>
      <c r="D205" s="121"/>
      <c r="E205" s="99"/>
      <c r="F205" s="100" t="str">
        <f aca="false">IF(E205="CONTADO", 4%, IF(E205="TARJETA / CHEQUE", 3%, IF(OR(E205="FINANCIADO", E205="MCP"), 2.5%, "")))</f>
        <v/>
      </c>
      <c r="G205" s="98" t="str">
        <f aca="false">IF(F205="", "", F205*D205)</f>
        <v/>
      </c>
      <c r="H205" s="132" t="b">
        <f aca="false">FALSE()</f>
        <v>0</v>
      </c>
      <c r="I205" s="132" t="b">
        <f aca="false">FALSE()</f>
        <v>0</v>
      </c>
      <c r="J205" s="126"/>
      <c r="K205" s="99"/>
      <c r="L205" s="83"/>
      <c r="M205" s="103"/>
      <c r="N205" s="103"/>
      <c r="O205" s="103"/>
      <c r="P205" s="103"/>
      <c r="Q205" s="103"/>
      <c r="R205" s="83"/>
      <c r="S205" s="103"/>
      <c r="T205" s="103"/>
      <c r="U205" s="103"/>
    </row>
    <row r="206" customFormat="false" ht="22.5" hidden="false" customHeight="true" outlineLevel="0" collapsed="false">
      <c r="A206" s="110"/>
      <c r="B206" s="110"/>
      <c r="C206" s="110"/>
      <c r="D206" s="122"/>
      <c r="E206" s="110"/>
      <c r="F206" s="111" t="str">
        <f aca="false">IF(E206="CONTADO", 4%, IF(E206="TARJETA / CHEQUE", 3%, IF(OR(E206="FINANCIADO", E206="MCP"), 2.5%, "")))</f>
        <v/>
      </c>
      <c r="G206" s="109" t="str">
        <f aca="false">IF(F206="", "", F206*D206)</f>
        <v/>
      </c>
      <c r="H206" s="131" t="b">
        <f aca="false">FALSE()</f>
        <v>0</v>
      </c>
      <c r="I206" s="131" t="b">
        <f aca="false">FALSE()</f>
        <v>0</v>
      </c>
      <c r="J206" s="130"/>
      <c r="K206" s="110"/>
      <c r="L206" s="83"/>
      <c r="M206" s="103"/>
      <c r="N206" s="103"/>
      <c r="O206" s="103"/>
      <c r="P206" s="103"/>
      <c r="Q206" s="103"/>
      <c r="R206" s="83"/>
      <c r="S206" s="103"/>
      <c r="T206" s="103"/>
      <c r="U206" s="103"/>
    </row>
    <row r="207" customFormat="false" ht="22.5" hidden="false" customHeight="true" outlineLevel="0" collapsed="false">
      <c r="A207" s="99"/>
      <c r="B207" s="99"/>
      <c r="C207" s="99"/>
      <c r="D207" s="121"/>
      <c r="E207" s="99"/>
      <c r="F207" s="100" t="str">
        <f aca="false">IF(E207="CONTADO", 4%, IF(E207="TARJETA / CHEQUE", 3%, IF(OR(E207="FINANCIADO", E207="MCP"), 2.5%, "")))</f>
        <v/>
      </c>
      <c r="G207" s="98" t="str">
        <f aca="false">IF(F207="", "", F207*D207)</f>
        <v/>
      </c>
      <c r="H207" s="132" t="b">
        <f aca="false">FALSE()</f>
        <v>0</v>
      </c>
      <c r="I207" s="132" t="b">
        <f aca="false">FALSE()</f>
        <v>0</v>
      </c>
      <c r="J207" s="126"/>
      <c r="K207" s="99"/>
      <c r="L207" s="83"/>
      <c r="M207" s="103"/>
      <c r="N207" s="103"/>
      <c r="O207" s="103"/>
      <c r="P207" s="103"/>
      <c r="Q207" s="103"/>
      <c r="R207" s="83"/>
      <c r="S207" s="103"/>
      <c r="T207" s="103"/>
      <c r="U207" s="103"/>
    </row>
    <row r="208" customFormat="false" ht="22.5" hidden="false" customHeight="true" outlineLevel="0" collapsed="false">
      <c r="A208" s="110"/>
      <c r="B208" s="110"/>
      <c r="C208" s="110"/>
      <c r="D208" s="122"/>
      <c r="E208" s="110"/>
      <c r="F208" s="111" t="str">
        <f aca="false">IF(E208="CONTADO", 4%, IF(E208="TARJETA / CHEQUE", 3%, IF(OR(E208="FINANCIADO", E208="MCP"), 2.5%, "")))</f>
        <v/>
      </c>
      <c r="G208" s="109" t="str">
        <f aca="false">IF(F208="", "", F208*D208)</f>
        <v/>
      </c>
      <c r="H208" s="131" t="b">
        <f aca="false">FALSE()</f>
        <v>0</v>
      </c>
      <c r="I208" s="131" t="b">
        <f aca="false">FALSE()</f>
        <v>0</v>
      </c>
      <c r="J208" s="130"/>
      <c r="K208" s="110"/>
      <c r="L208" s="83"/>
      <c r="M208" s="103"/>
      <c r="N208" s="103"/>
      <c r="O208" s="103"/>
      <c r="P208" s="103"/>
      <c r="Q208" s="103"/>
      <c r="R208" s="83"/>
      <c r="S208" s="103"/>
      <c r="T208" s="103"/>
      <c r="U208" s="103"/>
    </row>
    <row r="209" customFormat="false" ht="22.5" hidden="false" customHeight="true" outlineLevel="0" collapsed="false">
      <c r="A209" s="99"/>
      <c r="B209" s="99"/>
      <c r="C209" s="99"/>
      <c r="D209" s="121"/>
      <c r="E209" s="99"/>
      <c r="F209" s="100" t="str">
        <f aca="false">IF(E209="CONTADO", 4%, IF(E209="TARJETA / CHEQUE", 3%, IF(OR(E209="FINANCIADO", E209="MCP"), 2.5%, "")))</f>
        <v/>
      </c>
      <c r="G209" s="98" t="str">
        <f aca="false">IF(F209="", "", F209*D209)</f>
        <v/>
      </c>
      <c r="H209" s="132" t="b">
        <f aca="false">FALSE()</f>
        <v>0</v>
      </c>
      <c r="I209" s="132" t="b">
        <f aca="false">FALSE()</f>
        <v>0</v>
      </c>
      <c r="J209" s="126"/>
      <c r="K209" s="99"/>
      <c r="L209" s="83"/>
      <c r="M209" s="103"/>
      <c r="N209" s="103"/>
      <c r="O209" s="103"/>
      <c r="P209" s="103"/>
      <c r="Q209" s="103"/>
      <c r="R209" s="83"/>
      <c r="S209" s="103"/>
      <c r="T209" s="103"/>
      <c r="U209" s="103"/>
    </row>
    <row r="210" customFormat="false" ht="22.5" hidden="false" customHeight="true" outlineLevel="0" collapsed="false">
      <c r="A210" s="110"/>
      <c r="B210" s="110"/>
      <c r="C210" s="110"/>
      <c r="D210" s="122"/>
      <c r="E210" s="110"/>
      <c r="F210" s="111" t="str">
        <f aca="false">IF(E210="CONTADO", 4%, IF(E210="TARJETA / CHEQUE", 3%, IF(OR(E210="FINANCIADO", E210="MCP"), 2.5%, "")))</f>
        <v/>
      </c>
      <c r="G210" s="109" t="str">
        <f aca="false">IF(F210="", "", F210*D210)</f>
        <v/>
      </c>
      <c r="H210" s="131" t="b">
        <f aca="false">FALSE()</f>
        <v>0</v>
      </c>
      <c r="I210" s="131" t="b">
        <f aca="false">FALSE()</f>
        <v>0</v>
      </c>
      <c r="J210" s="130"/>
      <c r="K210" s="110"/>
      <c r="L210" s="83"/>
      <c r="M210" s="103"/>
      <c r="N210" s="103"/>
      <c r="O210" s="103"/>
      <c r="P210" s="103"/>
      <c r="Q210" s="103"/>
      <c r="R210" s="83"/>
      <c r="S210" s="103"/>
      <c r="T210" s="103"/>
      <c r="U210" s="103"/>
    </row>
    <row r="211" customFormat="false" ht="22.5" hidden="false" customHeight="true" outlineLevel="0" collapsed="false">
      <c r="A211" s="99"/>
      <c r="B211" s="99"/>
      <c r="C211" s="99"/>
      <c r="D211" s="121"/>
      <c r="E211" s="99"/>
      <c r="F211" s="100" t="str">
        <f aca="false">IF(E211="CONTADO", 4%, IF(E211="TARJETA / CHEQUE", 3%, IF(OR(E211="FINANCIADO", E211="MCP"), 2.5%, "")))</f>
        <v/>
      </c>
      <c r="G211" s="98" t="str">
        <f aca="false">IF(F211="", "", F211*D211)</f>
        <v/>
      </c>
      <c r="H211" s="132" t="b">
        <f aca="false">FALSE()</f>
        <v>0</v>
      </c>
      <c r="I211" s="132" t="b">
        <f aca="false">FALSE()</f>
        <v>0</v>
      </c>
      <c r="J211" s="126"/>
      <c r="K211" s="99"/>
      <c r="L211" s="83"/>
      <c r="M211" s="103"/>
      <c r="N211" s="103"/>
      <c r="O211" s="103"/>
      <c r="P211" s="103"/>
      <c r="Q211" s="103"/>
      <c r="R211" s="83"/>
      <c r="S211" s="103"/>
      <c r="T211" s="103"/>
      <c r="U211" s="103"/>
    </row>
    <row r="212" customFormat="false" ht="22.5" hidden="false" customHeight="true" outlineLevel="0" collapsed="false">
      <c r="A212" s="110"/>
      <c r="B212" s="110"/>
      <c r="C212" s="110"/>
      <c r="D212" s="122"/>
      <c r="E212" s="110"/>
      <c r="F212" s="111" t="str">
        <f aca="false">IF(E212="CONTADO", 4%, IF(E212="TARJETA / CHEQUE", 3%, IF(OR(E212="FINANCIADO", E212="MCP"), 2.5%, "")))</f>
        <v/>
      </c>
      <c r="G212" s="109" t="str">
        <f aca="false">IF(F212="", "", F212*D212)</f>
        <v/>
      </c>
      <c r="H212" s="131" t="b">
        <f aca="false">FALSE()</f>
        <v>0</v>
      </c>
      <c r="I212" s="131" t="b">
        <f aca="false">FALSE()</f>
        <v>0</v>
      </c>
      <c r="J212" s="130"/>
      <c r="K212" s="110"/>
      <c r="L212" s="83"/>
      <c r="M212" s="103"/>
      <c r="N212" s="103"/>
      <c r="O212" s="103"/>
      <c r="P212" s="103"/>
      <c r="Q212" s="103"/>
      <c r="R212" s="83"/>
      <c r="S212" s="103"/>
      <c r="T212" s="103"/>
      <c r="U212" s="103"/>
    </row>
    <row r="213" customFormat="false" ht="22.5" hidden="false" customHeight="true" outlineLevel="0" collapsed="false">
      <c r="A213" s="99"/>
      <c r="B213" s="99"/>
      <c r="C213" s="99"/>
      <c r="D213" s="121"/>
      <c r="E213" s="99"/>
      <c r="F213" s="100" t="str">
        <f aca="false">IF(E213="CONTADO", 4%, IF(E213="TARJETA / CHEQUE", 3%, IF(OR(E213="FINANCIADO", E213="MCP"), 2.5%, "")))</f>
        <v/>
      </c>
      <c r="G213" s="98" t="str">
        <f aca="false">IF(F213="", "", F213*D213)</f>
        <v/>
      </c>
      <c r="H213" s="132" t="b">
        <f aca="false">FALSE()</f>
        <v>0</v>
      </c>
      <c r="I213" s="132" t="b">
        <f aca="false">FALSE()</f>
        <v>0</v>
      </c>
      <c r="J213" s="126"/>
      <c r="K213" s="99"/>
      <c r="L213" s="83"/>
      <c r="M213" s="103"/>
      <c r="N213" s="103"/>
      <c r="O213" s="103"/>
      <c r="P213" s="103"/>
      <c r="Q213" s="103"/>
      <c r="R213" s="83"/>
      <c r="S213" s="103"/>
      <c r="T213" s="103"/>
      <c r="U213" s="103"/>
    </row>
    <row r="214" customFormat="false" ht="22.5" hidden="false" customHeight="true" outlineLevel="0" collapsed="false">
      <c r="A214" s="110"/>
      <c r="B214" s="110"/>
      <c r="C214" s="110"/>
      <c r="D214" s="122"/>
      <c r="E214" s="110"/>
      <c r="F214" s="111" t="str">
        <f aca="false">IF(E214="CONTADO", 4%, IF(E214="TARJETA / CHEQUE", 3%, IF(OR(E214="FINANCIADO", E214="MCP"), 2.5%, "")))</f>
        <v/>
      </c>
      <c r="G214" s="109" t="str">
        <f aca="false">IF(F214="", "", F214*D214)</f>
        <v/>
      </c>
      <c r="H214" s="131" t="b">
        <f aca="false">FALSE()</f>
        <v>0</v>
      </c>
      <c r="I214" s="131" t="b">
        <f aca="false">FALSE()</f>
        <v>0</v>
      </c>
      <c r="J214" s="130"/>
      <c r="K214" s="110"/>
      <c r="L214" s="83"/>
      <c r="M214" s="103"/>
      <c r="N214" s="103"/>
      <c r="O214" s="103"/>
      <c r="P214" s="103"/>
      <c r="Q214" s="103"/>
      <c r="R214" s="83"/>
      <c r="S214" s="103"/>
      <c r="T214" s="103"/>
      <c r="U214" s="103"/>
    </row>
    <row r="215" customFormat="false" ht="22.5" hidden="false" customHeight="true" outlineLevel="0" collapsed="false">
      <c r="A215" s="99"/>
      <c r="B215" s="99"/>
      <c r="C215" s="99"/>
      <c r="D215" s="121"/>
      <c r="E215" s="99"/>
      <c r="F215" s="100" t="str">
        <f aca="false">IF(E215="CONTADO", 4%, IF(E215="TARJETA / CHEQUE", 3%, IF(OR(E215="FINANCIADO", E215="MCP"), 2.5%, "")))</f>
        <v/>
      </c>
      <c r="G215" s="98" t="str">
        <f aca="false">IF(F215="", "", F215*D215)</f>
        <v/>
      </c>
      <c r="H215" s="132" t="b">
        <f aca="false">FALSE()</f>
        <v>0</v>
      </c>
      <c r="I215" s="132" t="b">
        <f aca="false">FALSE()</f>
        <v>0</v>
      </c>
      <c r="J215" s="126"/>
      <c r="K215" s="99"/>
      <c r="L215" s="83"/>
      <c r="M215" s="103"/>
      <c r="N215" s="103"/>
      <c r="O215" s="103"/>
      <c r="P215" s="103"/>
      <c r="Q215" s="103"/>
      <c r="R215" s="83"/>
      <c r="S215" s="103"/>
      <c r="T215" s="103"/>
      <c r="U215" s="103"/>
    </row>
    <row r="216" customFormat="false" ht="22.5" hidden="false" customHeight="true" outlineLevel="0" collapsed="false">
      <c r="A216" s="110"/>
      <c r="B216" s="110"/>
      <c r="C216" s="110"/>
      <c r="D216" s="122"/>
      <c r="E216" s="110"/>
      <c r="F216" s="111" t="str">
        <f aca="false">IF(E216="CONTADO", 4%, IF(E216="TARJETA / CHEQUE", 3%, IF(OR(E216="FINANCIADO", E216="MCP"), 2.5%, "")))</f>
        <v/>
      </c>
      <c r="G216" s="109" t="str">
        <f aca="false">IF(F216="", "", F216*D216)</f>
        <v/>
      </c>
      <c r="H216" s="131" t="b">
        <f aca="false">FALSE()</f>
        <v>0</v>
      </c>
      <c r="I216" s="131" t="b">
        <f aca="false">FALSE()</f>
        <v>0</v>
      </c>
      <c r="J216" s="130"/>
      <c r="K216" s="110"/>
      <c r="L216" s="83"/>
      <c r="M216" s="103"/>
      <c r="N216" s="103"/>
      <c r="O216" s="103"/>
      <c r="P216" s="103"/>
      <c r="Q216" s="103"/>
      <c r="R216" s="83"/>
      <c r="S216" s="103"/>
      <c r="T216" s="103"/>
      <c r="U216" s="103"/>
    </row>
    <row r="217" customFormat="false" ht="22.5" hidden="false" customHeight="true" outlineLevel="0" collapsed="false">
      <c r="A217" s="99"/>
      <c r="B217" s="99"/>
      <c r="C217" s="99"/>
      <c r="D217" s="121"/>
      <c r="E217" s="99"/>
      <c r="F217" s="100" t="str">
        <f aca="false">IF(E217="CONTADO", 4%, IF(E217="TARJETA / CHEQUE", 3%, IF(OR(E217="FINANCIADO", E217="MCP"), 2.5%, "")))</f>
        <v/>
      </c>
      <c r="G217" s="98" t="str">
        <f aca="false">IF(F217="", "", F217*D217)</f>
        <v/>
      </c>
      <c r="H217" s="132" t="b">
        <f aca="false">FALSE()</f>
        <v>0</v>
      </c>
      <c r="I217" s="132" t="b">
        <f aca="false">FALSE()</f>
        <v>0</v>
      </c>
      <c r="J217" s="126"/>
      <c r="K217" s="99"/>
      <c r="L217" s="83"/>
      <c r="M217" s="103"/>
      <c r="N217" s="103"/>
      <c r="O217" s="103"/>
      <c r="P217" s="103"/>
      <c r="Q217" s="103"/>
      <c r="R217" s="83"/>
      <c r="S217" s="103"/>
      <c r="T217" s="103"/>
      <c r="U217" s="103"/>
    </row>
    <row r="218" customFormat="false" ht="22.5" hidden="false" customHeight="true" outlineLevel="0" collapsed="false">
      <c r="A218" s="110"/>
      <c r="B218" s="110"/>
      <c r="C218" s="110"/>
      <c r="D218" s="122"/>
      <c r="E218" s="110"/>
      <c r="F218" s="111" t="str">
        <f aca="false">IF(E218="CONTADO", 4%, IF(E218="TARJETA / CHEQUE", 3%, IF(OR(E218="FINANCIADO", E218="MCP"), 2.5%, "")))</f>
        <v/>
      </c>
      <c r="G218" s="109" t="str">
        <f aca="false">IF(F218="", "", F218*D218)</f>
        <v/>
      </c>
      <c r="H218" s="131" t="b">
        <f aca="false">FALSE()</f>
        <v>0</v>
      </c>
      <c r="I218" s="131" t="b">
        <f aca="false">FALSE()</f>
        <v>0</v>
      </c>
      <c r="J218" s="130"/>
      <c r="K218" s="110"/>
      <c r="L218" s="83"/>
      <c r="M218" s="103"/>
      <c r="N218" s="103"/>
      <c r="O218" s="103"/>
      <c r="P218" s="103"/>
      <c r="Q218" s="103"/>
      <c r="R218" s="83"/>
      <c r="S218" s="103"/>
      <c r="T218" s="103"/>
      <c r="U218" s="103"/>
    </row>
    <row r="219" customFormat="false" ht="22.5" hidden="false" customHeight="true" outlineLevel="0" collapsed="false">
      <c r="A219" s="99"/>
      <c r="B219" s="99"/>
      <c r="C219" s="99"/>
      <c r="D219" s="121"/>
      <c r="E219" s="99"/>
      <c r="F219" s="100" t="str">
        <f aca="false">IF(E219="CONTADO", 4%, IF(E219="TARJETA / CHEQUE", 3%, IF(OR(E219="FINANCIADO", E219="MCP"), 2.5%, "")))</f>
        <v/>
      </c>
      <c r="G219" s="98" t="str">
        <f aca="false">IF(F219="", "", F219*D219)</f>
        <v/>
      </c>
      <c r="H219" s="132" t="b">
        <f aca="false">FALSE()</f>
        <v>0</v>
      </c>
      <c r="I219" s="132" t="b">
        <f aca="false">FALSE()</f>
        <v>0</v>
      </c>
      <c r="J219" s="126"/>
      <c r="K219" s="99"/>
      <c r="L219" s="83"/>
      <c r="M219" s="103"/>
      <c r="N219" s="103"/>
      <c r="O219" s="103"/>
      <c r="P219" s="103"/>
      <c r="Q219" s="103"/>
      <c r="R219" s="83"/>
      <c r="S219" s="103"/>
      <c r="T219" s="103"/>
      <c r="U219" s="103"/>
    </row>
    <row r="220" customFormat="false" ht="22.5" hidden="false" customHeight="true" outlineLevel="0" collapsed="false">
      <c r="A220" s="110"/>
      <c r="B220" s="110"/>
      <c r="C220" s="110"/>
      <c r="D220" s="122"/>
      <c r="E220" s="110"/>
      <c r="F220" s="111" t="str">
        <f aca="false">IF(E220="CONTADO", 4%, IF(E220="TARJETA / CHEQUE", 3%, IF(OR(E220="FINANCIADO", E220="MCP"), 2.5%, "")))</f>
        <v/>
      </c>
      <c r="G220" s="109" t="str">
        <f aca="false">IF(F220="", "", F220*D220)</f>
        <v/>
      </c>
      <c r="H220" s="131" t="b">
        <f aca="false">FALSE()</f>
        <v>0</v>
      </c>
      <c r="I220" s="131" t="b">
        <f aca="false">FALSE()</f>
        <v>0</v>
      </c>
      <c r="J220" s="130"/>
      <c r="K220" s="110"/>
      <c r="L220" s="83"/>
      <c r="M220" s="103"/>
      <c r="N220" s="103"/>
      <c r="O220" s="103"/>
      <c r="P220" s="103"/>
      <c r="Q220" s="103"/>
      <c r="R220" s="83"/>
      <c r="S220" s="103"/>
      <c r="T220" s="103"/>
      <c r="U220" s="103"/>
    </row>
    <row r="221" customFormat="false" ht="22.5" hidden="false" customHeight="true" outlineLevel="0" collapsed="false">
      <c r="A221" s="99"/>
      <c r="B221" s="99"/>
      <c r="C221" s="99"/>
      <c r="D221" s="121"/>
      <c r="E221" s="99"/>
      <c r="F221" s="100" t="str">
        <f aca="false">IF(E221="CONTADO", 4%, IF(E221="TARJETA / CHEQUE", 3%, IF(OR(E221="FINANCIADO", E221="MCP"), 2.5%, "")))</f>
        <v/>
      </c>
      <c r="G221" s="98" t="str">
        <f aca="false">IF(F221="", "", F221*D221)</f>
        <v/>
      </c>
      <c r="H221" s="132" t="b">
        <f aca="false">FALSE()</f>
        <v>0</v>
      </c>
      <c r="I221" s="132" t="b">
        <f aca="false">FALSE()</f>
        <v>0</v>
      </c>
      <c r="J221" s="126"/>
      <c r="K221" s="99"/>
      <c r="L221" s="83"/>
      <c r="M221" s="103"/>
      <c r="N221" s="103"/>
      <c r="O221" s="103"/>
      <c r="P221" s="103"/>
      <c r="Q221" s="103"/>
      <c r="R221" s="83"/>
      <c r="S221" s="103"/>
      <c r="T221" s="103"/>
      <c r="U221" s="103"/>
    </row>
    <row r="222" customFormat="false" ht="22.5" hidden="false" customHeight="true" outlineLevel="0" collapsed="false">
      <c r="A222" s="110"/>
      <c r="B222" s="110"/>
      <c r="C222" s="110"/>
      <c r="D222" s="122"/>
      <c r="E222" s="110"/>
      <c r="F222" s="111" t="str">
        <f aca="false">IF(E222="CONTADO", 4%, IF(E222="TARJETA / CHEQUE", 3%, IF(OR(E222="FINANCIADO", E222="MCP"), 2.5%, "")))</f>
        <v/>
      </c>
      <c r="G222" s="109" t="str">
        <f aca="false">IF(F222="", "", F222*D222)</f>
        <v/>
      </c>
      <c r="H222" s="131" t="b">
        <f aca="false">FALSE()</f>
        <v>0</v>
      </c>
      <c r="I222" s="131" t="b">
        <f aca="false">FALSE()</f>
        <v>0</v>
      </c>
      <c r="J222" s="130"/>
      <c r="K222" s="110"/>
      <c r="L222" s="83"/>
      <c r="M222" s="103"/>
      <c r="N222" s="103"/>
      <c r="O222" s="103"/>
      <c r="P222" s="103"/>
      <c r="Q222" s="103"/>
      <c r="R222" s="83"/>
      <c r="S222" s="103"/>
      <c r="T222" s="103"/>
      <c r="U222" s="103"/>
    </row>
    <row r="223" customFormat="false" ht="22.5" hidden="false" customHeight="true" outlineLevel="0" collapsed="false">
      <c r="A223" s="99"/>
      <c r="B223" s="99"/>
      <c r="C223" s="99"/>
      <c r="D223" s="121"/>
      <c r="E223" s="99"/>
      <c r="F223" s="100" t="str">
        <f aca="false">IF(E223="CONTADO", 4%, IF(E223="TARJETA / CHEQUE", 3%, IF(OR(E223="FINANCIADO", E223="MCP"), 2.5%, "")))</f>
        <v/>
      </c>
      <c r="G223" s="98" t="str">
        <f aca="false">IF(F223="", "", F223*D223)</f>
        <v/>
      </c>
      <c r="H223" s="132" t="b">
        <f aca="false">FALSE()</f>
        <v>0</v>
      </c>
      <c r="I223" s="132" t="b">
        <f aca="false">FALSE()</f>
        <v>0</v>
      </c>
      <c r="J223" s="126"/>
      <c r="K223" s="99"/>
      <c r="L223" s="83"/>
      <c r="M223" s="103"/>
      <c r="N223" s="103"/>
      <c r="O223" s="103"/>
      <c r="P223" s="103"/>
      <c r="Q223" s="103"/>
      <c r="R223" s="83"/>
      <c r="S223" s="103"/>
      <c r="T223" s="103"/>
      <c r="U223" s="103"/>
    </row>
    <row r="224" customFormat="false" ht="22.5" hidden="false" customHeight="true" outlineLevel="0" collapsed="false">
      <c r="A224" s="110"/>
      <c r="B224" s="110"/>
      <c r="C224" s="110"/>
      <c r="D224" s="122"/>
      <c r="E224" s="110"/>
      <c r="F224" s="111" t="str">
        <f aca="false">IF(E224="CONTADO", 4%, IF(E224="TARJETA / CHEQUE", 3%, IF(OR(E224="FINANCIADO", E224="MCP"), 2.5%, "")))</f>
        <v/>
      </c>
      <c r="G224" s="109" t="str">
        <f aca="false">IF(F224="", "", F224*D224)</f>
        <v/>
      </c>
      <c r="H224" s="131" t="b">
        <f aca="false">FALSE()</f>
        <v>0</v>
      </c>
      <c r="I224" s="131" t="b">
        <f aca="false">FALSE()</f>
        <v>0</v>
      </c>
      <c r="J224" s="130"/>
      <c r="K224" s="110"/>
      <c r="L224" s="83"/>
      <c r="M224" s="103"/>
      <c r="N224" s="103"/>
      <c r="O224" s="103"/>
      <c r="P224" s="103"/>
      <c r="Q224" s="103"/>
      <c r="R224" s="83"/>
      <c r="S224" s="103"/>
      <c r="T224" s="103"/>
      <c r="U224" s="103"/>
    </row>
    <row r="225" customFormat="false" ht="22.5" hidden="false" customHeight="true" outlineLevel="0" collapsed="false">
      <c r="A225" s="99"/>
      <c r="B225" s="99"/>
      <c r="C225" s="99"/>
      <c r="D225" s="121"/>
      <c r="E225" s="99"/>
      <c r="F225" s="100" t="str">
        <f aca="false">IF(E225="CONTADO", 4%, IF(E225="TARJETA / CHEQUE", 3%, IF(OR(E225="FINANCIADO", E225="MCP"), 2.5%, "")))</f>
        <v/>
      </c>
      <c r="G225" s="98" t="str">
        <f aca="false">IF(F225="", "", F225*D225)</f>
        <v/>
      </c>
      <c r="H225" s="132" t="b">
        <f aca="false">FALSE()</f>
        <v>0</v>
      </c>
      <c r="I225" s="132" t="b">
        <f aca="false">FALSE()</f>
        <v>0</v>
      </c>
      <c r="J225" s="126"/>
      <c r="K225" s="99"/>
      <c r="L225" s="83"/>
      <c r="M225" s="103"/>
      <c r="N225" s="103"/>
      <c r="O225" s="103"/>
      <c r="P225" s="103"/>
      <c r="Q225" s="103"/>
      <c r="R225" s="83"/>
      <c r="S225" s="103"/>
      <c r="T225" s="103"/>
      <c r="U225" s="103"/>
    </row>
    <row r="226" customFormat="false" ht="22.5" hidden="false" customHeight="true" outlineLevel="0" collapsed="false">
      <c r="A226" s="110"/>
      <c r="B226" s="110"/>
      <c r="C226" s="110"/>
      <c r="D226" s="122"/>
      <c r="E226" s="110"/>
      <c r="F226" s="111" t="str">
        <f aca="false">IF(E226="CONTADO", 4%, IF(E226="TARJETA / CHEQUE", 3%, IF(OR(E226="FINANCIADO", E226="MCP"), 2.5%, "")))</f>
        <v/>
      </c>
      <c r="G226" s="109" t="str">
        <f aca="false">IF(F226="", "", F226*D226)</f>
        <v/>
      </c>
      <c r="H226" s="131" t="b">
        <f aca="false">FALSE()</f>
        <v>0</v>
      </c>
      <c r="I226" s="131" t="b">
        <f aca="false">FALSE()</f>
        <v>0</v>
      </c>
      <c r="J226" s="130"/>
      <c r="K226" s="110"/>
      <c r="L226" s="83"/>
      <c r="M226" s="103"/>
      <c r="N226" s="103"/>
      <c r="O226" s="103"/>
      <c r="P226" s="103"/>
      <c r="Q226" s="103"/>
      <c r="R226" s="83"/>
      <c r="S226" s="103"/>
      <c r="T226" s="103"/>
      <c r="U226" s="103"/>
    </row>
    <row r="227" customFormat="false" ht="22.5" hidden="false" customHeight="true" outlineLevel="0" collapsed="false">
      <c r="A227" s="99"/>
      <c r="B227" s="99"/>
      <c r="C227" s="99"/>
      <c r="D227" s="121"/>
      <c r="E227" s="99"/>
      <c r="F227" s="100" t="str">
        <f aca="false">IF(E227="CONTADO", 4%, IF(E227="TARJETA / CHEQUE", 3%, IF(OR(E227="FINANCIADO", E227="MCP"), 2.5%, "")))</f>
        <v/>
      </c>
      <c r="G227" s="98" t="str">
        <f aca="false">IF(F227="", "", F227*D227)</f>
        <v/>
      </c>
      <c r="H227" s="132" t="b">
        <f aca="false">FALSE()</f>
        <v>0</v>
      </c>
      <c r="I227" s="132" t="b">
        <f aca="false">FALSE()</f>
        <v>0</v>
      </c>
      <c r="J227" s="126"/>
      <c r="K227" s="99"/>
      <c r="L227" s="83"/>
      <c r="M227" s="103"/>
      <c r="N227" s="103"/>
      <c r="O227" s="103"/>
      <c r="P227" s="103"/>
      <c r="Q227" s="103"/>
      <c r="R227" s="83"/>
      <c r="S227" s="103"/>
      <c r="T227" s="103"/>
      <c r="U227" s="103"/>
    </row>
    <row r="228" customFormat="false" ht="22.5" hidden="false" customHeight="true" outlineLevel="0" collapsed="false">
      <c r="A228" s="110"/>
      <c r="B228" s="110"/>
      <c r="C228" s="110"/>
      <c r="D228" s="122"/>
      <c r="E228" s="110"/>
      <c r="F228" s="111" t="str">
        <f aca="false">IF(E228="CONTADO", 4%, IF(E228="TARJETA / CHEQUE", 3%, IF(OR(E228="FINANCIADO", E228="MCP"), 2.5%, "")))</f>
        <v/>
      </c>
      <c r="G228" s="109" t="str">
        <f aca="false">IF(F228="", "", F228*D228)</f>
        <v/>
      </c>
      <c r="H228" s="131" t="b">
        <f aca="false">FALSE()</f>
        <v>0</v>
      </c>
      <c r="I228" s="131" t="b">
        <f aca="false">FALSE()</f>
        <v>0</v>
      </c>
      <c r="J228" s="130"/>
      <c r="K228" s="110"/>
      <c r="L228" s="83"/>
      <c r="M228" s="103"/>
      <c r="N228" s="103"/>
      <c r="O228" s="103"/>
      <c r="P228" s="103"/>
      <c r="Q228" s="103"/>
      <c r="R228" s="83"/>
      <c r="S228" s="103"/>
      <c r="T228" s="103"/>
      <c r="U228" s="103"/>
    </row>
    <row r="229" customFormat="false" ht="22.5" hidden="false" customHeight="true" outlineLevel="0" collapsed="false">
      <c r="A229" s="99"/>
      <c r="B229" s="99"/>
      <c r="C229" s="99"/>
      <c r="D229" s="121"/>
      <c r="E229" s="99"/>
      <c r="F229" s="100" t="str">
        <f aca="false">IF(E229="CONTADO", 4%, IF(E229="TARJETA / CHEQUE", 3%, IF(OR(E229="FINANCIADO", E229="MCP"), 2.5%, "")))</f>
        <v/>
      </c>
      <c r="G229" s="98" t="str">
        <f aca="false">IF(F229="", "", F229*D229)</f>
        <v/>
      </c>
      <c r="H229" s="132" t="b">
        <f aca="false">FALSE()</f>
        <v>0</v>
      </c>
      <c r="I229" s="132" t="b">
        <f aca="false">FALSE()</f>
        <v>0</v>
      </c>
      <c r="J229" s="126"/>
      <c r="K229" s="99"/>
      <c r="L229" s="83"/>
      <c r="M229" s="103"/>
      <c r="N229" s="103"/>
      <c r="O229" s="103"/>
      <c r="P229" s="103"/>
      <c r="Q229" s="103"/>
      <c r="R229" s="83"/>
      <c r="S229" s="103"/>
      <c r="T229" s="103"/>
      <c r="U229" s="103"/>
    </row>
    <row r="230" customFormat="false" ht="22.5" hidden="false" customHeight="true" outlineLevel="0" collapsed="false">
      <c r="A230" s="110"/>
      <c r="B230" s="110"/>
      <c r="C230" s="110"/>
      <c r="D230" s="122"/>
      <c r="E230" s="110"/>
      <c r="F230" s="111" t="str">
        <f aca="false">IF(E230="CONTADO", 4%, IF(E230="TARJETA / CHEQUE", 3%, IF(OR(E230="FINANCIADO", E230="MCP"), 2.5%, "")))</f>
        <v/>
      </c>
      <c r="G230" s="109" t="str">
        <f aca="false">IF(F230="", "", F230*D230)</f>
        <v/>
      </c>
      <c r="H230" s="131" t="b">
        <f aca="false">FALSE()</f>
        <v>0</v>
      </c>
      <c r="I230" s="131" t="b">
        <f aca="false">FALSE()</f>
        <v>0</v>
      </c>
      <c r="J230" s="130"/>
      <c r="K230" s="110"/>
      <c r="L230" s="83"/>
      <c r="M230" s="103"/>
      <c r="N230" s="103"/>
      <c r="O230" s="103"/>
      <c r="P230" s="103"/>
      <c r="Q230" s="103"/>
      <c r="R230" s="83"/>
      <c r="S230" s="103"/>
      <c r="T230" s="103"/>
      <c r="U230" s="103"/>
    </row>
    <row r="231" customFormat="false" ht="22.5" hidden="false" customHeight="true" outlineLevel="0" collapsed="false">
      <c r="A231" s="99"/>
      <c r="B231" s="99"/>
      <c r="C231" s="99"/>
      <c r="D231" s="121"/>
      <c r="E231" s="99"/>
      <c r="F231" s="100" t="str">
        <f aca="false">IF(E231="CONTADO", 4%, IF(E231="TARJETA / CHEQUE", 3%, IF(OR(E231="FINANCIADO", E231="MCP"), 2.5%, "")))</f>
        <v/>
      </c>
      <c r="G231" s="98" t="str">
        <f aca="false">IF(F231="", "", F231*D231)</f>
        <v/>
      </c>
      <c r="H231" s="132" t="b">
        <f aca="false">FALSE()</f>
        <v>0</v>
      </c>
      <c r="I231" s="132" t="b">
        <f aca="false">FALSE()</f>
        <v>0</v>
      </c>
      <c r="J231" s="126"/>
      <c r="K231" s="99"/>
      <c r="L231" s="83"/>
      <c r="M231" s="103"/>
      <c r="N231" s="103"/>
      <c r="O231" s="103"/>
      <c r="P231" s="103"/>
      <c r="Q231" s="103"/>
      <c r="R231" s="83"/>
      <c r="S231" s="103"/>
      <c r="T231" s="103"/>
      <c r="U231" s="103"/>
    </row>
    <row r="232" customFormat="false" ht="22.5" hidden="false" customHeight="true" outlineLevel="0" collapsed="false">
      <c r="A232" s="110"/>
      <c r="B232" s="110"/>
      <c r="C232" s="110"/>
      <c r="D232" s="122"/>
      <c r="E232" s="110"/>
      <c r="F232" s="111" t="str">
        <f aca="false">IF(E232="CONTADO", 4%, IF(E232="TARJETA / CHEQUE", 3%, IF(OR(E232="FINANCIADO", E232="MCP"), 2.5%, "")))</f>
        <v/>
      </c>
      <c r="G232" s="109" t="str">
        <f aca="false">IF(F232="", "", F232*D232)</f>
        <v/>
      </c>
      <c r="H232" s="131" t="b">
        <f aca="false">FALSE()</f>
        <v>0</v>
      </c>
      <c r="I232" s="131" t="b">
        <f aca="false">FALSE()</f>
        <v>0</v>
      </c>
      <c r="J232" s="130"/>
      <c r="K232" s="110"/>
      <c r="L232" s="83"/>
      <c r="M232" s="103"/>
      <c r="N232" s="103"/>
      <c r="O232" s="103"/>
      <c r="P232" s="103"/>
      <c r="Q232" s="103"/>
      <c r="R232" s="83"/>
      <c r="S232" s="103"/>
      <c r="T232" s="103"/>
      <c r="U232" s="103"/>
    </row>
    <row r="233" customFormat="false" ht="22.5" hidden="false" customHeight="true" outlineLevel="0" collapsed="false">
      <c r="A233" s="99"/>
      <c r="B233" s="99"/>
      <c r="C233" s="99"/>
      <c r="D233" s="121"/>
      <c r="E233" s="99"/>
      <c r="F233" s="124"/>
      <c r="G233" s="121"/>
      <c r="H233" s="132" t="b">
        <f aca="false">FALSE()</f>
        <v>0</v>
      </c>
      <c r="I233" s="132" t="b">
        <f aca="false">FALSE()</f>
        <v>0</v>
      </c>
      <c r="J233" s="126"/>
      <c r="K233" s="99"/>
      <c r="L233" s="83"/>
      <c r="M233" s="103"/>
      <c r="N233" s="103"/>
      <c r="O233" s="103"/>
      <c r="P233" s="103"/>
      <c r="Q233" s="103"/>
      <c r="R233" s="83"/>
      <c r="S233" s="103"/>
      <c r="T233" s="103"/>
      <c r="U233" s="103"/>
    </row>
    <row r="234" customFormat="false" ht="22.5" hidden="false" customHeight="true" outlineLevel="0" collapsed="false">
      <c r="A234" s="110"/>
      <c r="B234" s="110"/>
      <c r="C234" s="110"/>
      <c r="D234" s="122"/>
      <c r="E234" s="110"/>
      <c r="F234" s="128"/>
      <c r="G234" s="122"/>
      <c r="H234" s="131" t="b">
        <f aca="false">FALSE()</f>
        <v>0</v>
      </c>
      <c r="I234" s="131" t="b">
        <f aca="false">FALSE()</f>
        <v>0</v>
      </c>
      <c r="J234" s="130"/>
      <c r="K234" s="110"/>
      <c r="L234" s="83"/>
      <c r="M234" s="103"/>
      <c r="N234" s="103"/>
      <c r="O234" s="103"/>
      <c r="P234" s="103"/>
      <c r="Q234" s="103"/>
      <c r="R234" s="83"/>
      <c r="S234" s="103"/>
      <c r="T234" s="103"/>
      <c r="U234" s="103"/>
    </row>
    <row r="235" customFormat="false" ht="22.5" hidden="false" customHeight="true" outlineLevel="0" collapsed="false">
      <c r="A235" s="99"/>
      <c r="B235" s="99"/>
      <c r="C235" s="99"/>
      <c r="D235" s="121"/>
      <c r="E235" s="99"/>
      <c r="F235" s="124"/>
      <c r="G235" s="121"/>
      <c r="H235" s="132" t="b">
        <f aca="false">FALSE()</f>
        <v>0</v>
      </c>
      <c r="I235" s="132" t="b">
        <f aca="false">FALSE()</f>
        <v>0</v>
      </c>
      <c r="J235" s="126"/>
      <c r="K235" s="99"/>
      <c r="L235" s="83"/>
      <c r="M235" s="103"/>
      <c r="N235" s="103"/>
      <c r="O235" s="103"/>
      <c r="P235" s="103"/>
      <c r="Q235" s="103"/>
      <c r="R235" s="83"/>
      <c r="S235" s="103"/>
      <c r="T235" s="103"/>
      <c r="U235" s="103"/>
    </row>
    <row r="236" customFormat="false" ht="22.5" hidden="false" customHeight="true" outlineLevel="0" collapsed="false">
      <c r="A236" s="110"/>
      <c r="B236" s="110"/>
      <c r="C236" s="110"/>
      <c r="D236" s="122"/>
      <c r="E236" s="110"/>
      <c r="F236" s="128"/>
      <c r="G236" s="122"/>
      <c r="H236" s="131" t="b">
        <f aca="false">FALSE()</f>
        <v>0</v>
      </c>
      <c r="I236" s="131" t="b">
        <f aca="false">FALSE()</f>
        <v>0</v>
      </c>
      <c r="J236" s="130"/>
      <c r="K236" s="110"/>
      <c r="L236" s="83"/>
      <c r="M236" s="103"/>
      <c r="N236" s="103"/>
      <c r="O236" s="103"/>
      <c r="P236" s="103"/>
      <c r="Q236" s="103"/>
      <c r="R236" s="83"/>
      <c r="S236" s="103"/>
      <c r="T236" s="103"/>
      <c r="U236" s="103"/>
    </row>
    <row r="237" customFormat="false" ht="22.5" hidden="false" customHeight="true" outlineLevel="0" collapsed="false">
      <c r="A237" s="99"/>
      <c r="B237" s="99"/>
      <c r="C237" s="99"/>
      <c r="D237" s="121"/>
      <c r="E237" s="99"/>
      <c r="F237" s="124"/>
      <c r="G237" s="121"/>
      <c r="H237" s="132" t="b">
        <f aca="false">FALSE()</f>
        <v>0</v>
      </c>
      <c r="I237" s="132" t="b">
        <f aca="false">FALSE()</f>
        <v>0</v>
      </c>
      <c r="J237" s="126"/>
      <c r="K237" s="99"/>
      <c r="L237" s="83"/>
      <c r="M237" s="103"/>
      <c r="N237" s="103"/>
      <c r="O237" s="103"/>
      <c r="P237" s="103"/>
      <c r="Q237" s="103"/>
      <c r="R237" s="83"/>
      <c r="S237" s="103"/>
      <c r="T237" s="103"/>
      <c r="U237" s="103"/>
    </row>
    <row r="238" customFormat="false" ht="22.5" hidden="false" customHeight="true" outlineLevel="0" collapsed="false">
      <c r="A238" s="110"/>
      <c r="B238" s="110"/>
      <c r="C238" s="110"/>
      <c r="D238" s="122"/>
      <c r="E238" s="110"/>
      <c r="F238" s="128"/>
      <c r="G238" s="122"/>
      <c r="H238" s="131" t="b">
        <f aca="false">FALSE()</f>
        <v>0</v>
      </c>
      <c r="I238" s="131" t="b">
        <f aca="false">FALSE()</f>
        <v>0</v>
      </c>
      <c r="J238" s="130"/>
      <c r="K238" s="110"/>
      <c r="L238" s="83"/>
      <c r="M238" s="103"/>
      <c r="N238" s="103"/>
      <c r="O238" s="103"/>
      <c r="P238" s="103"/>
      <c r="Q238" s="103"/>
      <c r="R238" s="83"/>
      <c r="S238" s="103"/>
      <c r="T238" s="103"/>
      <c r="U238" s="103"/>
    </row>
    <row r="239" customFormat="false" ht="22.5" hidden="false" customHeight="true" outlineLevel="0" collapsed="false">
      <c r="A239" s="99"/>
      <c r="B239" s="99"/>
      <c r="C239" s="99"/>
      <c r="D239" s="121"/>
      <c r="E239" s="99"/>
      <c r="F239" s="124"/>
      <c r="G239" s="121"/>
      <c r="H239" s="132" t="b">
        <f aca="false">FALSE()</f>
        <v>0</v>
      </c>
      <c r="I239" s="132" t="b">
        <f aca="false">FALSE()</f>
        <v>0</v>
      </c>
      <c r="J239" s="126"/>
      <c r="K239" s="99"/>
      <c r="L239" s="83"/>
      <c r="M239" s="103"/>
      <c r="N239" s="103"/>
      <c r="O239" s="103"/>
      <c r="P239" s="103"/>
      <c r="Q239" s="103"/>
      <c r="R239" s="83"/>
      <c r="S239" s="103"/>
      <c r="T239" s="103"/>
      <c r="U239" s="103"/>
    </row>
    <row r="240" customFormat="false" ht="22.5" hidden="false" customHeight="true" outlineLevel="0" collapsed="false">
      <c r="A240" s="110"/>
      <c r="B240" s="110"/>
      <c r="C240" s="110"/>
      <c r="D240" s="122"/>
      <c r="E240" s="110"/>
      <c r="F240" s="128"/>
      <c r="G240" s="122"/>
      <c r="H240" s="131" t="b">
        <f aca="false">FALSE()</f>
        <v>0</v>
      </c>
      <c r="I240" s="131" t="b">
        <f aca="false">FALSE()</f>
        <v>0</v>
      </c>
      <c r="J240" s="130"/>
      <c r="K240" s="110"/>
      <c r="L240" s="83"/>
      <c r="M240" s="103"/>
      <c r="N240" s="103"/>
      <c r="O240" s="103"/>
      <c r="P240" s="103"/>
      <c r="Q240" s="103"/>
      <c r="R240" s="83"/>
      <c r="S240" s="103"/>
      <c r="T240" s="103"/>
      <c r="U240" s="103"/>
    </row>
    <row r="241" customFormat="false" ht="22.5" hidden="false" customHeight="true" outlineLevel="0" collapsed="false">
      <c r="A241" s="99"/>
      <c r="B241" s="99"/>
      <c r="C241" s="99"/>
      <c r="D241" s="121"/>
      <c r="E241" s="99"/>
      <c r="F241" s="124"/>
      <c r="G241" s="121"/>
      <c r="H241" s="132" t="b">
        <f aca="false">FALSE()</f>
        <v>0</v>
      </c>
      <c r="I241" s="132" t="b">
        <f aca="false">FALSE()</f>
        <v>0</v>
      </c>
      <c r="J241" s="126"/>
      <c r="K241" s="99"/>
      <c r="L241" s="83"/>
      <c r="M241" s="103"/>
      <c r="N241" s="103"/>
      <c r="O241" s="103"/>
      <c r="P241" s="103"/>
      <c r="Q241" s="103"/>
      <c r="R241" s="83"/>
      <c r="S241" s="103"/>
      <c r="T241" s="103"/>
      <c r="U241" s="103"/>
    </row>
    <row r="242" customFormat="false" ht="22.5" hidden="false" customHeight="true" outlineLevel="0" collapsed="false">
      <c r="A242" s="110"/>
      <c r="B242" s="110"/>
      <c r="C242" s="110"/>
      <c r="D242" s="122"/>
      <c r="E242" s="110"/>
      <c r="F242" s="128"/>
      <c r="G242" s="122"/>
      <c r="H242" s="131" t="b">
        <f aca="false">FALSE()</f>
        <v>0</v>
      </c>
      <c r="I242" s="131" t="b">
        <f aca="false">FALSE()</f>
        <v>0</v>
      </c>
      <c r="J242" s="130"/>
      <c r="K242" s="110"/>
      <c r="L242" s="83"/>
      <c r="M242" s="103"/>
      <c r="N242" s="103"/>
      <c r="O242" s="103"/>
      <c r="P242" s="103"/>
      <c r="Q242" s="103"/>
      <c r="R242" s="83"/>
      <c r="S242" s="103"/>
      <c r="T242" s="103"/>
      <c r="U242" s="103"/>
    </row>
    <row r="243" customFormat="false" ht="22.5" hidden="false" customHeight="true" outlineLevel="0" collapsed="false">
      <c r="A243" s="99"/>
      <c r="B243" s="99"/>
      <c r="C243" s="99"/>
      <c r="D243" s="121"/>
      <c r="E243" s="99"/>
      <c r="F243" s="124"/>
      <c r="G243" s="121"/>
      <c r="H243" s="132" t="b">
        <f aca="false">FALSE()</f>
        <v>0</v>
      </c>
      <c r="I243" s="132" t="b">
        <f aca="false">FALSE()</f>
        <v>0</v>
      </c>
      <c r="J243" s="126"/>
      <c r="K243" s="99"/>
      <c r="L243" s="83"/>
      <c r="M243" s="103"/>
      <c r="N243" s="103"/>
      <c r="O243" s="103"/>
      <c r="P243" s="103"/>
      <c r="Q243" s="103"/>
      <c r="R243" s="83"/>
      <c r="S243" s="103"/>
      <c r="T243" s="103"/>
      <c r="U243" s="103"/>
    </row>
    <row r="244" customFormat="false" ht="22.5" hidden="false" customHeight="true" outlineLevel="0" collapsed="false">
      <c r="A244" s="110"/>
      <c r="B244" s="110"/>
      <c r="C244" s="110"/>
      <c r="D244" s="122"/>
      <c r="E244" s="110"/>
      <c r="F244" s="128"/>
      <c r="G244" s="122"/>
      <c r="H244" s="131" t="b">
        <f aca="false">FALSE()</f>
        <v>0</v>
      </c>
      <c r="I244" s="131" t="b">
        <f aca="false">FALSE()</f>
        <v>0</v>
      </c>
      <c r="J244" s="130"/>
      <c r="K244" s="110"/>
      <c r="L244" s="83"/>
      <c r="M244" s="103"/>
      <c r="N244" s="103"/>
      <c r="O244" s="103"/>
      <c r="P244" s="103"/>
      <c r="Q244" s="103"/>
      <c r="R244" s="83"/>
      <c r="S244" s="103"/>
      <c r="T244" s="103"/>
      <c r="U244" s="103"/>
    </row>
    <row r="245" customFormat="false" ht="22.5" hidden="false" customHeight="true" outlineLevel="0" collapsed="false">
      <c r="A245" s="99"/>
      <c r="B245" s="99"/>
      <c r="C245" s="99"/>
      <c r="D245" s="121"/>
      <c r="E245" s="99"/>
      <c r="F245" s="124"/>
      <c r="G245" s="121"/>
      <c r="H245" s="132" t="b">
        <f aca="false">FALSE()</f>
        <v>0</v>
      </c>
      <c r="I245" s="132" t="b">
        <f aca="false">FALSE()</f>
        <v>0</v>
      </c>
      <c r="J245" s="126"/>
      <c r="K245" s="99"/>
      <c r="L245" s="83"/>
      <c r="M245" s="103"/>
      <c r="N245" s="103"/>
      <c r="O245" s="103"/>
      <c r="P245" s="103"/>
      <c r="Q245" s="103"/>
      <c r="R245" s="83"/>
      <c r="S245" s="103"/>
      <c r="T245" s="103"/>
      <c r="U245" s="103"/>
    </row>
    <row r="246" customFormat="false" ht="22.5" hidden="false" customHeight="true" outlineLevel="0" collapsed="false">
      <c r="A246" s="110"/>
      <c r="B246" s="110"/>
      <c r="C246" s="110"/>
      <c r="D246" s="122"/>
      <c r="E246" s="110"/>
      <c r="F246" s="128"/>
      <c r="G246" s="122"/>
      <c r="H246" s="131" t="b">
        <f aca="false">FALSE()</f>
        <v>0</v>
      </c>
      <c r="I246" s="131" t="b">
        <f aca="false">FALSE()</f>
        <v>0</v>
      </c>
      <c r="J246" s="130"/>
      <c r="K246" s="110"/>
      <c r="L246" s="83"/>
      <c r="M246" s="103"/>
      <c r="N246" s="103"/>
      <c r="O246" s="103"/>
      <c r="P246" s="103"/>
      <c r="Q246" s="103"/>
      <c r="R246" s="83"/>
      <c r="S246" s="103"/>
      <c r="T246" s="103"/>
      <c r="U246" s="103"/>
    </row>
    <row r="247" customFormat="false" ht="22.5" hidden="false" customHeight="true" outlineLevel="0" collapsed="false">
      <c r="A247" s="99"/>
      <c r="B247" s="99"/>
      <c r="C247" s="99"/>
      <c r="D247" s="121"/>
      <c r="E247" s="99"/>
      <c r="F247" s="124"/>
      <c r="G247" s="121"/>
      <c r="H247" s="132" t="b">
        <f aca="false">FALSE()</f>
        <v>0</v>
      </c>
      <c r="I247" s="132" t="b">
        <f aca="false">FALSE()</f>
        <v>0</v>
      </c>
      <c r="J247" s="126"/>
      <c r="K247" s="99"/>
      <c r="L247" s="83"/>
      <c r="M247" s="103"/>
      <c r="N247" s="103"/>
      <c r="O247" s="103"/>
      <c r="P247" s="103"/>
      <c r="Q247" s="103"/>
      <c r="R247" s="83"/>
      <c r="S247" s="103"/>
      <c r="T247" s="103"/>
      <c r="U247" s="103"/>
    </row>
    <row r="248" customFormat="false" ht="22.5" hidden="false" customHeight="true" outlineLevel="0" collapsed="false">
      <c r="A248" s="110"/>
      <c r="B248" s="110"/>
      <c r="C248" s="110"/>
      <c r="D248" s="122"/>
      <c r="E248" s="110"/>
      <c r="F248" s="128"/>
      <c r="G248" s="122"/>
      <c r="H248" s="131" t="b">
        <f aca="false">FALSE()</f>
        <v>0</v>
      </c>
      <c r="I248" s="131" t="b">
        <f aca="false">FALSE()</f>
        <v>0</v>
      </c>
      <c r="J248" s="130"/>
      <c r="K248" s="110"/>
      <c r="L248" s="83"/>
      <c r="M248" s="103"/>
      <c r="N248" s="103"/>
      <c r="O248" s="103"/>
      <c r="P248" s="103"/>
      <c r="Q248" s="103"/>
      <c r="R248" s="83"/>
      <c r="S248" s="103"/>
      <c r="T248" s="103"/>
      <c r="U248" s="103"/>
    </row>
    <row r="249" customFormat="false" ht="22.5" hidden="false" customHeight="true" outlineLevel="0" collapsed="false">
      <c r="A249" s="99"/>
      <c r="B249" s="99"/>
      <c r="C249" s="99"/>
      <c r="D249" s="121"/>
      <c r="E249" s="99"/>
      <c r="F249" s="124"/>
      <c r="G249" s="121"/>
      <c r="H249" s="132" t="b">
        <f aca="false">FALSE()</f>
        <v>0</v>
      </c>
      <c r="I249" s="132" t="b">
        <f aca="false">FALSE()</f>
        <v>0</v>
      </c>
      <c r="J249" s="126"/>
      <c r="K249" s="99"/>
      <c r="L249" s="83"/>
      <c r="M249" s="103"/>
      <c r="N249" s="103"/>
      <c r="O249" s="103"/>
      <c r="P249" s="103"/>
      <c r="Q249" s="103"/>
      <c r="R249" s="83"/>
      <c r="S249" s="103"/>
      <c r="T249" s="103"/>
      <c r="U249" s="103"/>
    </row>
    <row r="250" customFormat="false" ht="22.5" hidden="false" customHeight="true" outlineLevel="0" collapsed="false">
      <c r="A250" s="110"/>
      <c r="B250" s="110"/>
      <c r="C250" s="110"/>
      <c r="D250" s="122"/>
      <c r="E250" s="110"/>
      <c r="F250" s="128"/>
      <c r="G250" s="122"/>
      <c r="H250" s="131" t="b">
        <f aca="false">FALSE()</f>
        <v>0</v>
      </c>
      <c r="I250" s="131" t="b">
        <f aca="false">FALSE()</f>
        <v>0</v>
      </c>
      <c r="J250" s="130"/>
      <c r="K250" s="110"/>
      <c r="L250" s="83"/>
      <c r="M250" s="103"/>
      <c r="N250" s="103"/>
      <c r="O250" s="103"/>
      <c r="P250" s="103"/>
      <c r="Q250" s="103"/>
      <c r="R250" s="83"/>
      <c r="S250" s="103"/>
      <c r="T250" s="103"/>
      <c r="U250" s="103"/>
    </row>
    <row r="251" customFormat="false" ht="22.5" hidden="false" customHeight="true" outlineLevel="0" collapsed="false">
      <c r="A251" s="99"/>
      <c r="B251" s="99"/>
      <c r="C251" s="99"/>
      <c r="D251" s="121"/>
      <c r="E251" s="99"/>
      <c r="F251" s="124"/>
      <c r="G251" s="121"/>
      <c r="H251" s="132" t="b">
        <f aca="false">FALSE()</f>
        <v>0</v>
      </c>
      <c r="I251" s="132" t="b">
        <f aca="false">FALSE()</f>
        <v>0</v>
      </c>
      <c r="J251" s="126"/>
      <c r="K251" s="99"/>
      <c r="L251" s="83"/>
      <c r="M251" s="103"/>
      <c r="N251" s="103"/>
      <c r="O251" s="103"/>
      <c r="P251" s="103"/>
      <c r="Q251" s="103"/>
      <c r="R251" s="83"/>
      <c r="S251" s="103"/>
      <c r="T251" s="103"/>
      <c r="U251" s="103"/>
    </row>
    <row r="252" customFormat="false" ht="22.5" hidden="false" customHeight="true" outlineLevel="0" collapsed="false">
      <c r="A252" s="110"/>
      <c r="B252" s="110"/>
      <c r="C252" s="110"/>
      <c r="D252" s="122"/>
      <c r="E252" s="110"/>
      <c r="F252" s="128"/>
      <c r="G252" s="122"/>
      <c r="H252" s="131" t="b">
        <f aca="false">FALSE()</f>
        <v>0</v>
      </c>
      <c r="I252" s="131" t="b">
        <f aca="false">FALSE()</f>
        <v>0</v>
      </c>
      <c r="J252" s="130"/>
      <c r="K252" s="110"/>
      <c r="L252" s="83"/>
      <c r="M252" s="103"/>
      <c r="N252" s="103"/>
      <c r="O252" s="103"/>
      <c r="P252" s="103"/>
      <c r="Q252" s="103"/>
      <c r="R252" s="83"/>
      <c r="S252" s="103"/>
      <c r="T252" s="103"/>
      <c r="U252" s="103"/>
    </row>
    <row r="253" customFormat="false" ht="22.5" hidden="false" customHeight="true" outlineLevel="0" collapsed="false">
      <c r="A253" s="99"/>
      <c r="B253" s="99"/>
      <c r="C253" s="99"/>
      <c r="D253" s="121"/>
      <c r="E253" s="99"/>
      <c r="F253" s="124"/>
      <c r="G253" s="121"/>
      <c r="H253" s="132" t="b">
        <f aca="false">FALSE()</f>
        <v>0</v>
      </c>
      <c r="I253" s="132" t="b">
        <f aca="false">FALSE()</f>
        <v>0</v>
      </c>
      <c r="J253" s="126"/>
      <c r="K253" s="99"/>
      <c r="L253" s="83"/>
      <c r="M253" s="103"/>
      <c r="N253" s="103"/>
      <c r="O253" s="103"/>
      <c r="P253" s="103"/>
      <c r="Q253" s="103"/>
      <c r="R253" s="83"/>
      <c r="S253" s="103"/>
      <c r="T253" s="103"/>
      <c r="U253" s="103"/>
    </row>
    <row r="254" customFormat="false" ht="22.5" hidden="false" customHeight="true" outlineLevel="0" collapsed="false">
      <c r="A254" s="110"/>
      <c r="B254" s="110"/>
      <c r="C254" s="110"/>
      <c r="D254" s="122"/>
      <c r="E254" s="110"/>
      <c r="F254" s="128"/>
      <c r="G254" s="122"/>
      <c r="H254" s="131" t="b">
        <f aca="false">FALSE()</f>
        <v>0</v>
      </c>
      <c r="I254" s="131" t="b">
        <f aca="false">FALSE()</f>
        <v>0</v>
      </c>
      <c r="J254" s="130"/>
      <c r="K254" s="110"/>
      <c r="L254" s="83"/>
      <c r="M254" s="103"/>
      <c r="N254" s="103"/>
      <c r="O254" s="103"/>
      <c r="P254" s="103"/>
      <c r="Q254" s="103"/>
      <c r="R254" s="83"/>
      <c r="S254" s="103"/>
      <c r="T254" s="103"/>
      <c r="U254" s="103"/>
    </row>
    <row r="255" customFormat="false" ht="22.5" hidden="false" customHeight="true" outlineLevel="0" collapsed="false">
      <c r="A255" s="99"/>
      <c r="B255" s="99"/>
      <c r="C255" s="99"/>
      <c r="D255" s="121"/>
      <c r="E255" s="99"/>
      <c r="F255" s="124"/>
      <c r="G255" s="121"/>
      <c r="H255" s="132" t="b">
        <f aca="false">FALSE()</f>
        <v>0</v>
      </c>
      <c r="I255" s="132" t="b">
        <f aca="false">FALSE()</f>
        <v>0</v>
      </c>
      <c r="J255" s="126"/>
      <c r="K255" s="99"/>
      <c r="L255" s="83"/>
      <c r="M255" s="103"/>
      <c r="N255" s="103"/>
      <c r="O255" s="103"/>
      <c r="P255" s="103"/>
      <c r="Q255" s="103"/>
      <c r="R255" s="83"/>
      <c r="S255" s="103"/>
      <c r="T255" s="103"/>
      <c r="U255" s="103"/>
    </row>
    <row r="256" customFormat="false" ht="22.5" hidden="false" customHeight="true" outlineLevel="0" collapsed="false">
      <c r="A256" s="110"/>
      <c r="B256" s="110"/>
      <c r="C256" s="110"/>
      <c r="D256" s="122"/>
      <c r="E256" s="110"/>
      <c r="F256" s="128"/>
      <c r="G256" s="122"/>
      <c r="H256" s="131" t="b">
        <f aca="false">FALSE()</f>
        <v>0</v>
      </c>
      <c r="I256" s="131" t="b">
        <f aca="false">FALSE()</f>
        <v>0</v>
      </c>
      <c r="J256" s="130"/>
      <c r="K256" s="110"/>
      <c r="L256" s="83"/>
      <c r="M256" s="103"/>
      <c r="N256" s="103"/>
      <c r="O256" s="103"/>
      <c r="P256" s="103"/>
      <c r="Q256" s="103"/>
      <c r="R256" s="83"/>
      <c r="S256" s="103"/>
      <c r="T256" s="103"/>
      <c r="U256" s="103"/>
    </row>
    <row r="257" customFormat="false" ht="22.5" hidden="false" customHeight="true" outlineLevel="0" collapsed="false">
      <c r="A257" s="99"/>
      <c r="B257" s="99"/>
      <c r="C257" s="99"/>
      <c r="D257" s="121"/>
      <c r="E257" s="99"/>
      <c r="F257" s="124"/>
      <c r="G257" s="121"/>
      <c r="H257" s="132" t="b">
        <f aca="false">FALSE()</f>
        <v>0</v>
      </c>
      <c r="I257" s="132" t="b">
        <f aca="false">FALSE()</f>
        <v>0</v>
      </c>
      <c r="J257" s="126"/>
      <c r="K257" s="99"/>
      <c r="L257" s="83"/>
      <c r="M257" s="103"/>
      <c r="N257" s="103"/>
      <c r="O257" s="103"/>
      <c r="P257" s="103"/>
      <c r="Q257" s="103"/>
      <c r="R257" s="83"/>
      <c r="S257" s="103"/>
      <c r="T257" s="103"/>
      <c r="U257" s="103"/>
    </row>
    <row r="258" customFormat="false" ht="22.5" hidden="false" customHeight="true" outlineLevel="0" collapsed="false">
      <c r="A258" s="110"/>
      <c r="B258" s="110"/>
      <c r="C258" s="110"/>
      <c r="D258" s="122"/>
      <c r="E258" s="110"/>
      <c r="F258" s="128"/>
      <c r="G258" s="122"/>
      <c r="H258" s="131" t="b">
        <f aca="false">FALSE()</f>
        <v>0</v>
      </c>
      <c r="I258" s="131" t="b">
        <f aca="false">FALSE()</f>
        <v>0</v>
      </c>
      <c r="J258" s="130"/>
      <c r="K258" s="110"/>
      <c r="L258" s="83"/>
      <c r="M258" s="103"/>
      <c r="N258" s="103"/>
      <c r="O258" s="103"/>
      <c r="P258" s="103"/>
      <c r="Q258" s="103"/>
      <c r="R258" s="83"/>
      <c r="S258" s="103"/>
      <c r="T258" s="103"/>
      <c r="U258" s="103"/>
    </row>
    <row r="259" customFormat="false" ht="22.5" hidden="false" customHeight="true" outlineLevel="0" collapsed="false">
      <c r="A259" s="99"/>
      <c r="B259" s="99"/>
      <c r="C259" s="99"/>
      <c r="D259" s="121"/>
      <c r="E259" s="99"/>
      <c r="F259" s="124"/>
      <c r="G259" s="121"/>
      <c r="H259" s="132" t="b">
        <f aca="false">FALSE()</f>
        <v>0</v>
      </c>
      <c r="I259" s="132" t="b">
        <f aca="false">FALSE()</f>
        <v>0</v>
      </c>
      <c r="J259" s="126"/>
      <c r="K259" s="99"/>
      <c r="L259" s="83"/>
      <c r="M259" s="103"/>
      <c r="N259" s="103"/>
      <c r="O259" s="103"/>
      <c r="P259" s="103"/>
      <c r="Q259" s="103"/>
      <c r="R259" s="83"/>
      <c r="S259" s="103"/>
      <c r="T259" s="103"/>
      <c r="U259" s="103"/>
    </row>
    <row r="260" customFormat="false" ht="22.5" hidden="false" customHeight="true" outlineLevel="0" collapsed="false">
      <c r="A260" s="110"/>
      <c r="B260" s="110"/>
      <c r="C260" s="110"/>
      <c r="D260" s="122"/>
      <c r="E260" s="110"/>
      <c r="F260" s="128"/>
      <c r="G260" s="122"/>
      <c r="H260" s="131" t="b">
        <f aca="false">FALSE()</f>
        <v>0</v>
      </c>
      <c r="I260" s="131" t="b">
        <f aca="false">FALSE()</f>
        <v>0</v>
      </c>
      <c r="J260" s="130"/>
      <c r="K260" s="110"/>
      <c r="L260" s="83"/>
      <c r="M260" s="103"/>
      <c r="N260" s="103"/>
      <c r="O260" s="103"/>
      <c r="P260" s="103"/>
      <c r="Q260" s="103"/>
      <c r="R260" s="83"/>
      <c r="S260" s="103"/>
      <c r="T260" s="103"/>
      <c r="U260" s="103"/>
    </row>
    <row r="261" customFormat="false" ht="22.5" hidden="false" customHeight="true" outlineLevel="0" collapsed="false">
      <c r="A261" s="99"/>
      <c r="B261" s="99"/>
      <c r="C261" s="99"/>
      <c r="D261" s="121"/>
      <c r="E261" s="99"/>
      <c r="F261" s="124"/>
      <c r="G261" s="121"/>
      <c r="H261" s="132" t="b">
        <f aca="false">FALSE()</f>
        <v>0</v>
      </c>
      <c r="I261" s="132" t="b">
        <f aca="false">FALSE()</f>
        <v>0</v>
      </c>
      <c r="J261" s="126"/>
      <c r="K261" s="99"/>
      <c r="L261" s="83"/>
      <c r="M261" s="103"/>
      <c r="N261" s="103"/>
      <c r="O261" s="103"/>
      <c r="P261" s="103"/>
      <c r="Q261" s="103"/>
      <c r="R261" s="83"/>
      <c r="S261" s="103"/>
      <c r="T261" s="103"/>
      <c r="U261" s="103"/>
    </row>
    <row r="262" customFormat="false" ht="22.5" hidden="false" customHeight="true" outlineLevel="0" collapsed="false">
      <c r="A262" s="110"/>
      <c r="B262" s="110"/>
      <c r="C262" s="110"/>
      <c r="D262" s="122"/>
      <c r="E262" s="110"/>
      <c r="F262" s="128"/>
      <c r="G262" s="122"/>
      <c r="H262" s="131" t="b">
        <f aca="false">FALSE()</f>
        <v>0</v>
      </c>
      <c r="I262" s="131" t="b">
        <f aca="false">FALSE()</f>
        <v>0</v>
      </c>
      <c r="J262" s="130"/>
      <c r="K262" s="110"/>
      <c r="L262" s="83"/>
      <c r="M262" s="103"/>
      <c r="N262" s="103"/>
      <c r="O262" s="103"/>
      <c r="P262" s="103"/>
      <c r="Q262" s="103"/>
      <c r="R262" s="83"/>
      <c r="S262" s="103"/>
      <c r="T262" s="103"/>
      <c r="U262" s="103"/>
    </row>
    <row r="263" customFormat="false" ht="22.5" hidden="false" customHeight="true" outlineLevel="0" collapsed="false">
      <c r="A263" s="99"/>
      <c r="B263" s="99"/>
      <c r="C263" s="99"/>
      <c r="D263" s="121"/>
      <c r="E263" s="99"/>
      <c r="F263" s="124"/>
      <c r="G263" s="121"/>
      <c r="H263" s="132" t="b">
        <f aca="false">FALSE()</f>
        <v>0</v>
      </c>
      <c r="I263" s="132" t="b">
        <f aca="false">FALSE()</f>
        <v>0</v>
      </c>
      <c r="J263" s="126"/>
      <c r="K263" s="99"/>
      <c r="L263" s="83"/>
      <c r="M263" s="103"/>
      <c r="N263" s="103"/>
      <c r="O263" s="103"/>
      <c r="P263" s="103"/>
      <c r="Q263" s="103"/>
      <c r="R263" s="83"/>
      <c r="S263" s="103"/>
      <c r="T263" s="103"/>
      <c r="U263" s="103"/>
    </row>
    <row r="264" customFormat="false" ht="22.5" hidden="false" customHeight="true" outlineLevel="0" collapsed="false">
      <c r="A264" s="110"/>
      <c r="B264" s="110"/>
      <c r="C264" s="110"/>
      <c r="D264" s="122"/>
      <c r="E264" s="110"/>
      <c r="F264" s="128"/>
      <c r="G264" s="122"/>
      <c r="H264" s="131" t="b">
        <f aca="false">FALSE()</f>
        <v>0</v>
      </c>
      <c r="I264" s="131" t="b">
        <f aca="false">FALSE()</f>
        <v>0</v>
      </c>
      <c r="J264" s="130"/>
      <c r="K264" s="110"/>
      <c r="L264" s="83"/>
      <c r="M264" s="103"/>
      <c r="N264" s="103"/>
      <c r="O264" s="103"/>
      <c r="P264" s="103"/>
      <c r="Q264" s="103"/>
      <c r="R264" s="83"/>
      <c r="S264" s="103"/>
      <c r="T264" s="103"/>
      <c r="U264" s="103"/>
    </row>
    <row r="265" customFormat="false" ht="22.5" hidden="false" customHeight="true" outlineLevel="0" collapsed="false">
      <c r="A265" s="99"/>
      <c r="B265" s="99"/>
      <c r="C265" s="99"/>
      <c r="D265" s="121"/>
      <c r="E265" s="99"/>
      <c r="F265" s="124"/>
      <c r="G265" s="121"/>
      <c r="H265" s="132" t="b">
        <f aca="false">FALSE()</f>
        <v>0</v>
      </c>
      <c r="I265" s="132" t="b">
        <f aca="false">FALSE()</f>
        <v>0</v>
      </c>
      <c r="J265" s="126"/>
      <c r="K265" s="99"/>
      <c r="L265" s="83"/>
      <c r="M265" s="103"/>
      <c r="N265" s="103"/>
      <c r="O265" s="103"/>
      <c r="P265" s="103"/>
      <c r="Q265" s="103"/>
      <c r="R265" s="83"/>
      <c r="S265" s="103"/>
      <c r="T265" s="103"/>
      <c r="U265" s="103"/>
    </row>
    <row r="266" customFormat="false" ht="22.5" hidden="false" customHeight="true" outlineLevel="0" collapsed="false">
      <c r="A266" s="110"/>
      <c r="B266" s="110"/>
      <c r="C266" s="110"/>
      <c r="D266" s="122"/>
      <c r="E266" s="110"/>
      <c r="F266" s="128"/>
      <c r="G266" s="122"/>
      <c r="H266" s="131" t="b">
        <f aca="false">FALSE()</f>
        <v>0</v>
      </c>
      <c r="I266" s="131" t="b">
        <f aca="false">FALSE()</f>
        <v>0</v>
      </c>
      <c r="J266" s="130"/>
      <c r="K266" s="110"/>
      <c r="L266" s="83"/>
      <c r="M266" s="103"/>
      <c r="N266" s="103"/>
      <c r="O266" s="103"/>
      <c r="P266" s="103"/>
      <c r="Q266" s="103"/>
      <c r="R266" s="83"/>
      <c r="S266" s="103"/>
      <c r="T266" s="103"/>
      <c r="U266" s="103"/>
    </row>
    <row r="267" customFormat="false" ht="22.5" hidden="false" customHeight="true" outlineLevel="0" collapsed="false">
      <c r="A267" s="99"/>
      <c r="B267" s="99"/>
      <c r="C267" s="99"/>
      <c r="D267" s="121"/>
      <c r="E267" s="99"/>
      <c r="F267" s="124"/>
      <c r="G267" s="121"/>
      <c r="H267" s="132" t="b">
        <f aca="false">FALSE()</f>
        <v>0</v>
      </c>
      <c r="I267" s="132" t="b">
        <f aca="false">FALSE()</f>
        <v>0</v>
      </c>
      <c r="J267" s="126"/>
      <c r="K267" s="99"/>
      <c r="L267" s="83"/>
      <c r="M267" s="103"/>
      <c r="N267" s="103"/>
      <c r="O267" s="103"/>
      <c r="P267" s="103"/>
      <c r="Q267" s="103"/>
      <c r="R267" s="83"/>
      <c r="S267" s="103"/>
      <c r="T267" s="103"/>
      <c r="U267" s="103"/>
    </row>
    <row r="268" customFormat="false" ht="22.5" hidden="false" customHeight="true" outlineLevel="0" collapsed="false">
      <c r="A268" s="110"/>
      <c r="B268" s="110"/>
      <c r="C268" s="110"/>
      <c r="D268" s="122"/>
      <c r="E268" s="110"/>
      <c r="F268" s="128"/>
      <c r="G268" s="122"/>
      <c r="H268" s="131" t="b">
        <f aca="false">FALSE()</f>
        <v>0</v>
      </c>
      <c r="I268" s="131" t="b">
        <f aca="false">FALSE()</f>
        <v>0</v>
      </c>
      <c r="J268" s="130"/>
      <c r="K268" s="110"/>
      <c r="L268" s="83"/>
      <c r="M268" s="103"/>
      <c r="N268" s="103"/>
      <c r="O268" s="103"/>
      <c r="P268" s="103"/>
      <c r="Q268" s="103"/>
      <c r="R268" s="83"/>
      <c r="S268" s="103"/>
      <c r="T268" s="103"/>
      <c r="U268" s="103"/>
    </row>
    <row r="269" customFormat="false" ht="22.5" hidden="false" customHeight="true" outlineLevel="0" collapsed="false">
      <c r="A269" s="99"/>
      <c r="B269" s="99"/>
      <c r="C269" s="99"/>
      <c r="D269" s="121"/>
      <c r="E269" s="99"/>
      <c r="F269" s="124"/>
      <c r="G269" s="121"/>
      <c r="H269" s="132" t="b">
        <f aca="false">FALSE()</f>
        <v>0</v>
      </c>
      <c r="I269" s="132" t="b">
        <f aca="false">FALSE()</f>
        <v>0</v>
      </c>
      <c r="J269" s="126"/>
      <c r="K269" s="99"/>
      <c r="L269" s="83"/>
      <c r="M269" s="103"/>
      <c r="N269" s="103"/>
      <c r="O269" s="103"/>
      <c r="P269" s="103"/>
      <c r="Q269" s="103"/>
      <c r="R269" s="83"/>
      <c r="S269" s="103"/>
      <c r="T269" s="103"/>
      <c r="U269" s="103"/>
    </row>
    <row r="270" customFormat="false" ht="22.5" hidden="false" customHeight="true" outlineLevel="0" collapsed="false">
      <c r="A270" s="110"/>
      <c r="B270" s="110"/>
      <c r="C270" s="110"/>
      <c r="D270" s="122"/>
      <c r="E270" s="110"/>
      <c r="F270" s="128"/>
      <c r="G270" s="122"/>
      <c r="H270" s="131" t="b">
        <f aca="false">FALSE()</f>
        <v>0</v>
      </c>
      <c r="I270" s="131" t="b">
        <f aca="false">FALSE()</f>
        <v>0</v>
      </c>
      <c r="J270" s="130"/>
      <c r="K270" s="110"/>
      <c r="L270" s="83"/>
      <c r="M270" s="103"/>
      <c r="N270" s="103"/>
      <c r="O270" s="103"/>
      <c r="P270" s="103"/>
      <c r="Q270" s="103"/>
      <c r="R270" s="83"/>
      <c r="S270" s="103"/>
      <c r="T270" s="103"/>
      <c r="U270" s="103"/>
    </row>
    <row r="271" customFormat="false" ht="22.5" hidden="false" customHeight="true" outlineLevel="0" collapsed="false">
      <c r="A271" s="99"/>
      <c r="B271" s="99"/>
      <c r="C271" s="99"/>
      <c r="D271" s="121"/>
      <c r="E271" s="99"/>
      <c r="F271" s="124"/>
      <c r="G271" s="121"/>
      <c r="H271" s="132" t="b">
        <f aca="false">FALSE()</f>
        <v>0</v>
      </c>
      <c r="I271" s="132" t="b">
        <f aca="false">FALSE()</f>
        <v>0</v>
      </c>
      <c r="J271" s="126"/>
      <c r="K271" s="99"/>
      <c r="L271" s="83"/>
      <c r="M271" s="103"/>
      <c r="N271" s="103"/>
      <c r="O271" s="103"/>
      <c r="P271" s="103"/>
      <c r="Q271" s="103"/>
      <c r="R271" s="83"/>
      <c r="S271" s="103"/>
      <c r="T271" s="103"/>
      <c r="U271" s="103"/>
    </row>
    <row r="272" customFormat="false" ht="22.5" hidden="false" customHeight="true" outlineLevel="0" collapsed="false">
      <c r="A272" s="110"/>
      <c r="B272" s="110"/>
      <c r="C272" s="110"/>
      <c r="D272" s="122"/>
      <c r="E272" s="110"/>
      <c r="F272" s="128"/>
      <c r="G272" s="122"/>
      <c r="H272" s="131" t="b">
        <f aca="false">FALSE()</f>
        <v>0</v>
      </c>
      <c r="I272" s="131" t="b">
        <f aca="false">FALSE()</f>
        <v>0</v>
      </c>
      <c r="J272" s="130"/>
      <c r="K272" s="110"/>
      <c r="L272" s="83"/>
      <c r="M272" s="103"/>
      <c r="N272" s="103"/>
      <c r="O272" s="103"/>
      <c r="P272" s="103"/>
      <c r="Q272" s="103"/>
      <c r="R272" s="83"/>
      <c r="S272" s="103"/>
      <c r="T272" s="103"/>
      <c r="U272" s="103"/>
    </row>
    <row r="273" customFormat="false" ht="22.5" hidden="false" customHeight="true" outlineLevel="0" collapsed="false">
      <c r="A273" s="99"/>
      <c r="B273" s="99"/>
      <c r="C273" s="99"/>
      <c r="D273" s="121"/>
      <c r="E273" s="99"/>
      <c r="F273" s="124"/>
      <c r="G273" s="121"/>
      <c r="H273" s="132" t="b">
        <f aca="false">FALSE()</f>
        <v>0</v>
      </c>
      <c r="I273" s="132" t="b">
        <f aca="false">FALSE()</f>
        <v>0</v>
      </c>
      <c r="J273" s="126"/>
      <c r="K273" s="99"/>
      <c r="L273" s="83"/>
      <c r="M273" s="103"/>
      <c r="N273" s="103"/>
      <c r="O273" s="103"/>
      <c r="P273" s="103"/>
      <c r="Q273" s="103"/>
      <c r="R273" s="83"/>
      <c r="S273" s="103"/>
      <c r="T273" s="103"/>
      <c r="U273" s="103"/>
    </row>
    <row r="274" customFormat="false" ht="22.5" hidden="false" customHeight="true" outlineLevel="0" collapsed="false">
      <c r="A274" s="110"/>
      <c r="B274" s="110"/>
      <c r="C274" s="110"/>
      <c r="D274" s="122"/>
      <c r="E274" s="110"/>
      <c r="F274" s="128"/>
      <c r="G274" s="122"/>
      <c r="H274" s="131" t="b">
        <f aca="false">FALSE()</f>
        <v>0</v>
      </c>
      <c r="I274" s="131" t="b">
        <f aca="false">FALSE()</f>
        <v>0</v>
      </c>
      <c r="J274" s="130"/>
      <c r="K274" s="110"/>
      <c r="L274" s="83"/>
      <c r="M274" s="103"/>
      <c r="N274" s="103"/>
      <c r="O274" s="103"/>
      <c r="P274" s="103"/>
      <c r="Q274" s="103"/>
      <c r="R274" s="83"/>
      <c r="S274" s="103"/>
      <c r="T274" s="103"/>
      <c r="U274" s="103"/>
    </row>
    <row r="275" customFormat="false" ht="22.5" hidden="false" customHeight="true" outlineLevel="0" collapsed="false">
      <c r="A275" s="99"/>
      <c r="B275" s="99"/>
      <c r="C275" s="99"/>
      <c r="D275" s="121"/>
      <c r="E275" s="99"/>
      <c r="F275" s="124"/>
      <c r="G275" s="121"/>
      <c r="H275" s="132" t="b">
        <f aca="false">FALSE()</f>
        <v>0</v>
      </c>
      <c r="I275" s="132" t="b">
        <f aca="false">FALSE()</f>
        <v>0</v>
      </c>
      <c r="J275" s="126"/>
      <c r="K275" s="99"/>
      <c r="L275" s="83"/>
      <c r="M275" s="103"/>
      <c r="N275" s="103"/>
      <c r="O275" s="103"/>
      <c r="P275" s="103"/>
      <c r="Q275" s="103"/>
      <c r="R275" s="83"/>
      <c r="S275" s="103"/>
      <c r="T275" s="103"/>
      <c r="U275" s="103"/>
    </row>
    <row r="276" customFormat="false" ht="22.5" hidden="false" customHeight="true" outlineLevel="0" collapsed="false">
      <c r="A276" s="110"/>
      <c r="B276" s="110"/>
      <c r="C276" s="110"/>
      <c r="D276" s="122"/>
      <c r="E276" s="110"/>
      <c r="F276" s="128"/>
      <c r="G276" s="122"/>
      <c r="H276" s="131" t="b">
        <f aca="false">FALSE()</f>
        <v>0</v>
      </c>
      <c r="I276" s="131" t="b">
        <f aca="false">FALSE()</f>
        <v>0</v>
      </c>
      <c r="J276" s="130"/>
      <c r="K276" s="110"/>
      <c r="L276" s="83"/>
      <c r="M276" s="103"/>
      <c r="N276" s="103"/>
      <c r="O276" s="103"/>
      <c r="P276" s="103"/>
      <c r="Q276" s="103"/>
      <c r="R276" s="83"/>
      <c r="S276" s="103"/>
      <c r="T276" s="103"/>
      <c r="U276" s="103"/>
    </row>
    <row r="277" customFormat="false" ht="22.5" hidden="false" customHeight="true" outlineLevel="0" collapsed="false">
      <c r="A277" s="99"/>
      <c r="B277" s="99"/>
      <c r="C277" s="99"/>
      <c r="D277" s="121"/>
      <c r="E277" s="99"/>
      <c r="F277" s="124"/>
      <c r="G277" s="121"/>
      <c r="H277" s="132" t="b">
        <f aca="false">FALSE()</f>
        <v>0</v>
      </c>
      <c r="I277" s="132" t="b">
        <f aca="false">FALSE()</f>
        <v>0</v>
      </c>
      <c r="J277" s="126"/>
      <c r="K277" s="99"/>
      <c r="L277" s="83"/>
      <c r="M277" s="103"/>
      <c r="N277" s="103"/>
      <c r="O277" s="103"/>
      <c r="P277" s="103"/>
      <c r="Q277" s="103"/>
      <c r="R277" s="83"/>
      <c r="S277" s="103"/>
      <c r="T277" s="103"/>
      <c r="U277" s="103"/>
    </row>
    <row r="278" customFormat="false" ht="22.5" hidden="false" customHeight="true" outlineLevel="0" collapsed="false">
      <c r="A278" s="110"/>
      <c r="B278" s="110"/>
      <c r="C278" s="110"/>
      <c r="D278" s="122"/>
      <c r="E278" s="110"/>
      <c r="F278" s="128"/>
      <c r="G278" s="122"/>
      <c r="H278" s="131" t="b">
        <f aca="false">FALSE()</f>
        <v>0</v>
      </c>
      <c r="I278" s="131" t="b">
        <f aca="false">FALSE()</f>
        <v>0</v>
      </c>
      <c r="J278" s="130"/>
      <c r="K278" s="110"/>
      <c r="L278" s="83"/>
      <c r="M278" s="103"/>
      <c r="N278" s="103"/>
      <c r="O278" s="103"/>
      <c r="P278" s="103"/>
      <c r="Q278" s="103"/>
      <c r="R278" s="83"/>
      <c r="S278" s="103"/>
      <c r="T278" s="103"/>
      <c r="U278" s="103"/>
    </row>
    <row r="279" customFormat="false" ht="22.5" hidden="false" customHeight="true" outlineLevel="0" collapsed="false">
      <c r="A279" s="99"/>
      <c r="B279" s="99"/>
      <c r="C279" s="99"/>
      <c r="D279" s="121"/>
      <c r="E279" s="99"/>
      <c r="F279" s="124"/>
      <c r="G279" s="121"/>
      <c r="H279" s="132" t="b">
        <f aca="false">FALSE()</f>
        <v>0</v>
      </c>
      <c r="I279" s="132" t="b">
        <f aca="false">FALSE()</f>
        <v>0</v>
      </c>
      <c r="J279" s="126"/>
      <c r="K279" s="99"/>
      <c r="L279" s="83"/>
      <c r="M279" s="103"/>
      <c r="N279" s="103"/>
      <c r="O279" s="103"/>
      <c r="P279" s="103"/>
      <c r="Q279" s="103"/>
      <c r="R279" s="83"/>
      <c r="S279" s="103"/>
      <c r="T279" s="103"/>
      <c r="U279" s="103"/>
    </row>
    <row r="280" customFormat="false" ht="22.5" hidden="false" customHeight="true" outlineLevel="0" collapsed="false">
      <c r="A280" s="110"/>
      <c r="B280" s="110"/>
      <c r="C280" s="110"/>
      <c r="D280" s="122"/>
      <c r="E280" s="110"/>
      <c r="F280" s="128"/>
      <c r="G280" s="122"/>
      <c r="H280" s="131" t="b">
        <f aca="false">FALSE()</f>
        <v>0</v>
      </c>
      <c r="I280" s="131" t="b">
        <f aca="false">FALSE()</f>
        <v>0</v>
      </c>
      <c r="J280" s="130"/>
      <c r="K280" s="110"/>
      <c r="L280" s="83"/>
      <c r="M280" s="103"/>
      <c r="N280" s="103"/>
      <c r="O280" s="103"/>
      <c r="P280" s="103"/>
      <c r="Q280" s="103"/>
      <c r="R280" s="83"/>
      <c r="S280" s="103"/>
      <c r="T280" s="103"/>
      <c r="U280" s="103"/>
    </row>
    <row r="281" customFormat="false" ht="22.5" hidden="false" customHeight="true" outlineLevel="0" collapsed="false">
      <c r="A281" s="99"/>
      <c r="B281" s="99"/>
      <c r="C281" s="99"/>
      <c r="D281" s="121"/>
      <c r="E281" s="99"/>
      <c r="F281" s="124"/>
      <c r="G281" s="121"/>
      <c r="H281" s="132" t="b">
        <f aca="false">FALSE()</f>
        <v>0</v>
      </c>
      <c r="I281" s="132" t="b">
        <f aca="false">FALSE()</f>
        <v>0</v>
      </c>
      <c r="J281" s="126"/>
      <c r="K281" s="99"/>
      <c r="L281" s="83"/>
      <c r="M281" s="103"/>
      <c r="N281" s="103"/>
      <c r="O281" s="103"/>
      <c r="P281" s="103"/>
      <c r="Q281" s="103"/>
      <c r="R281" s="83"/>
      <c r="S281" s="103"/>
      <c r="T281" s="103"/>
      <c r="U281" s="103"/>
    </row>
    <row r="282" customFormat="false" ht="22.5" hidden="false" customHeight="true" outlineLevel="0" collapsed="false">
      <c r="A282" s="110"/>
      <c r="B282" s="110"/>
      <c r="C282" s="110"/>
      <c r="D282" s="122"/>
      <c r="E282" s="110"/>
      <c r="F282" s="128"/>
      <c r="G282" s="122"/>
      <c r="H282" s="131" t="b">
        <f aca="false">FALSE()</f>
        <v>0</v>
      </c>
      <c r="I282" s="131" t="b">
        <f aca="false">FALSE()</f>
        <v>0</v>
      </c>
      <c r="J282" s="130"/>
      <c r="K282" s="110"/>
      <c r="L282" s="83"/>
      <c r="M282" s="103"/>
      <c r="N282" s="103"/>
      <c r="O282" s="103"/>
      <c r="P282" s="103"/>
      <c r="Q282" s="103"/>
      <c r="R282" s="83"/>
      <c r="S282" s="103"/>
      <c r="T282" s="103"/>
      <c r="U282" s="103"/>
    </row>
    <row r="283" customFormat="false" ht="22.5" hidden="false" customHeight="true" outlineLevel="0" collapsed="false">
      <c r="A283" s="99"/>
      <c r="B283" s="99"/>
      <c r="C283" s="99"/>
      <c r="D283" s="121"/>
      <c r="E283" s="99"/>
      <c r="F283" s="124"/>
      <c r="G283" s="121"/>
      <c r="H283" s="132" t="b">
        <f aca="false">FALSE()</f>
        <v>0</v>
      </c>
      <c r="I283" s="132" t="b">
        <f aca="false">FALSE()</f>
        <v>0</v>
      </c>
      <c r="J283" s="126"/>
      <c r="K283" s="99"/>
      <c r="L283" s="83"/>
      <c r="M283" s="103"/>
      <c r="N283" s="103"/>
      <c r="O283" s="103"/>
      <c r="P283" s="103"/>
      <c r="Q283" s="103"/>
      <c r="R283" s="83"/>
      <c r="S283" s="103"/>
      <c r="T283" s="103"/>
      <c r="U283" s="103"/>
    </row>
    <row r="284" customFormat="false" ht="22.5" hidden="false" customHeight="true" outlineLevel="0" collapsed="false">
      <c r="A284" s="110"/>
      <c r="B284" s="110"/>
      <c r="C284" s="110"/>
      <c r="D284" s="122"/>
      <c r="E284" s="110"/>
      <c r="F284" s="128"/>
      <c r="G284" s="122"/>
      <c r="H284" s="131" t="b">
        <f aca="false">FALSE()</f>
        <v>0</v>
      </c>
      <c r="I284" s="131" t="b">
        <f aca="false">FALSE()</f>
        <v>0</v>
      </c>
      <c r="J284" s="130"/>
      <c r="K284" s="110"/>
      <c r="L284" s="83"/>
      <c r="M284" s="103"/>
      <c r="N284" s="103"/>
      <c r="O284" s="103"/>
      <c r="P284" s="103"/>
      <c r="Q284" s="103"/>
      <c r="R284" s="83"/>
      <c r="S284" s="103"/>
      <c r="T284" s="103"/>
      <c r="U284" s="103"/>
    </row>
    <row r="285" customFormat="false" ht="22.5" hidden="false" customHeight="true" outlineLevel="0" collapsed="false">
      <c r="A285" s="99"/>
      <c r="B285" s="99"/>
      <c r="C285" s="99"/>
      <c r="D285" s="121"/>
      <c r="E285" s="99"/>
      <c r="F285" s="124"/>
      <c r="G285" s="121"/>
      <c r="H285" s="132" t="b">
        <f aca="false">FALSE()</f>
        <v>0</v>
      </c>
      <c r="I285" s="132" t="b">
        <f aca="false">FALSE()</f>
        <v>0</v>
      </c>
      <c r="J285" s="126"/>
      <c r="K285" s="99"/>
      <c r="L285" s="83"/>
      <c r="M285" s="103"/>
      <c r="N285" s="103"/>
      <c r="O285" s="103"/>
      <c r="P285" s="103"/>
      <c r="Q285" s="103"/>
      <c r="R285" s="83"/>
      <c r="S285" s="103"/>
      <c r="T285" s="103"/>
      <c r="U285" s="103"/>
    </row>
    <row r="286" customFormat="false" ht="22.5" hidden="false" customHeight="true" outlineLevel="0" collapsed="false">
      <c r="A286" s="110"/>
      <c r="B286" s="110"/>
      <c r="C286" s="110"/>
      <c r="D286" s="122"/>
      <c r="E286" s="110"/>
      <c r="F286" s="128"/>
      <c r="G286" s="122"/>
      <c r="H286" s="131" t="b">
        <f aca="false">FALSE()</f>
        <v>0</v>
      </c>
      <c r="I286" s="131" t="b">
        <f aca="false">FALSE()</f>
        <v>0</v>
      </c>
      <c r="J286" s="130"/>
      <c r="K286" s="110"/>
      <c r="L286" s="83"/>
      <c r="M286" s="103"/>
      <c r="N286" s="103"/>
      <c r="O286" s="103"/>
      <c r="P286" s="103"/>
      <c r="Q286" s="103"/>
      <c r="R286" s="83"/>
      <c r="S286" s="103"/>
      <c r="T286" s="103"/>
      <c r="U286" s="103"/>
    </row>
    <row r="287" customFormat="false" ht="22.5" hidden="false" customHeight="true" outlineLevel="0" collapsed="false">
      <c r="A287" s="99"/>
      <c r="B287" s="99"/>
      <c r="C287" s="99"/>
      <c r="D287" s="121"/>
      <c r="E287" s="99"/>
      <c r="F287" s="124"/>
      <c r="G287" s="121"/>
      <c r="H287" s="132" t="b">
        <f aca="false">FALSE()</f>
        <v>0</v>
      </c>
      <c r="I287" s="132" t="b">
        <f aca="false">FALSE()</f>
        <v>0</v>
      </c>
      <c r="J287" s="126"/>
      <c r="K287" s="99"/>
      <c r="L287" s="83"/>
      <c r="M287" s="103"/>
      <c r="N287" s="103"/>
      <c r="O287" s="103"/>
      <c r="P287" s="103"/>
      <c r="Q287" s="103"/>
      <c r="R287" s="83"/>
      <c r="S287" s="103"/>
      <c r="T287" s="103"/>
      <c r="U287" s="103"/>
    </row>
    <row r="288" customFormat="false" ht="22.5" hidden="false" customHeight="true" outlineLevel="0" collapsed="false">
      <c r="A288" s="110"/>
      <c r="B288" s="110"/>
      <c r="C288" s="110"/>
      <c r="D288" s="122"/>
      <c r="E288" s="110"/>
      <c r="F288" s="128"/>
      <c r="G288" s="122"/>
      <c r="H288" s="131" t="b">
        <f aca="false">FALSE()</f>
        <v>0</v>
      </c>
      <c r="I288" s="131" t="b">
        <f aca="false">FALSE()</f>
        <v>0</v>
      </c>
      <c r="J288" s="130"/>
      <c r="K288" s="110"/>
      <c r="L288" s="83"/>
      <c r="M288" s="103"/>
      <c r="N288" s="103"/>
      <c r="O288" s="103"/>
      <c r="P288" s="103"/>
      <c r="Q288" s="103"/>
      <c r="R288" s="83"/>
      <c r="S288" s="103"/>
      <c r="T288" s="103"/>
      <c r="U288" s="103"/>
    </row>
    <row r="289" customFormat="false" ht="22.5" hidden="false" customHeight="true" outlineLevel="0" collapsed="false">
      <c r="A289" s="99"/>
      <c r="B289" s="99"/>
      <c r="C289" s="99"/>
      <c r="D289" s="121"/>
      <c r="E289" s="99"/>
      <c r="F289" s="124"/>
      <c r="G289" s="121"/>
      <c r="H289" s="132" t="b">
        <f aca="false">FALSE()</f>
        <v>0</v>
      </c>
      <c r="I289" s="132" t="b">
        <f aca="false">FALSE()</f>
        <v>0</v>
      </c>
      <c r="J289" s="126"/>
      <c r="K289" s="99"/>
      <c r="L289" s="83"/>
      <c r="M289" s="103"/>
      <c r="N289" s="103"/>
      <c r="O289" s="103"/>
      <c r="P289" s="103"/>
      <c r="Q289" s="103"/>
      <c r="R289" s="83"/>
      <c r="S289" s="103"/>
      <c r="T289" s="103"/>
      <c r="U289" s="103"/>
    </row>
    <row r="290" customFormat="false" ht="22.5" hidden="false" customHeight="true" outlineLevel="0" collapsed="false">
      <c r="A290" s="110"/>
      <c r="B290" s="110"/>
      <c r="C290" s="110"/>
      <c r="D290" s="122"/>
      <c r="E290" s="110"/>
      <c r="F290" s="128"/>
      <c r="G290" s="122"/>
      <c r="H290" s="131" t="b">
        <f aca="false">FALSE()</f>
        <v>0</v>
      </c>
      <c r="I290" s="131" t="b">
        <f aca="false">FALSE()</f>
        <v>0</v>
      </c>
      <c r="J290" s="130"/>
      <c r="K290" s="110"/>
      <c r="L290" s="83"/>
      <c r="M290" s="103"/>
      <c r="N290" s="103"/>
      <c r="O290" s="103"/>
      <c r="P290" s="103"/>
      <c r="Q290" s="103"/>
      <c r="R290" s="83"/>
      <c r="S290" s="103"/>
      <c r="T290" s="103"/>
      <c r="U290" s="103"/>
    </row>
    <row r="291" customFormat="false" ht="22.5" hidden="false" customHeight="true" outlineLevel="0" collapsed="false">
      <c r="A291" s="99"/>
      <c r="B291" s="99"/>
      <c r="C291" s="99"/>
      <c r="D291" s="121"/>
      <c r="E291" s="99"/>
      <c r="F291" s="124"/>
      <c r="G291" s="121"/>
      <c r="H291" s="132" t="b">
        <f aca="false">FALSE()</f>
        <v>0</v>
      </c>
      <c r="I291" s="132" t="b">
        <f aca="false">FALSE()</f>
        <v>0</v>
      </c>
      <c r="J291" s="126"/>
      <c r="K291" s="99"/>
      <c r="L291" s="83"/>
      <c r="M291" s="103"/>
      <c r="N291" s="103"/>
      <c r="O291" s="103"/>
      <c r="P291" s="103"/>
      <c r="Q291" s="103"/>
      <c r="R291" s="83"/>
      <c r="S291" s="103"/>
      <c r="T291" s="103"/>
      <c r="U291" s="103"/>
    </row>
    <row r="292" customFormat="false" ht="22.5" hidden="false" customHeight="true" outlineLevel="0" collapsed="false">
      <c r="A292" s="110"/>
      <c r="B292" s="110"/>
      <c r="C292" s="110"/>
      <c r="D292" s="122"/>
      <c r="E292" s="110"/>
      <c r="F292" s="128"/>
      <c r="G292" s="122"/>
      <c r="H292" s="131" t="b">
        <f aca="false">FALSE()</f>
        <v>0</v>
      </c>
      <c r="I292" s="131" t="b">
        <f aca="false">FALSE()</f>
        <v>0</v>
      </c>
      <c r="J292" s="130"/>
      <c r="K292" s="110"/>
      <c r="L292" s="83"/>
      <c r="M292" s="103"/>
      <c r="N292" s="103"/>
      <c r="O292" s="103"/>
      <c r="P292" s="103"/>
      <c r="Q292" s="103"/>
      <c r="R292" s="83"/>
      <c r="S292" s="103"/>
      <c r="T292" s="103"/>
      <c r="U292" s="103"/>
    </row>
    <row r="293" customFormat="false" ht="22.5" hidden="false" customHeight="true" outlineLevel="0" collapsed="false">
      <c r="A293" s="99"/>
      <c r="B293" s="99"/>
      <c r="C293" s="99"/>
      <c r="D293" s="121"/>
      <c r="E293" s="99"/>
      <c r="F293" s="124"/>
      <c r="G293" s="121"/>
      <c r="H293" s="132" t="b">
        <f aca="false">FALSE()</f>
        <v>0</v>
      </c>
      <c r="I293" s="132" t="b">
        <f aca="false">FALSE()</f>
        <v>0</v>
      </c>
      <c r="J293" s="126"/>
      <c r="K293" s="99"/>
      <c r="L293" s="83"/>
      <c r="M293" s="103"/>
      <c r="N293" s="103"/>
      <c r="O293" s="103"/>
      <c r="P293" s="103"/>
      <c r="Q293" s="103"/>
      <c r="R293" s="83"/>
      <c r="S293" s="103"/>
      <c r="T293" s="103"/>
      <c r="U293" s="103"/>
    </row>
    <row r="294" customFormat="false" ht="22.5" hidden="false" customHeight="true" outlineLevel="0" collapsed="false">
      <c r="A294" s="110"/>
      <c r="B294" s="110"/>
      <c r="C294" s="110"/>
      <c r="D294" s="122"/>
      <c r="E294" s="110"/>
      <c r="F294" s="128"/>
      <c r="G294" s="122"/>
      <c r="H294" s="131" t="b">
        <f aca="false">FALSE()</f>
        <v>0</v>
      </c>
      <c r="I294" s="131" t="b">
        <f aca="false">FALSE()</f>
        <v>0</v>
      </c>
      <c r="J294" s="130"/>
      <c r="K294" s="110"/>
      <c r="L294" s="83"/>
      <c r="M294" s="103"/>
      <c r="N294" s="103"/>
      <c r="O294" s="103"/>
      <c r="P294" s="103"/>
      <c r="Q294" s="103"/>
      <c r="R294" s="83"/>
      <c r="S294" s="103"/>
      <c r="T294" s="103"/>
      <c r="U294" s="103"/>
    </row>
    <row r="295" customFormat="false" ht="22.5" hidden="false" customHeight="true" outlineLevel="0" collapsed="false">
      <c r="A295" s="99"/>
      <c r="B295" s="99"/>
      <c r="C295" s="99"/>
      <c r="D295" s="121"/>
      <c r="E295" s="99"/>
      <c r="F295" s="124"/>
      <c r="G295" s="121"/>
      <c r="H295" s="132" t="b">
        <f aca="false">FALSE()</f>
        <v>0</v>
      </c>
      <c r="I295" s="132" t="b">
        <f aca="false">FALSE()</f>
        <v>0</v>
      </c>
      <c r="J295" s="126"/>
      <c r="K295" s="99"/>
      <c r="L295" s="83"/>
      <c r="M295" s="103"/>
      <c r="N295" s="103"/>
      <c r="O295" s="103"/>
      <c r="P295" s="103"/>
      <c r="Q295" s="103"/>
      <c r="R295" s="83"/>
      <c r="S295" s="103"/>
      <c r="T295" s="103"/>
      <c r="U295" s="103"/>
    </row>
    <row r="296" customFormat="false" ht="22.5" hidden="false" customHeight="true" outlineLevel="0" collapsed="false">
      <c r="A296" s="110"/>
      <c r="B296" s="110"/>
      <c r="C296" s="110"/>
      <c r="D296" s="122"/>
      <c r="E296" s="110"/>
      <c r="F296" s="128"/>
      <c r="G296" s="122"/>
      <c r="H296" s="131" t="b">
        <f aca="false">FALSE()</f>
        <v>0</v>
      </c>
      <c r="I296" s="131" t="b">
        <f aca="false">FALSE()</f>
        <v>0</v>
      </c>
      <c r="J296" s="130"/>
      <c r="K296" s="110"/>
      <c r="L296" s="83"/>
      <c r="M296" s="103"/>
      <c r="N296" s="103"/>
      <c r="O296" s="103"/>
      <c r="P296" s="103"/>
      <c r="Q296" s="103"/>
      <c r="R296" s="83"/>
      <c r="S296" s="103"/>
      <c r="T296" s="103"/>
      <c r="U296" s="103"/>
    </row>
    <row r="297" customFormat="false" ht="22.5" hidden="false" customHeight="true" outlineLevel="0" collapsed="false">
      <c r="A297" s="99"/>
      <c r="B297" s="99"/>
      <c r="C297" s="99"/>
      <c r="D297" s="121"/>
      <c r="E297" s="99"/>
      <c r="F297" s="124"/>
      <c r="G297" s="121"/>
      <c r="H297" s="132" t="b">
        <f aca="false">FALSE()</f>
        <v>0</v>
      </c>
      <c r="I297" s="132" t="b">
        <f aca="false">FALSE()</f>
        <v>0</v>
      </c>
      <c r="J297" s="126"/>
      <c r="K297" s="99"/>
      <c r="L297" s="83"/>
      <c r="M297" s="103"/>
      <c r="N297" s="103"/>
      <c r="O297" s="103"/>
      <c r="P297" s="103"/>
      <c r="Q297" s="103"/>
      <c r="R297" s="83"/>
      <c r="S297" s="103"/>
      <c r="T297" s="103"/>
      <c r="U297" s="103"/>
    </row>
    <row r="298" customFormat="false" ht="22.5" hidden="false" customHeight="true" outlineLevel="0" collapsed="false">
      <c r="A298" s="110"/>
      <c r="B298" s="110"/>
      <c r="C298" s="110"/>
      <c r="D298" s="122"/>
      <c r="E298" s="110"/>
      <c r="F298" s="128"/>
      <c r="G298" s="122"/>
      <c r="H298" s="131" t="b">
        <f aca="false">FALSE()</f>
        <v>0</v>
      </c>
      <c r="I298" s="131" t="b">
        <f aca="false">FALSE()</f>
        <v>0</v>
      </c>
      <c r="J298" s="130"/>
      <c r="K298" s="110"/>
      <c r="L298" s="83"/>
      <c r="M298" s="103"/>
      <c r="N298" s="103"/>
      <c r="O298" s="103"/>
      <c r="P298" s="103"/>
      <c r="Q298" s="103"/>
      <c r="R298" s="83"/>
      <c r="S298" s="103"/>
      <c r="T298" s="103"/>
      <c r="U298" s="103"/>
    </row>
    <row r="299" customFormat="false" ht="22.5" hidden="false" customHeight="true" outlineLevel="0" collapsed="false">
      <c r="A299" s="99"/>
      <c r="B299" s="99"/>
      <c r="C299" s="99"/>
      <c r="D299" s="121"/>
      <c r="E299" s="99"/>
      <c r="F299" s="124"/>
      <c r="G299" s="121"/>
      <c r="H299" s="132" t="b">
        <f aca="false">FALSE()</f>
        <v>0</v>
      </c>
      <c r="I299" s="132" t="b">
        <f aca="false">FALSE()</f>
        <v>0</v>
      </c>
      <c r="J299" s="126"/>
      <c r="K299" s="99"/>
      <c r="L299" s="83"/>
      <c r="M299" s="103"/>
      <c r="N299" s="103"/>
      <c r="O299" s="103"/>
      <c r="P299" s="103"/>
      <c r="Q299" s="103"/>
      <c r="R299" s="83"/>
      <c r="S299" s="103"/>
      <c r="T299" s="103"/>
      <c r="U299" s="103"/>
    </row>
    <row r="300" customFormat="false" ht="22.5" hidden="false" customHeight="true" outlineLevel="0" collapsed="false">
      <c r="A300" s="110"/>
      <c r="B300" s="110"/>
      <c r="C300" s="110"/>
      <c r="D300" s="122"/>
      <c r="E300" s="110"/>
      <c r="F300" s="128"/>
      <c r="G300" s="122"/>
      <c r="H300" s="131" t="b">
        <f aca="false">FALSE()</f>
        <v>0</v>
      </c>
      <c r="I300" s="131" t="b">
        <f aca="false">FALSE()</f>
        <v>0</v>
      </c>
      <c r="J300" s="130"/>
      <c r="K300" s="110"/>
      <c r="L300" s="83"/>
      <c r="M300" s="103"/>
      <c r="N300" s="103"/>
      <c r="O300" s="103"/>
      <c r="P300" s="103"/>
      <c r="Q300" s="103"/>
      <c r="R300" s="83"/>
      <c r="S300" s="103"/>
      <c r="T300" s="103"/>
      <c r="U300" s="103"/>
    </row>
    <row r="301" customFormat="false" ht="22.5" hidden="false" customHeight="true" outlineLevel="0" collapsed="false">
      <c r="A301" s="99"/>
      <c r="B301" s="99"/>
      <c r="C301" s="99"/>
      <c r="D301" s="121"/>
      <c r="E301" s="99"/>
      <c r="F301" s="124"/>
      <c r="G301" s="121"/>
      <c r="H301" s="132" t="b">
        <f aca="false">FALSE()</f>
        <v>0</v>
      </c>
      <c r="I301" s="132" t="b">
        <f aca="false">FALSE()</f>
        <v>0</v>
      </c>
      <c r="J301" s="126"/>
      <c r="K301" s="99"/>
      <c r="L301" s="83"/>
      <c r="M301" s="103"/>
      <c r="N301" s="103"/>
      <c r="O301" s="103"/>
      <c r="P301" s="103"/>
      <c r="Q301" s="103"/>
      <c r="R301" s="83"/>
      <c r="S301" s="103"/>
      <c r="T301" s="103"/>
      <c r="U301" s="103"/>
    </row>
    <row r="302" customFormat="false" ht="22.5" hidden="false" customHeight="true" outlineLevel="0" collapsed="false">
      <c r="A302" s="110"/>
      <c r="B302" s="110"/>
      <c r="C302" s="110"/>
      <c r="D302" s="122"/>
      <c r="E302" s="110"/>
      <c r="F302" s="128"/>
      <c r="G302" s="122"/>
      <c r="H302" s="131" t="b">
        <f aca="false">FALSE()</f>
        <v>0</v>
      </c>
      <c r="I302" s="131" t="b">
        <f aca="false">FALSE()</f>
        <v>0</v>
      </c>
      <c r="J302" s="130"/>
      <c r="K302" s="110"/>
      <c r="L302" s="83"/>
      <c r="M302" s="103"/>
      <c r="N302" s="103"/>
      <c r="O302" s="103"/>
      <c r="P302" s="103"/>
      <c r="Q302" s="103"/>
      <c r="R302" s="83"/>
      <c r="S302" s="103"/>
      <c r="T302" s="103"/>
      <c r="U302" s="103"/>
    </row>
    <row r="303" customFormat="false" ht="22.5" hidden="false" customHeight="true" outlineLevel="0" collapsed="false">
      <c r="A303" s="99"/>
      <c r="B303" s="99"/>
      <c r="C303" s="99"/>
      <c r="D303" s="121"/>
      <c r="E303" s="99"/>
      <c r="F303" s="124"/>
      <c r="G303" s="121"/>
      <c r="H303" s="132" t="b">
        <f aca="false">FALSE()</f>
        <v>0</v>
      </c>
      <c r="I303" s="132" t="b">
        <f aca="false">FALSE()</f>
        <v>0</v>
      </c>
      <c r="J303" s="126"/>
      <c r="K303" s="99"/>
      <c r="L303" s="83"/>
      <c r="M303" s="103"/>
      <c r="N303" s="103"/>
      <c r="O303" s="103"/>
      <c r="P303" s="103"/>
      <c r="Q303" s="103"/>
      <c r="R303" s="83"/>
      <c r="S303" s="103"/>
      <c r="T303" s="103"/>
      <c r="U303" s="103"/>
    </row>
    <row r="304" customFormat="false" ht="22.5" hidden="false" customHeight="true" outlineLevel="0" collapsed="false">
      <c r="A304" s="110"/>
      <c r="B304" s="110"/>
      <c r="C304" s="110"/>
      <c r="D304" s="122"/>
      <c r="E304" s="110"/>
      <c r="F304" s="128"/>
      <c r="G304" s="122"/>
      <c r="H304" s="131" t="b">
        <f aca="false">FALSE()</f>
        <v>0</v>
      </c>
      <c r="I304" s="131" t="b">
        <f aca="false">FALSE()</f>
        <v>0</v>
      </c>
      <c r="J304" s="130"/>
      <c r="K304" s="110"/>
      <c r="L304" s="83"/>
      <c r="M304" s="103"/>
      <c r="N304" s="103"/>
      <c r="O304" s="103"/>
      <c r="P304" s="103"/>
      <c r="Q304" s="103"/>
      <c r="R304" s="83"/>
      <c r="S304" s="103"/>
      <c r="T304" s="103"/>
      <c r="U304" s="103"/>
    </row>
    <row r="305" customFormat="false" ht="22.5" hidden="false" customHeight="true" outlineLevel="0" collapsed="false">
      <c r="A305" s="99"/>
      <c r="B305" s="99"/>
      <c r="C305" s="99"/>
      <c r="D305" s="121"/>
      <c r="E305" s="99"/>
      <c r="F305" s="124"/>
      <c r="G305" s="121"/>
      <c r="H305" s="132" t="b">
        <f aca="false">FALSE()</f>
        <v>0</v>
      </c>
      <c r="I305" s="132" t="b">
        <f aca="false">FALSE()</f>
        <v>0</v>
      </c>
      <c r="J305" s="126"/>
      <c r="K305" s="99"/>
      <c r="L305" s="83"/>
      <c r="M305" s="103"/>
      <c r="N305" s="103"/>
      <c r="O305" s="103"/>
      <c r="P305" s="103"/>
      <c r="Q305" s="103"/>
      <c r="R305" s="83"/>
      <c r="S305" s="103"/>
      <c r="T305" s="103"/>
      <c r="U305" s="103"/>
    </row>
    <row r="306" customFormat="false" ht="22.5" hidden="false" customHeight="true" outlineLevel="0" collapsed="false">
      <c r="A306" s="110"/>
      <c r="B306" s="110"/>
      <c r="C306" s="110"/>
      <c r="D306" s="122"/>
      <c r="E306" s="110"/>
      <c r="F306" s="128"/>
      <c r="G306" s="122"/>
      <c r="H306" s="131" t="b">
        <f aca="false">FALSE()</f>
        <v>0</v>
      </c>
      <c r="I306" s="131" t="b">
        <f aca="false">FALSE()</f>
        <v>0</v>
      </c>
      <c r="J306" s="130"/>
      <c r="K306" s="110"/>
      <c r="L306" s="83"/>
      <c r="M306" s="103"/>
      <c r="N306" s="103"/>
      <c r="O306" s="103"/>
      <c r="P306" s="103"/>
      <c r="Q306" s="103"/>
      <c r="R306" s="83"/>
      <c r="S306" s="103"/>
      <c r="T306" s="103"/>
      <c r="U306" s="103"/>
    </row>
    <row r="307" customFormat="false" ht="22.5" hidden="false" customHeight="true" outlineLevel="0" collapsed="false">
      <c r="A307" s="99"/>
      <c r="B307" s="99"/>
      <c r="C307" s="99"/>
      <c r="D307" s="121"/>
      <c r="E307" s="99"/>
      <c r="F307" s="124"/>
      <c r="G307" s="121"/>
      <c r="H307" s="132" t="b">
        <f aca="false">FALSE()</f>
        <v>0</v>
      </c>
      <c r="I307" s="132" t="b">
        <f aca="false">FALSE()</f>
        <v>0</v>
      </c>
      <c r="J307" s="126"/>
      <c r="K307" s="99"/>
      <c r="L307" s="83"/>
      <c r="M307" s="103"/>
      <c r="N307" s="103"/>
      <c r="O307" s="103"/>
      <c r="P307" s="103"/>
      <c r="Q307" s="103"/>
      <c r="R307" s="83"/>
      <c r="S307" s="103"/>
      <c r="T307" s="103"/>
      <c r="U307" s="103"/>
    </row>
    <row r="308" customFormat="false" ht="22.5" hidden="false" customHeight="true" outlineLevel="0" collapsed="false">
      <c r="A308" s="110"/>
      <c r="B308" s="110"/>
      <c r="C308" s="110"/>
      <c r="D308" s="122"/>
      <c r="E308" s="110"/>
      <c r="F308" s="128"/>
      <c r="G308" s="122"/>
      <c r="H308" s="131" t="b">
        <f aca="false">FALSE()</f>
        <v>0</v>
      </c>
      <c r="I308" s="131" t="b">
        <f aca="false">FALSE()</f>
        <v>0</v>
      </c>
      <c r="J308" s="130"/>
      <c r="K308" s="110"/>
      <c r="L308" s="83"/>
      <c r="M308" s="103"/>
      <c r="N308" s="103"/>
      <c r="O308" s="103"/>
      <c r="P308" s="103"/>
      <c r="Q308" s="103"/>
      <c r="R308" s="83"/>
      <c r="S308" s="103"/>
      <c r="T308" s="103"/>
      <c r="U308" s="103"/>
    </row>
    <row r="309" customFormat="false" ht="22.5" hidden="false" customHeight="true" outlineLevel="0" collapsed="false">
      <c r="A309" s="99"/>
      <c r="B309" s="99"/>
      <c r="C309" s="99"/>
      <c r="D309" s="121"/>
      <c r="E309" s="99"/>
      <c r="F309" s="124"/>
      <c r="G309" s="121"/>
      <c r="H309" s="132" t="b">
        <f aca="false">FALSE()</f>
        <v>0</v>
      </c>
      <c r="I309" s="132" t="b">
        <f aca="false">FALSE()</f>
        <v>0</v>
      </c>
      <c r="J309" s="126"/>
      <c r="K309" s="99"/>
      <c r="L309" s="83"/>
      <c r="M309" s="103"/>
      <c r="N309" s="103"/>
      <c r="O309" s="103"/>
      <c r="P309" s="103"/>
      <c r="Q309" s="103"/>
      <c r="R309" s="83"/>
      <c r="S309" s="103"/>
      <c r="T309" s="103"/>
      <c r="U309" s="103"/>
    </row>
    <row r="310" customFormat="false" ht="22.5" hidden="false" customHeight="true" outlineLevel="0" collapsed="false">
      <c r="A310" s="110"/>
      <c r="B310" s="110"/>
      <c r="C310" s="110"/>
      <c r="D310" s="122"/>
      <c r="E310" s="110"/>
      <c r="F310" s="128"/>
      <c r="G310" s="122"/>
      <c r="H310" s="131" t="b">
        <f aca="false">FALSE()</f>
        <v>0</v>
      </c>
      <c r="I310" s="131" t="b">
        <f aca="false">FALSE()</f>
        <v>0</v>
      </c>
      <c r="J310" s="130"/>
      <c r="K310" s="110"/>
      <c r="L310" s="83"/>
      <c r="M310" s="103"/>
      <c r="N310" s="103"/>
      <c r="O310" s="103"/>
      <c r="P310" s="103"/>
      <c r="Q310" s="103"/>
      <c r="R310" s="83"/>
      <c r="S310" s="103"/>
      <c r="T310" s="103"/>
      <c r="U310" s="103"/>
    </row>
    <row r="311" customFormat="false" ht="22.5" hidden="false" customHeight="true" outlineLevel="0" collapsed="false">
      <c r="A311" s="99"/>
      <c r="B311" s="99"/>
      <c r="C311" s="99"/>
      <c r="D311" s="121"/>
      <c r="E311" s="99"/>
      <c r="F311" s="124"/>
      <c r="G311" s="121"/>
      <c r="H311" s="132" t="b">
        <f aca="false">FALSE()</f>
        <v>0</v>
      </c>
      <c r="I311" s="132" t="b">
        <f aca="false">FALSE()</f>
        <v>0</v>
      </c>
      <c r="J311" s="126"/>
      <c r="K311" s="99"/>
      <c r="L311" s="83"/>
      <c r="M311" s="103"/>
      <c r="N311" s="103"/>
      <c r="O311" s="103"/>
      <c r="P311" s="103"/>
      <c r="Q311" s="103"/>
      <c r="R311" s="83"/>
      <c r="S311" s="103"/>
      <c r="T311" s="103"/>
      <c r="U311" s="103"/>
    </row>
    <row r="312" customFormat="false" ht="22.5" hidden="false" customHeight="true" outlineLevel="0" collapsed="false">
      <c r="A312" s="110"/>
      <c r="B312" s="110"/>
      <c r="C312" s="110"/>
      <c r="D312" s="122"/>
      <c r="E312" s="110"/>
      <c r="F312" s="128"/>
      <c r="G312" s="122"/>
      <c r="H312" s="131" t="b">
        <f aca="false">FALSE()</f>
        <v>0</v>
      </c>
      <c r="I312" s="131" t="b">
        <f aca="false">FALSE()</f>
        <v>0</v>
      </c>
      <c r="J312" s="130"/>
      <c r="K312" s="110"/>
      <c r="L312" s="83"/>
      <c r="M312" s="103"/>
      <c r="N312" s="103"/>
      <c r="O312" s="103"/>
      <c r="P312" s="103"/>
      <c r="Q312" s="103"/>
      <c r="R312" s="83"/>
      <c r="S312" s="103"/>
      <c r="T312" s="103"/>
      <c r="U312" s="103"/>
    </row>
    <row r="313" customFormat="false" ht="22.5" hidden="false" customHeight="true" outlineLevel="0" collapsed="false">
      <c r="A313" s="99"/>
      <c r="B313" s="99"/>
      <c r="C313" s="99"/>
      <c r="D313" s="121"/>
      <c r="E313" s="99"/>
      <c r="F313" s="124"/>
      <c r="G313" s="121"/>
      <c r="H313" s="132" t="b">
        <f aca="false">FALSE()</f>
        <v>0</v>
      </c>
      <c r="I313" s="132" t="b">
        <f aca="false">FALSE()</f>
        <v>0</v>
      </c>
      <c r="J313" s="126"/>
      <c r="K313" s="99"/>
      <c r="L313" s="83"/>
      <c r="M313" s="103"/>
      <c r="N313" s="103"/>
      <c r="O313" s="103"/>
      <c r="P313" s="103"/>
      <c r="Q313" s="103"/>
      <c r="R313" s="83"/>
      <c r="S313" s="103"/>
      <c r="T313" s="103"/>
      <c r="U313" s="103"/>
    </row>
    <row r="314" customFormat="false" ht="22.5" hidden="false" customHeight="true" outlineLevel="0" collapsed="false">
      <c r="A314" s="110"/>
      <c r="B314" s="110"/>
      <c r="C314" s="110"/>
      <c r="D314" s="122"/>
      <c r="E314" s="110"/>
      <c r="F314" s="128"/>
      <c r="G314" s="122"/>
      <c r="H314" s="131" t="b">
        <f aca="false">FALSE()</f>
        <v>0</v>
      </c>
      <c r="I314" s="131" t="b">
        <f aca="false">FALSE()</f>
        <v>0</v>
      </c>
      <c r="J314" s="130"/>
      <c r="K314" s="110"/>
      <c r="L314" s="83"/>
      <c r="M314" s="103"/>
      <c r="N314" s="103"/>
      <c r="O314" s="103"/>
      <c r="P314" s="103"/>
      <c r="Q314" s="103"/>
      <c r="R314" s="83"/>
      <c r="S314" s="103"/>
      <c r="T314" s="103"/>
      <c r="U314" s="103"/>
    </row>
    <row r="315" customFormat="false" ht="22.5" hidden="false" customHeight="true" outlineLevel="0" collapsed="false">
      <c r="A315" s="99"/>
      <c r="B315" s="99"/>
      <c r="C315" s="99"/>
      <c r="D315" s="121"/>
      <c r="E315" s="99"/>
      <c r="F315" s="124"/>
      <c r="G315" s="121"/>
      <c r="H315" s="132" t="b">
        <f aca="false">FALSE()</f>
        <v>0</v>
      </c>
      <c r="I315" s="132" t="b">
        <f aca="false">FALSE()</f>
        <v>0</v>
      </c>
      <c r="J315" s="126"/>
      <c r="K315" s="99"/>
      <c r="L315" s="83"/>
      <c r="M315" s="103"/>
      <c r="N315" s="103"/>
      <c r="O315" s="103"/>
      <c r="P315" s="103"/>
      <c r="Q315" s="103"/>
      <c r="R315" s="83"/>
      <c r="S315" s="103"/>
      <c r="T315" s="103"/>
      <c r="U315" s="103"/>
    </row>
    <row r="316" customFormat="false" ht="22.5" hidden="false" customHeight="true" outlineLevel="0" collapsed="false">
      <c r="A316" s="110"/>
      <c r="B316" s="110"/>
      <c r="C316" s="110"/>
      <c r="D316" s="122"/>
      <c r="E316" s="110"/>
      <c r="F316" s="128"/>
      <c r="G316" s="122"/>
      <c r="H316" s="131" t="b">
        <f aca="false">FALSE()</f>
        <v>0</v>
      </c>
      <c r="I316" s="131" t="b">
        <f aca="false">FALSE()</f>
        <v>0</v>
      </c>
      <c r="J316" s="130"/>
      <c r="K316" s="110"/>
      <c r="L316" s="83"/>
      <c r="M316" s="103"/>
      <c r="N316" s="103"/>
      <c r="O316" s="103"/>
      <c r="P316" s="103"/>
      <c r="Q316" s="103"/>
      <c r="R316" s="83"/>
      <c r="S316" s="103"/>
      <c r="T316" s="103"/>
      <c r="U316" s="103"/>
    </row>
    <row r="317" customFormat="false" ht="22.5" hidden="false" customHeight="true" outlineLevel="0" collapsed="false">
      <c r="A317" s="99"/>
      <c r="B317" s="99"/>
      <c r="C317" s="99"/>
      <c r="D317" s="121"/>
      <c r="E317" s="99"/>
      <c r="F317" s="124"/>
      <c r="G317" s="121"/>
      <c r="H317" s="132" t="b">
        <f aca="false">FALSE()</f>
        <v>0</v>
      </c>
      <c r="I317" s="132" t="b">
        <f aca="false">FALSE()</f>
        <v>0</v>
      </c>
      <c r="J317" s="126"/>
      <c r="K317" s="99"/>
      <c r="L317" s="83"/>
      <c r="M317" s="103"/>
      <c r="N317" s="103"/>
      <c r="O317" s="103"/>
      <c r="P317" s="103"/>
      <c r="Q317" s="103"/>
      <c r="R317" s="83"/>
      <c r="S317" s="103"/>
      <c r="T317" s="103"/>
      <c r="U317" s="103"/>
    </row>
    <row r="318" customFormat="false" ht="22.5" hidden="false" customHeight="true" outlineLevel="0" collapsed="false">
      <c r="A318" s="110"/>
      <c r="B318" s="110"/>
      <c r="C318" s="110"/>
      <c r="D318" s="122"/>
      <c r="E318" s="110"/>
      <c r="F318" s="128"/>
      <c r="G318" s="122"/>
      <c r="H318" s="131" t="b">
        <f aca="false">FALSE()</f>
        <v>0</v>
      </c>
      <c r="I318" s="131" t="b">
        <f aca="false">FALSE()</f>
        <v>0</v>
      </c>
      <c r="J318" s="130"/>
      <c r="K318" s="110"/>
      <c r="L318" s="83"/>
      <c r="M318" s="103"/>
      <c r="N318" s="103"/>
      <c r="O318" s="103"/>
      <c r="P318" s="103"/>
      <c r="Q318" s="103"/>
      <c r="R318" s="83"/>
      <c r="S318" s="103"/>
      <c r="T318" s="103"/>
      <c r="U318" s="103"/>
    </row>
    <row r="319" customFormat="false" ht="22.5" hidden="false" customHeight="true" outlineLevel="0" collapsed="false">
      <c r="A319" s="99"/>
      <c r="B319" s="99"/>
      <c r="C319" s="99"/>
      <c r="D319" s="121"/>
      <c r="E319" s="99"/>
      <c r="F319" s="124"/>
      <c r="G319" s="121"/>
      <c r="H319" s="132" t="b">
        <f aca="false">FALSE()</f>
        <v>0</v>
      </c>
      <c r="I319" s="132" t="b">
        <f aca="false">FALSE()</f>
        <v>0</v>
      </c>
      <c r="J319" s="126"/>
      <c r="K319" s="99"/>
      <c r="L319" s="83"/>
      <c r="M319" s="103"/>
      <c r="N319" s="103"/>
      <c r="O319" s="103"/>
      <c r="P319" s="103"/>
      <c r="Q319" s="103"/>
      <c r="R319" s="83"/>
      <c r="S319" s="103"/>
      <c r="T319" s="103"/>
      <c r="U319" s="103"/>
    </row>
    <row r="320" customFormat="false" ht="22.5" hidden="false" customHeight="true" outlineLevel="0" collapsed="false">
      <c r="A320" s="110"/>
      <c r="B320" s="110"/>
      <c r="C320" s="110"/>
      <c r="D320" s="122"/>
      <c r="E320" s="110"/>
      <c r="F320" s="128"/>
      <c r="G320" s="122"/>
      <c r="H320" s="131" t="b">
        <f aca="false">FALSE()</f>
        <v>0</v>
      </c>
      <c r="I320" s="131" t="b">
        <f aca="false">FALSE()</f>
        <v>0</v>
      </c>
      <c r="J320" s="130"/>
      <c r="K320" s="110"/>
      <c r="L320" s="83"/>
      <c r="M320" s="103"/>
      <c r="N320" s="103"/>
      <c r="O320" s="103"/>
      <c r="P320" s="103"/>
      <c r="Q320" s="103"/>
      <c r="R320" s="83"/>
      <c r="S320" s="103"/>
      <c r="T320" s="103"/>
      <c r="U320" s="103"/>
    </row>
    <row r="321" customFormat="false" ht="22.5" hidden="false" customHeight="true" outlineLevel="0" collapsed="false">
      <c r="A321" s="99"/>
      <c r="B321" s="99"/>
      <c r="C321" s="99"/>
      <c r="D321" s="121"/>
      <c r="E321" s="99"/>
      <c r="F321" s="124"/>
      <c r="G321" s="121"/>
      <c r="H321" s="132" t="b">
        <f aca="false">FALSE()</f>
        <v>0</v>
      </c>
      <c r="I321" s="132" t="b">
        <f aca="false">FALSE()</f>
        <v>0</v>
      </c>
      <c r="J321" s="126"/>
      <c r="K321" s="99"/>
      <c r="L321" s="83"/>
      <c r="M321" s="103"/>
      <c r="N321" s="103"/>
      <c r="O321" s="103"/>
      <c r="P321" s="103"/>
      <c r="Q321" s="103"/>
      <c r="R321" s="83"/>
      <c r="S321" s="103"/>
      <c r="T321" s="103"/>
      <c r="U321" s="103"/>
    </row>
    <row r="322" customFormat="false" ht="22.5" hidden="false" customHeight="true" outlineLevel="0" collapsed="false">
      <c r="A322" s="110"/>
      <c r="B322" s="110"/>
      <c r="C322" s="110"/>
      <c r="D322" s="122"/>
      <c r="E322" s="110"/>
      <c r="F322" s="128"/>
      <c r="G322" s="122"/>
      <c r="H322" s="131" t="b">
        <f aca="false">FALSE()</f>
        <v>0</v>
      </c>
      <c r="I322" s="131" t="b">
        <f aca="false">FALSE()</f>
        <v>0</v>
      </c>
      <c r="J322" s="130"/>
      <c r="K322" s="110"/>
      <c r="L322" s="83"/>
      <c r="M322" s="103"/>
      <c r="N322" s="103"/>
      <c r="O322" s="103"/>
      <c r="P322" s="103"/>
      <c r="Q322" s="103"/>
      <c r="R322" s="83"/>
      <c r="S322" s="103"/>
      <c r="T322" s="103"/>
      <c r="U322" s="103"/>
    </row>
    <row r="323" customFormat="false" ht="22.5" hidden="false" customHeight="true" outlineLevel="0" collapsed="false">
      <c r="A323" s="99"/>
      <c r="B323" s="99"/>
      <c r="C323" s="99"/>
      <c r="D323" s="121"/>
      <c r="E323" s="99"/>
      <c r="F323" s="124"/>
      <c r="G323" s="121"/>
      <c r="H323" s="132" t="b">
        <f aca="false">FALSE()</f>
        <v>0</v>
      </c>
      <c r="I323" s="132" t="b">
        <f aca="false">FALSE()</f>
        <v>0</v>
      </c>
      <c r="J323" s="126"/>
      <c r="K323" s="99"/>
      <c r="L323" s="83"/>
      <c r="M323" s="103"/>
      <c r="N323" s="103"/>
      <c r="O323" s="103"/>
      <c r="P323" s="103"/>
      <c r="Q323" s="103"/>
      <c r="R323" s="83"/>
      <c r="S323" s="103"/>
      <c r="T323" s="103"/>
      <c r="U323" s="103"/>
    </row>
    <row r="324" customFormat="false" ht="22.5" hidden="false" customHeight="true" outlineLevel="0" collapsed="false">
      <c r="A324" s="110"/>
      <c r="B324" s="110"/>
      <c r="C324" s="110"/>
      <c r="D324" s="122"/>
      <c r="E324" s="110"/>
      <c r="F324" s="128"/>
      <c r="G324" s="122"/>
      <c r="H324" s="131" t="b">
        <f aca="false">FALSE()</f>
        <v>0</v>
      </c>
      <c r="I324" s="131" t="b">
        <f aca="false">FALSE()</f>
        <v>0</v>
      </c>
      <c r="J324" s="130"/>
      <c r="K324" s="110"/>
      <c r="L324" s="83"/>
      <c r="M324" s="103"/>
      <c r="N324" s="103"/>
      <c r="O324" s="103"/>
      <c r="P324" s="103"/>
      <c r="Q324" s="103"/>
      <c r="R324" s="83"/>
      <c r="S324" s="103"/>
      <c r="T324" s="103"/>
      <c r="U324" s="103"/>
    </row>
    <row r="325" customFormat="false" ht="22.5" hidden="false" customHeight="true" outlineLevel="0" collapsed="false">
      <c r="A325" s="99"/>
      <c r="B325" s="99"/>
      <c r="C325" s="99"/>
      <c r="D325" s="121"/>
      <c r="E325" s="99"/>
      <c r="F325" s="124"/>
      <c r="G325" s="121"/>
      <c r="H325" s="132" t="b">
        <f aca="false">FALSE()</f>
        <v>0</v>
      </c>
      <c r="I325" s="132" t="b">
        <f aca="false">FALSE()</f>
        <v>0</v>
      </c>
      <c r="J325" s="126"/>
      <c r="K325" s="99"/>
      <c r="L325" s="83"/>
      <c r="M325" s="103"/>
      <c r="N325" s="103"/>
      <c r="O325" s="103"/>
      <c r="P325" s="103"/>
      <c r="Q325" s="103"/>
      <c r="R325" s="83"/>
      <c r="S325" s="103"/>
      <c r="T325" s="103"/>
      <c r="U325" s="103"/>
    </row>
    <row r="326" customFormat="false" ht="22.5" hidden="false" customHeight="true" outlineLevel="0" collapsed="false">
      <c r="A326" s="110"/>
      <c r="B326" s="110"/>
      <c r="C326" s="110"/>
      <c r="D326" s="122"/>
      <c r="E326" s="110"/>
      <c r="F326" s="128"/>
      <c r="G326" s="122"/>
      <c r="H326" s="131" t="b">
        <f aca="false">FALSE()</f>
        <v>0</v>
      </c>
      <c r="I326" s="131" t="b">
        <f aca="false">FALSE()</f>
        <v>0</v>
      </c>
      <c r="J326" s="130"/>
      <c r="K326" s="110"/>
      <c r="L326" s="83"/>
      <c r="M326" s="103"/>
      <c r="N326" s="103"/>
      <c r="O326" s="103"/>
      <c r="P326" s="103"/>
      <c r="Q326" s="103"/>
      <c r="R326" s="83"/>
      <c r="S326" s="103"/>
      <c r="T326" s="103"/>
      <c r="U326" s="103"/>
    </row>
    <row r="327" customFormat="false" ht="22.5" hidden="false" customHeight="true" outlineLevel="0" collapsed="false">
      <c r="A327" s="99"/>
      <c r="B327" s="99"/>
      <c r="C327" s="99"/>
      <c r="D327" s="121"/>
      <c r="E327" s="99"/>
      <c r="F327" s="124"/>
      <c r="G327" s="121"/>
      <c r="H327" s="132" t="b">
        <f aca="false">FALSE()</f>
        <v>0</v>
      </c>
      <c r="I327" s="132" t="b">
        <f aca="false">FALSE()</f>
        <v>0</v>
      </c>
      <c r="J327" s="126"/>
      <c r="K327" s="99"/>
      <c r="L327" s="83"/>
      <c r="M327" s="103"/>
      <c r="N327" s="103"/>
      <c r="O327" s="103"/>
      <c r="P327" s="103"/>
      <c r="Q327" s="103"/>
      <c r="R327" s="83"/>
      <c r="S327" s="103"/>
      <c r="T327" s="103"/>
      <c r="U327" s="103"/>
    </row>
    <row r="328" customFormat="false" ht="22.5" hidden="false" customHeight="true" outlineLevel="0" collapsed="false">
      <c r="A328" s="110"/>
      <c r="B328" s="110"/>
      <c r="C328" s="110"/>
      <c r="D328" s="122"/>
      <c r="E328" s="110"/>
      <c r="F328" s="128"/>
      <c r="G328" s="122"/>
      <c r="H328" s="131" t="b">
        <f aca="false">FALSE()</f>
        <v>0</v>
      </c>
      <c r="I328" s="131" t="b">
        <f aca="false">FALSE()</f>
        <v>0</v>
      </c>
      <c r="J328" s="130"/>
      <c r="K328" s="110"/>
      <c r="L328" s="83"/>
      <c r="M328" s="103"/>
      <c r="N328" s="103"/>
      <c r="O328" s="103"/>
      <c r="P328" s="103"/>
      <c r="Q328" s="103"/>
      <c r="R328" s="83"/>
      <c r="S328" s="103"/>
      <c r="T328" s="103"/>
      <c r="U328" s="103"/>
    </row>
    <row r="329" customFormat="false" ht="22.5" hidden="false" customHeight="true" outlineLevel="0" collapsed="false">
      <c r="A329" s="99"/>
      <c r="B329" s="99"/>
      <c r="C329" s="99"/>
      <c r="D329" s="121"/>
      <c r="E329" s="99"/>
      <c r="F329" s="124"/>
      <c r="G329" s="121"/>
      <c r="H329" s="132" t="b">
        <f aca="false">FALSE()</f>
        <v>0</v>
      </c>
      <c r="I329" s="132" t="b">
        <f aca="false">FALSE()</f>
        <v>0</v>
      </c>
      <c r="J329" s="126"/>
      <c r="K329" s="99"/>
      <c r="L329" s="83"/>
      <c r="M329" s="103"/>
      <c r="N329" s="103"/>
      <c r="O329" s="103"/>
      <c r="P329" s="103"/>
      <c r="Q329" s="103"/>
      <c r="R329" s="83"/>
      <c r="S329" s="103"/>
      <c r="T329" s="103"/>
      <c r="U329" s="103"/>
    </row>
    <row r="330" customFormat="false" ht="22.5" hidden="false" customHeight="true" outlineLevel="0" collapsed="false">
      <c r="A330" s="110"/>
      <c r="B330" s="110"/>
      <c r="C330" s="110"/>
      <c r="D330" s="122"/>
      <c r="E330" s="110"/>
      <c r="F330" s="128"/>
      <c r="G330" s="122"/>
      <c r="H330" s="131" t="b">
        <f aca="false">FALSE()</f>
        <v>0</v>
      </c>
      <c r="I330" s="131" t="b">
        <f aca="false">FALSE()</f>
        <v>0</v>
      </c>
      <c r="J330" s="130"/>
      <c r="K330" s="110"/>
      <c r="L330" s="83"/>
      <c r="M330" s="103"/>
      <c r="N330" s="103"/>
      <c r="O330" s="103"/>
      <c r="P330" s="103"/>
      <c r="Q330" s="103"/>
      <c r="R330" s="83"/>
      <c r="S330" s="103"/>
      <c r="T330" s="103"/>
      <c r="U330" s="103"/>
    </row>
    <row r="331" customFormat="false" ht="22.5" hidden="false" customHeight="true" outlineLevel="0" collapsed="false">
      <c r="A331" s="99"/>
      <c r="B331" s="99"/>
      <c r="C331" s="99"/>
      <c r="D331" s="121"/>
      <c r="E331" s="99"/>
      <c r="F331" s="124"/>
      <c r="G331" s="121"/>
      <c r="H331" s="132" t="b">
        <f aca="false">FALSE()</f>
        <v>0</v>
      </c>
      <c r="I331" s="132" t="b">
        <f aca="false">FALSE()</f>
        <v>0</v>
      </c>
      <c r="J331" s="126"/>
      <c r="K331" s="99"/>
      <c r="L331" s="83"/>
      <c r="M331" s="103"/>
      <c r="N331" s="103"/>
      <c r="O331" s="103"/>
      <c r="P331" s="103"/>
      <c r="Q331" s="103"/>
      <c r="R331" s="83"/>
      <c r="S331" s="103"/>
      <c r="T331" s="103"/>
      <c r="U331" s="103"/>
    </row>
    <row r="332" customFormat="false" ht="22.5" hidden="false" customHeight="true" outlineLevel="0" collapsed="false">
      <c r="A332" s="110"/>
      <c r="B332" s="110"/>
      <c r="C332" s="110"/>
      <c r="D332" s="122"/>
      <c r="E332" s="110"/>
      <c r="F332" s="128"/>
      <c r="G332" s="122"/>
      <c r="H332" s="131" t="b">
        <f aca="false">FALSE()</f>
        <v>0</v>
      </c>
      <c r="I332" s="131" t="b">
        <f aca="false">FALSE()</f>
        <v>0</v>
      </c>
      <c r="J332" s="130"/>
      <c r="K332" s="110"/>
      <c r="L332" s="83"/>
      <c r="M332" s="103"/>
      <c r="N332" s="103"/>
      <c r="O332" s="103"/>
      <c r="P332" s="103"/>
      <c r="Q332" s="103"/>
      <c r="R332" s="83"/>
      <c r="S332" s="103"/>
      <c r="T332" s="103"/>
      <c r="U332" s="103"/>
    </row>
    <row r="333" customFormat="false" ht="22.5" hidden="false" customHeight="true" outlineLevel="0" collapsed="false">
      <c r="A333" s="99"/>
      <c r="B333" s="99"/>
      <c r="C333" s="99"/>
      <c r="D333" s="121"/>
      <c r="E333" s="99"/>
      <c r="F333" s="124"/>
      <c r="G333" s="121"/>
      <c r="H333" s="132" t="b">
        <f aca="false">FALSE()</f>
        <v>0</v>
      </c>
      <c r="I333" s="132" t="b">
        <f aca="false">FALSE()</f>
        <v>0</v>
      </c>
      <c r="J333" s="126"/>
      <c r="K333" s="99"/>
      <c r="L333" s="83"/>
      <c r="M333" s="103"/>
      <c r="N333" s="103"/>
      <c r="O333" s="103"/>
      <c r="P333" s="103"/>
      <c r="Q333" s="103"/>
      <c r="R333" s="83"/>
      <c r="S333" s="103"/>
      <c r="T333" s="103"/>
      <c r="U333" s="103"/>
    </row>
    <row r="334" customFormat="false" ht="22.5" hidden="false" customHeight="true" outlineLevel="0" collapsed="false">
      <c r="A334" s="110"/>
      <c r="B334" s="110"/>
      <c r="C334" s="110"/>
      <c r="D334" s="122"/>
      <c r="E334" s="110"/>
      <c r="F334" s="128"/>
      <c r="G334" s="122"/>
      <c r="H334" s="131" t="b">
        <f aca="false">FALSE()</f>
        <v>0</v>
      </c>
      <c r="I334" s="131" t="b">
        <f aca="false">FALSE()</f>
        <v>0</v>
      </c>
      <c r="J334" s="130"/>
      <c r="K334" s="110"/>
      <c r="L334" s="83"/>
      <c r="M334" s="103"/>
      <c r="N334" s="103"/>
      <c r="O334" s="103"/>
      <c r="P334" s="103"/>
      <c r="Q334" s="103"/>
      <c r="R334" s="83"/>
      <c r="S334" s="103"/>
      <c r="T334" s="103"/>
      <c r="U334" s="103"/>
    </row>
    <row r="335" customFormat="false" ht="22.5" hidden="false" customHeight="true" outlineLevel="0" collapsed="false">
      <c r="A335" s="99"/>
      <c r="B335" s="99"/>
      <c r="C335" s="99"/>
      <c r="D335" s="121"/>
      <c r="E335" s="99"/>
      <c r="F335" s="124"/>
      <c r="G335" s="121"/>
      <c r="H335" s="132" t="b">
        <f aca="false">FALSE()</f>
        <v>0</v>
      </c>
      <c r="I335" s="132" t="b">
        <f aca="false">FALSE()</f>
        <v>0</v>
      </c>
      <c r="J335" s="126"/>
      <c r="K335" s="99"/>
      <c r="L335" s="83"/>
      <c r="M335" s="103"/>
      <c r="N335" s="103"/>
      <c r="O335" s="103"/>
      <c r="P335" s="103"/>
      <c r="Q335" s="103"/>
      <c r="R335" s="83"/>
      <c r="S335" s="103"/>
      <c r="T335" s="103"/>
      <c r="U335" s="103"/>
    </row>
    <row r="336" customFormat="false" ht="22.5" hidden="false" customHeight="true" outlineLevel="0" collapsed="false">
      <c r="A336" s="110"/>
      <c r="B336" s="110"/>
      <c r="C336" s="110"/>
      <c r="D336" s="122"/>
      <c r="E336" s="110"/>
      <c r="F336" s="128"/>
      <c r="G336" s="122"/>
      <c r="H336" s="131" t="b">
        <f aca="false">FALSE()</f>
        <v>0</v>
      </c>
      <c r="I336" s="131" t="b">
        <f aca="false">FALSE()</f>
        <v>0</v>
      </c>
      <c r="J336" s="130"/>
      <c r="K336" s="110"/>
      <c r="L336" s="83"/>
      <c r="M336" s="103"/>
      <c r="N336" s="103"/>
      <c r="O336" s="103"/>
      <c r="P336" s="103"/>
      <c r="Q336" s="103"/>
      <c r="R336" s="83"/>
      <c r="S336" s="103"/>
      <c r="T336" s="103"/>
      <c r="U336" s="103"/>
    </row>
    <row r="337" customFormat="false" ht="22.5" hidden="false" customHeight="true" outlineLevel="0" collapsed="false">
      <c r="A337" s="99"/>
      <c r="B337" s="99"/>
      <c r="C337" s="99"/>
      <c r="D337" s="121"/>
      <c r="E337" s="99"/>
      <c r="F337" s="124"/>
      <c r="G337" s="121"/>
      <c r="H337" s="132" t="b">
        <f aca="false">FALSE()</f>
        <v>0</v>
      </c>
      <c r="I337" s="132" t="b">
        <f aca="false">FALSE()</f>
        <v>0</v>
      </c>
      <c r="J337" s="126"/>
      <c r="K337" s="99"/>
      <c r="L337" s="83"/>
      <c r="M337" s="103"/>
      <c r="N337" s="103"/>
      <c r="O337" s="103"/>
      <c r="P337" s="103"/>
      <c r="Q337" s="103"/>
      <c r="R337" s="83"/>
      <c r="S337" s="103"/>
      <c r="T337" s="103"/>
      <c r="U337" s="103"/>
    </row>
    <row r="338" customFormat="false" ht="22.5" hidden="false" customHeight="true" outlineLevel="0" collapsed="false">
      <c r="A338" s="110"/>
      <c r="B338" s="110"/>
      <c r="C338" s="110"/>
      <c r="D338" s="122"/>
      <c r="E338" s="110"/>
      <c r="F338" s="128"/>
      <c r="G338" s="122"/>
      <c r="H338" s="131" t="b">
        <f aca="false">FALSE()</f>
        <v>0</v>
      </c>
      <c r="I338" s="131" t="b">
        <f aca="false">FALSE()</f>
        <v>0</v>
      </c>
      <c r="J338" s="130"/>
      <c r="K338" s="110"/>
      <c r="L338" s="83"/>
      <c r="M338" s="103"/>
      <c r="N338" s="103"/>
      <c r="O338" s="103"/>
      <c r="P338" s="103"/>
      <c r="Q338" s="103"/>
      <c r="R338" s="83"/>
      <c r="S338" s="103"/>
      <c r="T338" s="103"/>
      <c r="U338" s="103"/>
    </row>
    <row r="339" customFormat="false" ht="22.5" hidden="false" customHeight="true" outlineLevel="0" collapsed="false">
      <c r="A339" s="99"/>
      <c r="B339" s="99"/>
      <c r="C339" s="99"/>
      <c r="D339" s="121"/>
      <c r="E339" s="99"/>
      <c r="F339" s="124"/>
      <c r="G339" s="121"/>
      <c r="H339" s="132" t="b">
        <f aca="false">FALSE()</f>
        <v>0</v>
      </c>
      <c r="I339" s="132" t="b">
        <f aca="false">FALSE()</f>
        <v>0</v>
      </c>
      <c r="J339" s="126"/>
      <c r="K339" s="99"/>
      <c r="L339" s="83"/>
      <c r="M339" s="103"/>
      <c r="N339" s="103"/>
      <c r="O339" s="103"/>
      <c r="P339" s="103"/>
      <c r="Q339" s="103"/>
      <c r="R339" s="83"/>
      <c r="S339" s="103"/>
      <c r="T339" s="103"/>
      <c r="U339" s="103"/>
    </row>
    <row r="340" customFormat="false" ht="22.5" hidden="false" customHeight="true" outlineLevel="0" collapsed="false">
      <c r="A340" s="110"/>
      <c r="B340" s="110"/>
      <c r="C340" s="110"/>
      <c r="D340" s="122"/>
      <c r="E340" s="110"/>
      <c r="F340" s="128"/>
      <c r="G340" s="122"/>
      <c r="H340" s="131" t="b">
        <f aca="false">FALSE()</f>
        <v>0</v>
      </c>
      <c r="I340" s="131" t="b">
        <f aca="false">FALSE()</f>
        <v>0</v>
      </c>
      <c r="J340" s="130"/>
      <c r="K340" s="110"/>
      <c r="L340" s="83"/>
      <c r="M340" s="103"/>
      <c r="N340" s="103"/>
      <c r="O340" s="103"/>
      <c r="P340" s="103"/>
      <c r="Q340" s="103"/>
      <c r="R340" s="83"/>
      <c r="S340" s="103"/>
      <c r="T340" s="103"/>
      <c r="U340" s="103"/>
    </row>
    <row r="341" customFormat="false" ht="22.5" hidden="false" customHeight="true" outlineLevel="0" collapsed="false">
      <c r="A341" s="99"/>
      <c r="B341" s="99"/>
      <c r="C341" s="99"/>
      <c r="D341" s="121"/>
      <c r="E341" s="99"/>
      <c r="F341" s="124"/>
      <c r="G341" s="121"/>
      <c r="H341" s="132" t="b">
        <f aca="false">FALSE()</f>
        <v>0</v>
      </c>
      <c r="I341" s="132" t="b">
        <f aca="false">FALSE()</f>
        <v>0</v>
      </c>
      <c r="J341" s="126"/>
      <c r="K341" s="99"/>
      <c r="L341" s="83"/>
      <c r="M341" s="103"/>
      <c r="N341" s="103"/>
      <c r="O341" s="103"/>
      <c r="P341" s="103"/>
      <c r="Q341" s="103"/>
      <c r="R341" s="83"/>
      <c r="S341" s="103"/>
      <c r="T341" s="103"/>
      <c r="U341" s="103"/>
    </row>
    <row r="342" customFormat="false" ht="22.5" hidden="false" customHeight="true" outlineLevel="0" collapsed="false">
      <c r="A342" s="110"/>
      <c r="B342" s="110"/>
      <c r="C342" s="110"/>
      <c r="D342" s="122"/>
      <c r="E342" s="110"/>
      <c r="F342" s="128"/>
      <c r="G342" s="122"/>
      <c r="H342" s="131" t="b">
        <f aca="false">FALSE()</f>
        <v>0</v>
      </c>
      <c r="I342" s="131" t="b">
        <f aca="false">FALSE()</f>
        <v>0</v>
      </c>
      <c r="J342" s="130"/>
      <c r="K342" s="110"/>
      <c r="L342" s="83"/>
      <c r="M342" s="103"/>
      <c r="N342" s="103"/>
      <c r="O342" s="103"/>
      <c r="P342" s="103"/>
      <c r="Q342" s="103"/>
      <c r="R342" s="83"/>
      <c r="S342" s="103"/>
      <c r="T342" s="103"/>
      <c r="U342" s="103"/>
    </row>
    <row r="343" customFormat="false" ht="22.5" hidden="false" customHeight="true" outlineLevel="0" collapsed="false">
      <c r="A343" s="99"/>
      <c r="B343" s="99"/>
      <c r="C343" s="99"/>
      <c r="D343" s="121"/>
      <c r="E343" s="99"/>
      <c r="F343" s="124"/>
      <c r="G343" s="121"/>
      <c r="H343" s="132" t="b">
        <f aca="false">FALSE()</f>
        <v>0</v>
      </c>
      <c r="I343" s="132" t="b">
        <f aca="false">FALSE()</f>
        <v>0</v>
      </c>
      <c r="J343" s="126"/>
      <c r="K343" s="99"/>
      <c r="L343" s="83"/>
      <c r="M343" s="103"/>
      <c r="N343" s="103"/>
      <c r="O343" s="103"/>
      <c r="P343" s="103"/>
      <c r="Q343" s="103"/>
      <c r="R343" s="83"/>
      <c r="S343" s="103"/>
      <c r="T343" s="103"/>
      <c r="U343" s="103"/>
    </row>
    <row r="344" customFormat="false" ht="22.5" hidden="false" customHeight="true" outlineLevel="0" collapsed="false">
      <c r="A344" s="110"/>
      <c r="B344" s="110"/>
      <c r="C344" s="110"/>
      <c r="D344" s="122"/>
      <c r="E344" s="110"/>
      <c r="F344" s="128"/>
      <c r="G344" s="122"/>
      <c r="H344" s="131" t="b">
        <f aca="false">FALSE()</f>
        <v>0</v>
      </c>
      <c r="I344" s="131" t="b">
        <f aca="false">FALSE()</f>
        <v>0</v>
      </c>
      <c r="J344" s="130"/>
      <c r="K344" s="110"/>
      <c r="L344" s="83"/>
      <c r="M344" s="103"/>
      <c r="N344" s="103"/>
      <c r="O344" s="103"/>
      <c r="P344" s="103"/>
      <c r="Q344" s="103"/>
      <c r="R344" s="83"/>
      <c r="S344" s="103"/>
      <c r="T344" s="103"/>
      <c r="U344" s="103"/>
    </row>
    <row r="345" customFormat="false" ht="22.5" hidden="false" customHeight="true" outlineLevel="0" collapsed="false">
      <c r="A345" s="99"/>
      <c r="B345" s="99"/>
      <c r="C345" s="99"/>
      <c r="D345" s="121"/>
      <c r="E345" s="99"/>
      <c r="F345" s="124"/>
      <c r="G345" s="121"/>
      <c r="H345" s="132" t="b">
        <f aca="false">FALSE()</f>
        <v>0</v>
      </c>
      <c r="I345" s="132" t="b">
        <f aca="false">FALSE()</f>
        <v>0</v>
      </c>
      <c r="J345" s="126"/>
      <c r="K345" s="99"/>
      <c r="L345" s="83"/>
      <c r="M345" s="103"/>
      <c r="N345" s="103"/>
      <c r="O345" s="103"/>
      <c r="P345" s="103"/>
      <c r="Q345" s="103"/>
      <c r="R345" s="83"/>
      <c r="S345" s="103"/>
      <c r="T345" s="103"/>
      <c r="U345" s="103"/>
    </row>
    <row r="346" customFormat="false" ht="22.5" hidden="false" customHeight="true" outlineLevel="0" collapsed="false">
      <c r="A346" s="110"/>
      <c r="B346" s="110"/>
      <c r="C346" s="110"/>
      <c r="D346" s="122"/>
      <c r="E346" s="110"/>
      <c r="F346" s="128"/>
      <c r="G346" s="122"/>
      <c r="H346" s="131" t="b">
        <f aca="false">FALSE()</f>
        <v>0</v>
      </c>
      <c r="I346" s="131" t="b">
        <f aca="false">FALSE()</f>
        <v>0</v>
      </c>
      <c r="J346" s="130"/>
      <c r="K346" s="110"/>
      <c r="L346" s="83"/>
      <c r="M346" s="103"/>
      <c r="N346" s="103"/>
      <c r="O346" s="103"/>
      <c r="P346" s="103"/>
      <c r="Q346" s="103"/>
      <c r="R346" s="83"/>
      <c r="S346" s="103"/>
      <c r="T346" s="103"/>
      <c r="U346" s="103"/>
    </row>
    <row r="347" customFormat="false" ht="22.5" hidden="false" customHeight="true" outlineLevel="0" collapsed="false">
      <c r="A347" s="99"/>
      <c r="B347" s="99"/>
      <c r="C347" s="99"/>
      <c r="D347" s="121"/>
      <c r="E347" s="99"/>
      <c r="F347" s="124"/>
      <c r="G347" s="121"/>
      <c r="H347" s="132" t="b">
        <f aca="false">FALSE()</f>
        <v>0</v>
      </c>
      <c r="I347" s="132" t="b">
        <f aca="false">FALSE()</f>
        <v>0</v>
      </c>
      <c r="J347" s="126"/>
      <c r="K347" s="99"/>
      <c r="L347" s="83"/>
      <c r="M347" s="103"/>
      <c r="N347" s="103"/>
      <c r="O347" s="103"/>
      <c r="P347" s="103"/>
      <c r="Q347" s="103"/>
      <c r="R347" s="83"/>
      <c r="S347" s="103"/>
      <c r="T347" s="103"/>
      <c r="U347" s="103"/>
    </row>
    <row r="348" customFormat="false" ht="22.5" hidden="false" customHeight="true" outlineLevel="0" collapsed="false">
      <c r="A348" s="110"/>
      <c r="B348" s="110"/>
      <c r="C348" s="110"/>
      <c r="D348" s="122"/>
      <c r="E348" s="110"/>
      <c r="F348" s="128"/>
      <c r="G348" s="122"/>
      <c r="H348" s="131" t="b">
        <f aca="false">FALSE()</f>
        <v>0</v>
      </c>
      <c r="I348" s="131" t="b">
        <f aca="false">FALSE()</f>
        <v>0</v>
      </c>
      <c r="J348" s="130"/>
      <c r="K348" s="110"/>
      <c r="L348" s="83"/>
      <c r="M348" s="103"/>
      <c r="N348" s="103"/>
      <c r="O348" s="103"/>
      <c r="P348" s="103"/>
      <c r="Q348" s="103"/>
      <c r="R348" s="83"/>
      <c r="S348" s="103"/>
      <c r="T348" s="103"/>
      <c r="U348" s="103"/>
    </row>
    <row r="349" customFormat="false" ht="22.5" hidden="false" customHeight="true" outlineLevel="0" collapsed="false">
      <c r="A349" s="99"/>
      <c r="B349" s="99"/>
      <c r="C349" s="99"/>
      <c r="D349" s="121"/>
      <c r="E349" s="99"/>
      <c r="F349" s="124"/>
      <c r="G349" s="121"/>
      <c r="H349" s="132" t="b">
        <f aca="false">FALSE()</f>
        <v>0</v>
      </c>
      <c r="I349" s="132" t="b">
        <f aca="false">FALSE()</f>
        <v>0</v>
      </c>
      <c r="J349" s="126"/>
      <c r="K349" s="99"/>
      <c r="L349" s="83"/>
      <c r="M349" s="103"/>
      <c r="N349" s="103"/>
      <c r="O349" s="103"/>
      <c r="P349" s="103"/>
      <c r="Q349" s="103"/>
      <c r="R349" s="83"/>
      <c r="S349" s="103"/>
      <c r="T349" s="103"/>
      <c r="U349" s="103"/>
    </row>
    <row r="350" customFormat="false" ht="22.5" hidden="false" customHeight="true" outlineLevel="0" collapsed="false">
      <c r="A350" s="110"/>
      <c r="B350" s="110"/>
      <c r="C350" s="110"/>
      <c r="D350" s="122"/>
      <c r="E350" s="110"/>
      <c r="F350" s="128"/>
      <c r="G350" s="122"/>
      <c r="H350" s="131" t="b">
        <f aca="false">FALSE()</f>
        <v>0</v>
      </c>
      <c r="I350" s="131" t="b">
        <f aca="false">FALSE()</f>
        <v>0</v>
      </c>
      <c r="J350" s="130"/>
      <c r="K350" s="110"/>
      <c r="L350" s="83"/>
      <c r="M350" s="103"/>
      <c r="N350" s="103"/>
      <c r="O350" s="103"/>
      <c r="P350" s="103"/>
      <c r="Q350" s="103"/>
      <c r="R350" s="83"/>
      <c r="S350" s="103"/>
      <c r="T350" s="103"/>
      <c r="U350" s="103"/>
    </row>
    <row r="351" customFormat="false" ht="22.5" hidden="false" customHeight="true" outlineLevel="0" collapsed="false">
      <c r="A351" s="99"/>
      <c r="B351" s="99"/>
      <c r="C351" s="99"/>
      <c r="D351" s="121"/>
      <c r="E351" s="99"/>
      <c r="F351" s="124"/>
      <c r="G351" s="121"/>
      <c r="H351" s="132" t="b">
        <f aca="false">FALSE()</f>
        <v>0</v>
      </c>
      <c r="I351" s="132" t="b">
        <f aca="false">FALSE()</f>
        <v>0</v>
      </c>
      <c r="J351" s="126"/>
      <c r="K351" s="99"/>
      <c r="L351" s="83"/>
      <c r="M351" s="103"/>
      <c r="N351" s="103"/>
      <c r="O351" s="103"/>
      <c r="P351" s="103"/>
      <c r="Q351" s="103"/>
      <c r="R351" s="83"/>
      <c r="S351" s="103"/>
      <c r="T351" s="103"/>
      <c r="U351" s="103"/>
    </row>
    <row r="352" customFormat="false" ht="22.5" hidden="false" customHeight="true" outlineLevel="0" collapsed="false">
      <c r="A352" s="110"/>
      <c r="B352" s="110"/>
      <c r="C352" s="110"/>
      <c r="D352" s="122"/>
      <c r="E352" s="110"/>
      <c r="F352" s="128"/>
      <c r="G352" s="122"/>
      <c r="H352" s="131" t="b">
        <f aca="false">FALSE()</f>
        <v>0</v>
      </c>
      <c r="I352" s="131" t="b">
        <f aca="false">FALSE()</f>
        <v>0</v>
      </c>
      <c r="J352" s="130"/>
      <c r="K352" s="110"/>
      <c r="L352" s="83"/>
      <c r="M352" s="103"/>
      <c r="N352" s="103"/>
      <c r="O352" s="103"/>
      <c r="P352" s="103"/>
      <c r="Q352" s="103"/>
      <c r="R352" s="83"/>
      <c r="S352" s="103"/>
      <c r="T352" s="103"/>
      <c r="U352" s="103"/>
    </row>
    <row r="353" customFormat="false" ht="22.5" hidden="false" customHeight="true" outlineLevel="0" collapsed="false">
      <c r="A353" s="99"/>
      <c r="B353" s="99"/>
      <c r="C353" s="99"/>
      <c r="D353" s="121"/>
      <c r="E353" s="99"/>
      <c r="F353" s="124"/>
      <c r="G353" s="121"/>
      <c r="H353" s="132" t="b">
        <f aca="false">FALSE()</f>
        <v>0</v>
      </c>
      <c r="I353" s="132" t="b">
        <f aca="false">FALSE()</f>
        <v>0</v>
      </c>
      <c r="J353" s="126"/>
      <c r="K353" s="99"/>
      <c r="L353" s="83"/>
      <c r="M353" s="103"/>
      <c r="N353" s="103"/>
      <c r="O353" s="103"/>
      <c r="P353" s="103"/>
      <c r="Q353" s="103"/>
      <c r="R353" s="83"/>
      <c r="S353" s="103"/>
      <c r="T353" s="103"/>
      <c r="U353" s="103"/>
    </row>
    <row r="354" customFormat="false" ht="22.5" hidden="false" customHeight="true" outlineLevel="0" collapsed="false">
      <c r="A354" s="110"/>
      <c r="B354" s="110"/>
      <c r="C354" s="110"/>
      <c r="D354" s="122"/>
      <c r="E354" s="110"/>
      <c r="F354" s="128"/>
      <c r="G354" s="122"/>
      <c r="H354" s="131" t="b">
        <f aca="false">FALSE()</f>
        <v>0</v>
      </c>
      <c r="I354" s="131" t="b">
        <f aca="false">FALSE()</f>
        <v>0</v>
      </c>
      <c r="J354" s="130"/>
      <c r="K354" s="110"/>
      <c r="L354" s="83"/>
      <c r="M354" s="103"/>
      <c r="N354" s="103"/>
      <c r="O354" s="103"/>
      <c r="P354" s="103"/>
      <c r="Q354" s="103"/>
      <c r="R354" s="83"/>
      <c r="S354" s="103"/>
      <c r="T354" s="103"/>
      <c r="U354" s="103"/>
    </row>
    <row r="355" customFormat="false" ht="22.5" hidden="false" customHeight="true" outlineLevel="0" collapsed="false">
      <c r="A355" s="99"/>
      <c r="B355" s="99"/>
      <c r="C355" s="99"/>
      <c r="D355" s="121"/>
      <c r="E355" s="99"/>
      <c r="F355" s="124"/>
      <c r="G355" s="121"/>
      <c r="H355" s="132" t="b">
        <f aca="false">FALSE()</f>
        <v>0</v>
      </c>
      <c r="I355" s="132" t="b">
        <f aca="false">FALSE()</f>
        <v>0</v>
      </c>
      <c r="J355" s="126"/>
      <c r="K355" s="99"/>
      <c r="L355" s="83"/>
      <c r="M355" s="103"/>
      <c r="N355" s="103"/>
      <c r="O355" s="103"/>
      <c r="P355" s="103"/>
      <c r="Q355" s="103"/>
      <c r="R355" s="83"/>
      <c r="S355" s="103"/>
      <c r="T355" s="103"/>
      <c r="U355" s="103"/>
    </row>
    <row r="356" customFormat="false" ht="22.5" hidden="false" customHeight="true" outlineLevel="0" collapsed="false">
      <c r="A356" s="110"/>
      <c r="B356" s="110"/>
      <c r="C356" s="110"/>
      <c r="D356" s="122"/>
      <c r="E356" s="110"/>
      <c r="F356" s="128"/>
      <c r="G356" s="122"/>
      <c r="H356" s="131" t="b">
        <f aca="false">FALSE()</f>
        <v>0</v>
      </c>
      <c r="I356" s="131" t="b">
        <f aca="false">FALSE()</f>
        <v>0</v>
      </c>
      <c r="J356" s="130"/>
      <c r="K356" s="110"/>
      <c r="L356" s="83"/>
      <c r="M356" s="103"/>
      <c r="N356" s="103"/>
      <c r="O356" s="103"/>
      <c r="P356" s="103"/>
      <c r="Q356" s="103"/>
      <c r="R356" s="83"/>
      <c r="S356" s="103"/>
      <c r="T356" s="103"/>
      <c r="U356" s="103"/>
    </row>
    <row r="357" customFormat="false" ht="22.5" hidden="false" customHeight="true" outlineLevel="0" collapsed="false">
      <c r="A357" s="99"/>
      <c r="B357" s="99"/>
      <c r="C357" s="99"/>
      <c r="D357" s="121"/>
      <c r="E357" s="99"/>
      <c r="F357" s="124"/>
      <c r="G357" s="121"/>
      <c r="H357" s="132" t="b">
        <f aca="false">FALSE()</f>
        <v>0</v>
      </c>
      <c r="I357" s="132" t="b">
        <f aca="false">FALSE()</f>
        <v>0</v>
      </c>
      <c r="J357" s="126"/>
      <c r="K357" s="99"/>
      <c r="L357" s="83"/>
      <c r="M357" s="103"/>
      <c r="N357" s="103"/>
      <c r="O357" s="103"/>
      <c r="P357" s="103"/>
      <c r="Q357" s="103"/>
      <c r="R357" s="83"/>
      <c r="S357" s="103"/>
      <c r="T357" s="103"/>
      <c r="U357" s="103"/>
    </row>
    <row r="358" customFormat="false" ht="22.5" hidden="false" customHeight="true" outlineLevel="0" collapsed="false">
      <c r="A358" s="110"/>
      <c r="B358" s="110"/>
      <c r="C358" s="110"/>
      <c r="D358" s="122"/>
      <c r="E358" s="110"/>
      <c r="F358" s="128"/>
      <c r="G358" s="122"/>
      <c r="H358" s="131" t="b">
        <f aca="false">FALSE()</f>
        <v>0</v>
      </c>
      <c r="I358" s="131" t="b">
        <f aca="false">FALSE()</f>
        <v>0</v>
      </c>
      <c r="J358" s="130"/>
      <c r="K358" s="110"/>
      <c r="L358" s="83"/>
      <c r="M358" s="103"/>
      <c r="N358" s="103"/>
      <c r="O358" s="103"/>
      <c r="P358" s="103"/>
      <c r="Q358" s="103"/>
      <c r="R358" s="83"/>
      <c r="S358" s="103"/>
      <c r="T358" s="103"/>
      <c r="U358" s="103"/>
    </row>
    <row r="359" customFormat="false" ht="22.5" hidden="false" customHeight="true" outlineLevel="0" collapsed="false">
      <c r="A359" s="99"/>
      <c r="B359" s="99"/>
      <c r="C359" s="99"/>
      <c r="D359" s="121"/>
      <c r="E359" s="99"/>
      <c r="F359" s="124"/>
      <c r="G359" s="121"/>
      <c r="H359" s="132" t="b">
        <f aca="false">FALSE()</f>
        <v>0</v>
      </c>
      <c r="I359" s="132" t="b">
        <f aca="false">FALSE()</f>
        <v>0</v>
      </c>
      <c r="J359" s="126"/>
      <c r="K359" s="99"/>
      <c r="L359" s="83"/>
      <c r="M359" s="103"/>
      <c r="N359" s="103"/>
      <c r="O359" s="103"/>
      <c r="P359" s="103"/>
      <c r="Q359" s="103"/>
      <c r="R359" s="83"/>
      <c r="S359" s="103"/>
      <c r="T359" s="103"/>
      <c r="U359" s="103"/>
    </row>
    <row r="360" customFormat="false" ht="22.5" hidden="false" customHeight="true" outlineLevel="0" collapsed="false">
      <c r="A360" s="110"/>
      <c r="B360" s="110"/>
      <c r="C360" s="110"/>
      <c r="D360" s="122"/>
      <c r="E360" s="110"/>
      <c r="F360" s="128"/>
      <c r="G360" s="122"/>
      <c r="H360" s="131" t="b">
        <f aca="false">FALSE()</f>
        <v>0</v>
      </c>
      <c r="I360" s="131" t="b">
        <f aca="false">FALSE()</f>
        <v>0</v>
      </c>
      <c r="J360" s="130"/>
      <c r="K360" s="110"/>
      <c r="L360" s="83"/>
      <c r="M360" s="103"/>
      <c r="N360" s="103"/>
      <c r="O360" s="103"/>
      <c r="P360" s="103"/>
      <c r="Q360" s="103"/>
      <c r="R360" s="83"/>
      <c r="S360" s="103"/>
      <c r="T360" s="103"/>
      <c r="U360" s="103"/>
    </row>
    <row r="361" customFormat="false" ht="22.5" hidden="false" customHeight="true" outlineLevel="0" collapsed="false">
      <c r="A361" s="99"/>
      <c r="B361" s="99"/>
      <c r="C361" s="99"/>
      <c r="D361" s="121"/>
      <c r="E361" s="99"/>
      <c r="F361" s="124"/>
      <c r="G361" s="121"/>
      <c r="H361" s="132" t="b">
        <f aca="false">FALSE()</f>
        <v>0</v>
      </c>
      <c r="I361" s="132" t="b">
        <f aca="false">FALSE()</f>
        <v>0</v>
      </c>
      <c r="J361" s="126"/>
      <c r="K361" s="99"/>
      <c r="L361" s="83"/>
      <c r="M361" s="103"/>
      <c r="N361" s="103"/>
      <c r="O361" s="103"/>
      <c r="P361" s="103"/>
      <c r="Q361" s="103"/>
      <c r="R361" s="83"/>
      <c r="S361" s="103"/>
      <c r="T361" s="103"/>
      <c r="U361" s="103"/>
    </row>
    <row r="362" customFormat="false" ht="22.5" hidden="false" customHeight="true" outlineLevel="0" collapsed="false">
      <c r="A362" s="110"/>
      <c r="B362" s="110"/>
      <c r="C362" s="110"/>
      <c r="D362" s="122"/>
      <c r="E362" s="110"/>
      <c r="F362" s="128"/>
      <c r="G362" s="122"/>
      <c r="H362" s="131" t="b">
        <f aca="false">FALSE()</f>
        <v>0</v>
      </c>
      <c r="I362" s="131" t="b">
        <f aca="false">FALSE()</f>
        <v>0</v>
      </c>
      <c r="J362" s="130"/>
      <c r="K362" s="110"/>
      <c r="L362" s="83"/>
      <c r="M362" s="103"/>
      <c r="N362" s="103"/>
      <c r="O362" s="103"/>
      <c r="P362" s="103"/>
      <c r="Q362" s="103"/>
      <c r="R362" s="83"/>
      <c r="S362" s="103"/>
      <c r="T362" s="103"/>
      <c r="U362" s="103"/>
    </row>
    <row r="363" customFormat="false" ht="22.5" hidden="false" customHeight="true" outlineLevel="0" collapsed="false">
      <c r="A363" s="99"/>
      <c r="B363" s="99"/>
      <c r="C363" s="99"/>
      <c r="D363" s="121"/>
      <c r="E363" s="99"/>
      <c r="F363" s="124"/>
      <c r="G363" s="121"/>
      <c r="H363" s="132" t="b">
        <f aca="false">FALSE()</f>
        <v>0</v>
      </c>
      <c r="I363" s="132" t="b">
        <f aca="false">FALSE()</f>
        <v>0</v>
      </c>
      <c r="J363" s="126"/>
      <c r="K363" s="99"/>
      <c r="L363" s="83"/>
      <c r="M363" s="103"/>
      <c r="N363" s="103"/>
      <c r="O363" s="103"/>
      <c r="P363" s="103"/>
      <c r="Q363" s="103"/>
      <c r="R363" s="83"/>
      <c r="S363" s="103"/>
      <c r="T363" s="103"/>
      <c r="U363" s="103"/>
    </row>
    <row r="364" customFormat="false" ht="22.5" hidden="false" customHeight="true" outlineLevel="0" collapsed="false">
      <c r="A364" s="110"/>
      <c r="B364" s="110"/>
      <c r="C364" s="110"/>
      <c r="D364" s="122"/>
      <c r="E364" s="110"/>
      <c r="F364" s="128"/>
      <c r="G364" s="122"/>
      <c r="H364" s="131" t="b">
        <f aca="false">FALSE()</f>
        <v>0</v>
      </c>
      <c r="I364" s="131" t="b">
        <f aca="false">FALSE()</f>
        <v>0</v>
      </c>
      <c r="J364" s="130"/>
      <c r="K364" s="110"/>
      <c r="L364" s="83"/>
      <c r="M364" s="103"/>
      <c r="N364" s="103"/>
      <c r="O364" s="103"/>
      <c r="P364" s="103"/>
      <c r="Q364" s="103"/>
      <c r="R364" s="83"/>
      <c r="S364" s="103"/>
      <c r="T364" s="103"/>
      <c r="U364" s="103"/>
    </row>
    <row r="365" customFormat="false" ht="22.5" hidden="false" customHeight="true" outlineLevel="0" collapsed="false">
      <c r="A365" s="99"/>
      <c r="B365" s="99"/>
      <c r="C365" s="99"/>
      <c r="D365" s="121"/>
      <c r="E365" s="99"/>
      <c r="F365" s="124"/>
      <c r="G365" s="121"/>
      <c r="H365" s="132" t="b">
        <f aca="false">FALSE()</f>
        <v>0</v>
      </c>
      <c r="I365" s="132" t="b">
        <f aca="false">FALSE()</f>
        <v>0</v>
      </c>
      <c r="J365" s="126"/>
      <c r="K365" s="99"/>
      <c r="L365" s="83"/>
      <c r="M365" s="103"/>
      <c r="N365" s="103"/>
      <c r="O365" s="103"/>
      <c r="P365" s="103"/>
      <c r="Q365" s="103"/>
      <c r="R365" s="83"/>
      <c r="S365" s="103"/>
      <c r="T365" s="103"/>
      <c r="U365" s="103"/>
    </row>
    <row r="366" customFormat="false" ht="22.5" hidden="false" customHeight="true" outlineLevel="0" collapsed="false">
      <c r="A366" s="110"/>
      <c r="B366" s="110"/>
      <c r="C366" s="110"/>
      <c r="D366" s="122"/>
      <c r="E366" s="110"/>
      <c r="F366" s="128"/>
      <c r="G366" s="122"/>
      <c r="H366" s="131" t="b">
        <f aca="false">FALSE()</f>
        <v>0</v>
      </c>
      <c r="I366" s="131" t="b">
        <f aca="false">FALSE()</f>
        <v>0</v>
      </c>
      <c r="J366" s="130"/>
      <c r="K366" s="110"/>
      <c r="L366" s="83"/>
      <c r="M366" s="103"/>
      <c r="N366" s="103"/>
      <c r="O366" s="103"/>
      <c r="P366" s="103"/>
      <c r="Q366" s="103"/>
      <c r="R366" s="83"/>
      <c r="S366" s="103"/>
      <c r="T366" s="103"/>
      <c r="U366" s="103"/>
    </row>
    <row r="367" customFormat="false" ht="22.5" hidden="false" customHeight="true" outlineLevel="0" collapsed="false">
      <c r="A367" s="99"/>
      <c r="B367" s="99"/>
      <c r="C367" s="99"/>
      <c r="D367" s="121"/>
      <c r="E367" s="99"/>
      <c r="F367" s="124"/>
      <c r="G367" s="121"/>
      <c r="H367" s="132" t="b">
        <f aca="false">FALSE()</f>
        <v>0</v>
      </c>
      <c r="I367" s="132" t="b">
        <f aca="false">FALSE()</f>
        <v>0</v>
      </c>
      <c r="J367" s="126"/>
      <c r="K367" s="99"/>
      <c r="L367" s="83"/>
      <c r="M367" s="103"/>
      <c r="N367" s="103"/>
      <c r="O367" s="103"/>
      <c r="P367" s="103"/>
      <c r="Q367" s="103"/>
      <c r="R367" s="83"/>
      <c r="S367" s="103"/>
      <c r="T367" s="103"/>
      <c r="U367" s="103"/>
    </row>
    <row r="368" customFormat="false" ht="22.5" hidden="false" customHeight="true" outlineLevel="0" collapsed="false">
      <c r="A368" s="110"/>
      <c r="B368" s="110"/>
      <c r="C368" s="110"/>
      <c r="D368" s="122"/>
      <c r="E368" s="110"/>
      <c r="F368" s="128"/>
      <c r="G368" s="122"/>
      <c r="H368" s="131" t="b">
        <f aca="false">FALSE()</f>
        <v>0</v>
      </c>
      <c r="I368" s="131" t="b">
        <f aca="false">FALSE()</f>
        <v>0</v>
      </c>
      <c r="J368" s="130"/>
      <c r="K368" s="110"/>
      <c r="L368" s="83"/>
      <c r="M368" s="103"/>
      <c r="N368" s="103"/>
      <c r="O368" s="103"/>
      <c r="P368" s="103"/>
      <c r="Q368" s="103"/>
      <c r="R368" s="83"/>
      <c r="S368" s="103"/>
      <c r="T368" s="103"/>
      <c r="U368" s="103"/>
    </row>
    <row r="369" customFormat="false" ht="22.5" hidden="false" customHeight="true" outlineLevel="0" collapsed="false">
      <c r="A369" s="99"/>
      <c r="B369" s="99"/>
      <c r="C369" s="99"/>
      <c r="D369" s="121"/>
      <c r="E369" s="99"/>
      <c r="F369" s="124"/>
      <c r="G369" s="121"/>
      <c r="H369" s="132" t="b">
        <f aca="false">FALSE()</f>
        <v>0</v>
      </c>
      <c r="I369" s="132" t="b">
        <f aca="false">FALSE()</f>
        <v>0</v>
      </c>
      <c r="J369" s="126"/>
      <c r="K369" s="99"/>
      <c r="L369" s="83"/>
      <c r="M369" s="103"/>
      <c r="N369" s="103"/>
      <c r="O369" s="103"/>
      <c r="P369" s="103"/>
      <c r="Q369" s="103"/>
      <c r="R369" s="83"/>
      <c r="S369" s="103"/>
      <c r="T369" s="103"/>
      <c r="U369" s="103"/>
    </row>
    <row r="370" customFormat="false" ht="22.5" hidden="false" customHeight="true" outlineLevel="0" collapsed="false">
      <c r="A370" s="110"/>
      <c r="B370" s="110"/>
      <c r="C370" s="110"/>
      <c r="D370" s="122"/>
      <c r="E370" s="110"/>
      <c r="F370" s="128"/>
      <c r="G370" s="122"/>
      <c r="H370" s="131" t="b">
        <f aca="false">FALSE()</f>
        <v>0</v>
      </c>
      <c r="I370" s="131" t="b">
        <f aca="false">FALSE()</f>
        <v>0</v>
      </c>
      <c r="J370" s="130"/>
      <c r="K370" s="110"/>
      <c r="L370" s="83"/>
      <c r="M370" s="103"/>
      <c r="N370" s="103"/>
      <c r="O370" s="103"/>
      <c r="P370" s="103"/>
      <c r="Q370" s="103"/>
      <c r="R370" s="83"/>
      <c r="S370" s="103"/>
      <c r="T370" s="103"/>
      <c r="U370" s="103"/>
    </row>
    <row r="371" customFormat="false" ht="22.5" hidden="false" customHeight="true" outlineLevel="0" collapsed="false">
      <c r="A371" s="99"/>
      <c r="B371" s="99"/>
      <c r="C371" s="99"/>
      <c r="D371" s="121"/>
      <c r="E371" s="99"/>
      <c r="F371" s="124"/>
      <c r="G371" s="121"/>
      <c r="H371" s="132" t="b">
        <f aca="false">FALSE()</f>
        <v>0</v>
      </c>
      <c r="I371" s="132" t="b">
        <f aca="false">FALSE()</f>
        <v>0</v>
      </c>
      <c r="J371" s="126"/>
      <c r="K371" s="99"/>
      <c r="L371" s="83"/>
      <c r="M371" s="103"/>
      <c r="N371" s="103"/>
      <c r="O371" s="103"/>
      <c r="P371" s="103"/>
      <c r="Q371" s="103"/>
      <c r="R371" s="83"/>
      <c r="S371" s="103"/>
      <c r="T371" s="103"/>
      <c r="U371" s="103"/>
    </row>
    <row r="372" customFormat="false" ht="22.5" hidden="false" customHeight="true" outlineLevel="0" collapsed="false">
      <c r="A372" s="110"/>
      <c r="B372" s="110"/>
      <c r="C372" s="110"/>
      <c r="D372" s="122"/>
      <c r="E372" s="110"/>
      <c r="F372" s="128"/>
      <c r="G372" s="122"/>
      <c r="H372" s="131" t="b">
        <f aca="false">FALSE()</f>
        <v>0</v>
      </c>
      <c r="I372" s="131" t="b">
        <f aca="false">FALSE()</f>
        <v>0</v>
      </c>
      <c r="J372" s="130"/>
      <c r="K372" s="110"/>
      <c r="L372" s="83"/>
      <c r="M372" s="103"/>
      <c r="N372" s="103"/>
      <c r="O372" s="103"/>
      <c r="P372" s="103"/>
      <c r="Q372" s="103"/>
      <c r="R372" s="83"/>
      <c r="S372" s="103"/>
      <c r="T372" s="103"/>
      <c r="U372" s="103"/>
    </row>
    <row r="373" customFormat="false" ht="22.5" hidden="false" customHeight="true" outlineLevel="0" collapsed="false">
      <c r="A373" s="99"/>
      <c r="B373" s="99"/>
      <c r="C373" s="99"/>
      <c r="D373" s="121"/>
      <c r="E373" s="99"/>
      <c r="F373" s="124"/>
      <c r="G373" s="121"/>
      <c r="H373" s="132" t="b">
        <f aca="false">FALSE()</f>
        <v>0</v>
      </c>
      <c r="I373" s="132" t="b">
        <f aca="false">FALSE()</f>
        <v>0</v>
      </c>
      <c r="J373" s="126"/>
      <c r="K373" s="99"/>
      <c r="L373" s="83"/>
      <c r="M373" s="103"/>
      <c r="N373" s="103"/>
      <c r="O373" s="103"/>
      <c r="P373" s="103"/>
      <c r="Q373" s="103"/>
      <c r="R373" s="83"/>
      <c r="S373" s="103"/>
      <c r="T373" s="103"/>
      <c r="U373" s="103"/>
    </row>
    <row r="374" customFormat="false" ht="22.5" hidden="false" customHeight="true" outlineLevel="0" collapsed="false">
      <c r="A374" s="110"/>
      <c r="B374" s="110"/>
      <c r="C374" s="110"/>
      <c r="D374" s="122"/>
      <c r="E374" s="110"/>
      <c r="F374" s="128"/>
      <c r="G374" s="122"/>
      <c r="H374" s="131" t="b">
        <f aca="false">FALSE()</f>
        <v>0</v>
      </c>
      <c r="I374" s="131" t="b">
        <f aca="false">FALSE()</f>
        <v>0</v>
      </c>
      <c r="J374" s="130"/>
      <c r="K374" s="110"/>
      <c r="L374" s="83"/>
      <c r="M374" s="103"/>
      <c r="N374" s="103"/>
      <c r="O374" s="103"/>
      <c r="P374" s="103"/>
      <c r="Q374" s="103"/>
      <c r="R374" s="83"/>
      <c r="S374" s="103"/>
      <c r="T374" s="103"/>
      <c r="U374" s="103"/>
    </row>
    <row r="375" customFormat="false" ht="22.5" hidden="false" customHeight="true" outlineLevel="0" collapsed="false">
      <c r="A375" s="99"/>
      <c r="B375" s="99"/>
      <c r="C375" s="99"/>
      <c r="D375" s="121"/>
      <c r="E375" s="99"/>
      <c r="F375" s="124"/>
      <c r="G375" s="121"/>
      <c r="H375" s="132" t="b">
        <f aca="false">FALSE()</f>
        <v>0</v>
      </c>
      <c r="I375" s="132" t="b">
        <f aca="false">FALSE()</f>
        <v>0</v>
      </c>
      <c r="J375" s="126"/>
      <c r="K375" s="99"/>
      <c r="L375" s="83"/>
      <c r="M375" s="103"/>
      <c r="N375" s="103"/>
      <c r="O375" s="103"/>
      <c r="P375" s="103"/>
      <c r="Q375" s="103"/>
      <c r="R375" s="83"/>
      <c r="S375" s="103"/>
      <c r="T375" s="103"/>
      <c r="U375" s="103"/>
    </row>
    <row r="376" customFormat="false" ht="22.5" hidden="false" customHeight="true" outlineLevel="0" collapsed="false">
      <c r="A376" s="110"/>
      <c r="B376" s="110"/>
      <c r="C376" s="110"/>
      <c r="D376" s="122"/>
      <c r="E376" s="110"/>
      <c r="F376" s="128"/>
      <c r="G376" s="122"/>
      <c r="H376" s="131" t="b">
        <f aca="false">FALSE()</f>
        <v>0</v>
      </c>
      <c r="I376" s="131" t="b">
        <f aca="false">FALSE()</f>
        <v>0</v>
      </c>
      <c r="J376" s="130"/>
      <c r="K376" s="110"/>
      <c r="L376" s="83"/>
      <c r="M376" s="103"/>
      <c r="N376" s="103"/>
      <c r="O376" s="103"/>
      <c r="P376" s="103"/>
      <c r="Q376" s="103"/>
      <c r="R376" s="83"/>
      <c r="S376" s="103"/>
      <c r="T376" s="103"/>
      <c r="U376" s="103"/>
    </row>
    <row r="377" customFormat="false" ht="22.5" hidden="false" customHeight="true" outlineLevel="0" collapsed="false">
      <c r="A377" s="99"/>
      <c r="B377" s="99"/>
      <c r="C377" s="99"/>
      <c r="D377" s="121"/>
      <c r="E377" s="99"/>
      <c r="F377" s="124"/>
      <c r="G377" s="121"/>
      <c r="H377" s="132" t="b">
        <f aca="false">FALSE()</f>
        <v>0</v>
      </c>
      <c r="I377" s="132" t="b">
        <f aca="false">FALSE()</f>
        <v>0</v>
      </c>
      <c r="J377" s="126"/>
      <c r="K377" s="99"/>
      <c r="L377" s="83"/>
      <c r="M377" s="103"/>
      <c r="N377" s="103"/>
      <c r="O377" s="103"/>
      <c r="P377" s="103"/>
      <c r="Q377" s="103"/>
      <c r="R377" s="83"/>
      <c r="S377" s="103"/>
      <c r="T377" s="103"/>
      <c r="U377" s="103"/>
    </row>
    <row r="378" customFormat="false" ht="22.5" hidden="false" customHeight="true" outlineLevel="0" collapsed="false">
      <c r="A378" s="110"/>
      <c r="B378" s="110"/>
      <c r="C378" s="110"/>
      <c r="D378" s="122"/>
      <c r="E378" s="110"/>
      <c r="F378" s="128"/>
      <c r="G378" s="122"/>
      <c r="H378" s="131" t="b">
        <f aca="false">FALSE()</f>
        <v>0</v>
      </c>
      <c r="I378" s="131" t="b">
        <f aca="false">FALSE()</f>
        <v>0</v>
      </c>
      <c r="J378" s="130"/>
      <c r="K378" s="110"/>
      <c r="L378" s="83"/>
      <c r="M378" s="103"/>
      <c r="N378" s="103"/>
      <c r="O378" s="103"/>
      <c r="P378" s="103"/>
      <c r="Q378" s="103"/>
      <c r="R378" s="83"/>
      <c r="S378" s="103"/>
      <c r="T378" s="103"/>
      <c r="U378" s="103"/>
    </row>
    <row r="379" customFormat="false" ht="22.5" hidden="false" customHeight="true" outlineLevel="0" collapsed="false">
      <c r="A379" s="99"/>
      <c r="B379" s="99"/>
      <c r="C379" s="99"/>
      <c r="D379" s="121"/>
      <c r="E379" s="99"/>
      <c r="F379" s="124"/>
      <c r="G379" s="121"/>
      <c r="H379" s="132" t="b">
        <f aca="false">FALSE()</f>
        <v>0</v>
      </c>
      <c r="I379" s="132" t="b">
        <f aca="false">FALSE()</f>
        <v>0</v>
      </c>
      <c r="J379" s="126"/>
      <c r="K379" s="99"/>
      <c r="L379" s="83"/>
      <c r="M379" s="103"/>
      <c r="N379" s="103"/>
      <c r="O379" s="103"/>
      <c r="P379" s="103"/>
      <c r="Q379" s="103"/>
      <c r="R379" s="83"/>
      <c r="S379" s="103"/>
      <c r="T379" s="103"/>
      <c r="U379" s="103"/>
    </row>
    <row r="380" customFormat="false" ht="22.5" hidden="false" customHeight="true" outlineLevel="0" collapsed="false">
      <c r="A380" s="110"/>
      <c r="B380" s="110"/>
      <c r="C380" s="110"/>
      <c r="D380" s="122"/>
      <c r="E380" s="110"/>
      <c r="F380" s="128"/>
      <c r="G380" s="122"/>
      <c r="H380" s="131" t="b">
        <f aca="false">FALSE()</f>
        <v>0</v>
      </c>
      <c r="I380" s="131" t="b">
        <f aca="false">FALSE()</f>
        <v>0</v>
      </c>
      <c r="J380" s="130"/>
      <c r="K380" s="110"/>
      <c r="L380" s="83"/>
      <c r="M380" s="103"/>
      <c r="N380" s="103"/>
      <c r="O380" s="103"/>
      <c r="P380" s="103"/>
      <c r="Q380" s="103"/>
      <c r="R380" s="83"/>
      <c r="S380" s="103"/>
      <c r="T380" s="103"/>
      <c r="U380" s="103"/>
    </row>
    <row r="381" customFormat="false" ht="22.5" hidden="false" customHeight="true" outlineLevel="0" collapsed="false">
      <c r="A381" s="99"/>
      <c r="B381" s="99"/>
      <c r="C381" s="99"/>
      <c r="D381" s="121"/>
      <c r="E381" s="99"/>
      <c r="F381" s="124"/>
      <c r="G381" s="121"/>
      <c r="H381" s="132" t="b">
        <f aca="false">FALSE()</f>
        <v>0</v>
      </c>
      <c r="I381" s="132" t="b">
        <f aca="false">FALSE()</f>
        <v>0</v>
      </c>
      <c r="J381" s="126"/>
      <c r="K381" s="99"/>
      <c r="L381" s="83"/>
      <c r="M381" s="103"/>
      <c r="N381" s="103"/>
      <c r="O381" s="103"/>
      <c r="P381" s="103"/>
      <c r="Q381" s="103"/>
      <c r="R381" s="83"/>
      <c r="S381" s="103"/>
      <c r="T381" s="103"/>
      <c r="U381" s="103"/>
    </row>
    <row r="382" customFormat="false" ht="22.5" hidden="false" customHeight="true" outlineLevel="0" collapsed="false">
      <c r="A382" s="110"/>
      <c r="B382" s="110"/>
      <c r="C382" s="110"/>
      <c r="D382" s="122"/>
      <c r="E382" s="110"/>
      <c r="F382" s="128"/>
      <c r="G382" s="122"/>
      <c r="H382" s="131" t="b">
        <f aca="false">FALSE()</f>
        <v>0</v>
      </c>
      <c r="I382" s="131" t="b">
        <f aca="false">FALSE()</f>
        <v>0</v>
      </c>
      <c r="J382" s="130"/>
      <c r="K382" s="110"/>
      <c r="L382" s="83"/>
      <c r="M382" s="103"/>
      <c r="N382" s="103"/>
      <c r="O382" s="103"/>
      <c r="P382" s="103"/>
      <c r="Q382" s="103"/>
      <c r="R382" s="83"/>
      <c r="S382" s="103"/>
      <c r="T382" s="103"/>
      <c r="U382" s="103"/>
    </row>
    <row r="383" customFormat="false" ht="22.5" hidden="false" customHeight="true" outlineLevel="0" collapsed="false">
      <c r="A383" s="99"/>
      <c r="B383" s="99"/>
      <c r="C383" s="99"/>
      <c r="D383" s="121"/>
      <c r="E383" s="99"/>
      <c r="F383" s="124"/>
      <c r="G383" s="121"/>
      <c r="H383" s="132" t="b">
        <f aca="false">FALSE()</f>
        <v>0</v>
      </c>
      <c r="I383" s="132" t="b">
        <f aca="false">FALSE()</f>
        <v>0</v>
      </c>
      <c r="J383" s="126"/>
      <c r="K383" s="99"/>
      <c r="L383" s="83"/>
      <c r="M383" s="103"/>
      <c r="N383" s="103"/>
      <c r="O383" s="103"/>
      <c r="P383" s="103"/>
      <c r="Q383" s="103"/>
      <c r="R383" s="83"/>
      <c r="S383" s="103"/>
      <c r="T383" s="103"/>
      <c r="U383" s="103"/>
    </row>
    <row r="384" customFormat="false" ht="22.5" hidden="false" customHeight="true" outlineLevel="0" collapsed="false">
      <c r="A384" s="110"/>
      <c r="B384" s="110"/>
      <c r="C384" s="110"/>
      <c r="D384" s="122"/>
      <c r="E384" s="110"/>
      <c r="F384" s="128"/>
      <c r="G384" s="122"/>
      <c r="H384" s="131" t="b">
        <f aca="false">FALSE()</f>
        <v>0</v>
      </c>
      <c r="I384" s="131" t="b">
        <f aca="false">FALSE()</f>
        <v>0</v>
      </c>
      <c r="J384" s="130"/>
      <c r="K384" s="110"/>
      <c r="L384" s="83"/>
      <c r="M384" s="103"/>
      <c r="N384" s="103"/>
      <c r="O384" s="103"/>
      <c r="P384" s="103"/>
      <c r="Q384" s="103"/>
      <c r="R384" s="83"/>
      <c r="S384" s="103"/>
      <c r="T384" s="103"/>
      <c r="U384" s="103"/>
    </row>
    <row r="385" customFormat="false" ht="22.5" hidden="false" customHeight="true" outlineLevel="0" collapsed="false">
      <c r="A385" s="99"/>
      <c r="B385" s="99"/>
      <c r="C385" s="99"/>
      <c r="D385" s="121"/>
      <c r="E385" s="99"/>
      <c r="F385" s="124"/>
      <c r="G385" s="121"/>
      <c r="H385" s="132" t="b">
        <f aca="false">FALSE()</f>
        <v>0</v>
      </c>
      <c r="I385" s="132" t="b">
        <f aca="false">FALSE()</f>
        <v>0</v>
      </c>
      <c r="J385" s="126"/>
      <c r="K385" s="99"/>
      <c r="L385" s="83"/>
      <c r="M385" s="103"/>
      <c r="N385" s="103"/>
      <c r="O385" s="103"/>
      <c r="P385" s="103"/>
      <c r="Q385" s="103"/>
      <c r="R385" s="83"/>
      <c r="S385" s="103"/>
      <c r="T385" s="103"/>
      <c r="U385" s="103"/>
    </row>
    <row r="386" customFormat="false" ht="22.5" hidden="false" customHeight="true" outlineLevel="0" collapsed="false">
      <c r="A386" s="110"/>
      <c r="B386" s="110"/>
      <c r="C386" s="110"/>
      <c r="D386" s="122"/>
      <c r="E386" s="110"/>
      <c r="F386" s="128"/>
      <c r="G386" s="122"/>
      <c r="H386" s="131" t="b">
        <f aca="false">FALSE()</f>
        <v>0</v>
      </c>
      <c r="I386" s="131" t="b">
        <f aca="false">FALSE()</f>
        <v>0</v>
      </c>
      <c r="J386" s="130"/>
      <c r="K386" s="110"/>
      <c r="L386" s="83"/>
      <c r="M386" s="103"/>
      <c r="N386" s="103"/>
      <c r="O386" s="103"/>
      <c r="P386" s="103"/>
      <c r="Q386" s="103"/>
      <c r="R386" s="83"/>
      <c r="S386" s="103"/>
      <c r="T386" s="103"/>
      <c r="U386" s="103"/>
    </row>
    <row r="387" customFormat="false" ht="22.5" hidden="false" customHeight="true" outlineLevel="0" collapsed="false">
      <c r="A387" s="99"/>
      <c r="B387" s="99"/>
      <c r="C387" s="99"/>
      <c r="D387" s="121"/>
      <c r="E387" s="99"/>
      <c r="F387" s="124"/>
      <c r="G387" s="121"/>
      <c r="H387" s="132" t="b">
        <f aca="false">FALSE()</f>
        <v>0</v>
      </c>
      <c r="I387" s="132" t="b">
        <f aca="false">FALSE()</f>
        <v>0</v>
      </c>
      <c r="J387" s="126"/>
      <c r="K387" s="99"/>
      <c r="L387" s="83"/>
      <c r="M387" s="103"/>
      <c r="N387" s="103"/>
      <c r="O387" s="103"/>
      <c r="P387" s="103"/>
      <c r="Q387" s="103"/>
      <c r="R387" s="83"/>
      <c r="S387" s="103"/>
      <c r="T387" s="103"/>
      <c r="U387" s="103"/>
    </row>
    <row r="388" customFormat="false" ht="22.5" hidden="false" customHeight="true" outlineLevel="0" collapsed="false">
      <c r="A388" s="110"/>
      <c r="B388" s="110"/>
      <c r="C388" s="110"/>
      <c r="D388" s="122"/>
      <c r="E388" s="110"/>
      <c r="F388" s="128"/>
      <c r="G388" s="122"/>
      <c r="H388" s="131" t="b">
        <f aca="false">FALSE()</f>
        <v>0</v>
      </c>
      <c r="I388" s="131" t="b">
        <f aca="false">FALSE()</f>
        <v>0</v>
      </c>
      <c r="J388" s="130"/>
      <c r="K388" s="110"/>
      <c r="L388" s="83"/>
      <c r="M388" s="103"/>
      <c r="N388" s="103"/>
      <c r="O388" s="103"/>
      <c r="P388" s="103"/>
      <c r="Q388" s="103"/>
      <c r="R388" s="83"/>
      <c r="S388" s="103"/>
      <c r="T388" s="103"/>
      <c r="U388" s="103"/>
    </row>
    <row r="389" customFormat="false" ht="22.5" hidden="false" customHeight="true" outlineLevel="0" collapsed="false">
      <c r="A389" s="99"/>
      <c r="B389" s="99"/>
      <c r="C389" s="99"/>
      <c r="D389" s="121"/>
      <c r="E389" s="99"/>
      <c r="F389" s="124"/>
      <c r="G389" s="121"/>
      <c r="H389" s="132" t="b">
        <f aca="false">FALSE()</f>
        <v>0</v>
      </c>
      <c r="I389" s="132" t="b">
        <f aca="false">FALSE()</f>
        <v>0</v>
      </c>
      <c r="J389" s="126"/>
      <c r="K389" s="99"/>
      <c r="L389" s="83"/>
      <c r="M389" s="103"/>
      <c r="N389" s="103"/>
      <c r="O389" s="103"/>
      <c r="P389" s="103"/>
      <c r="Q389" s="103"/>
      <c r="R389" s="83"/>
      <c r="S389" s="103"/>
      <c r="T389" s="103"/>
      <c r="U389" s="103"/>
    </row>
    <row r="390" customFormat="false" ht="22.5" hidden="false" customHeight="true" outlineLevel="0" collapsed="false">
      <c r="A390" s="110"/>
      <c r="B390" s="110"/>
      <c r="C390" s="110"/>
      <c r="D390" s="122"/>
      <c r="E390" s="110"/>
      <c r="F390" s="128"/>
      <c r="G390" s="122"/>
      <c r="H390" s="131" t="b">
        <f aca="false">FALSE()</f>
        <v>0</v>
      </c>
      <c r="I390" s="131" t="b">
        <f aca="false">FALSE()</f>
        <v>0</v>
      </c>
      <c r="J390" s="130"/>
      <c r="K390" s="110"/>
      <c r="L390" s="83"/>
      <c r="M390" s="103"/>
      <c r="N390" s="103"/>
      <c r="O390" s="103"/>
      <c r="P390" s="103"/>
      <c r="Q390" s="103"/>
      <c r="R390" s="83"/>
      <c r="S390" s="103"/>
      <c r="T390" s="103"/>
      <c r="U390" s="103"/>
    </row>
    <row r="391" customFormat="false" ht="22.5" hidden="false" customHeight="true" outlineLevel="0" collapsed="false">
      <c r="A391" s="99"/>
      <c r="B391" s="99"/>
      <c r="C391" s="99"/>
      <c r="D391" s="121"/>
      <c r="E391" s="99"/>
      <c r="F391" s="124"/>
      <c r="G391" s="121"/>
      <c r="H391" s="132" t="b">
        <f aca="false">FALSE()</f>
        <v>0</v>
      </c>
      <c r="I391" s="132" t="b">
        <f aca="false">FALSE()</f>
        <v>0</v>
      </c>
      <c r="J391" s="126"/>
      <c r="K391" s="99"/>
      <c r="L391" s="83"/>
      <c r="M391" s="103"/>
      <c r="N391" s="103"/>
      <c r="O391" s="103"/>
      <c r="P391" s="103"/>
      <c r="Q391" s="103"/>
      <c r="R391" s="83"/>
      <c r="S391" s="103"/>
      <c r="T391" s="103"/>
      <c r="U391" s="103"/>
    </row>
    <row r="392" customFormat="false" ht="22.5" hidden="false" customHeight="true" outlineLevel="0" collapsed="false">
      <c r="A392" s="110"/>
      <c r="B392" s="110"/>
      <c r="C392" s="110"/>
      <c r="D392" s="122"/>
      <c r="E392" s="110"/>
      <c r="F392" s="128"/>
      <c r="G392" s="122"/>
      <c r="H392" s="131" t="b">
        <f aca="false">FALSE()</f>
        <v>0</v>
      </c>
      <c r="I392" s="131" t="b">
        <f aca="false">FALSE()</f>
        <v>0</v>
      </c>
      <c r="J392" s="130"/>
      <c r="K392" s="110"/>
      <c r="L392" s="83"/>
      <c r="M392" s="103"/>
      <c r="N392" s="103"/>
      <c r="O392" s="103"/>
      <c r="P392" s="103"/>
      <c r="Q392" s="103"/>
      <c r="R392" s="83"/>
      <c r="S392" s="103"/>
      <c r="T392" s="103"/>
      <c r="U392" s="103"/>
    </row>
    <row r="393" customFormat="false" ht="22.5" hidden="false" customHeight="true" outlineLevel="0" collapsed="false">
      <c r="A393" s="99"/>
      <c r="B393" s="99"/>
      <c r="C393" s="99"/>
      <c r="D393" s="121"/>
      <c r="E393" s="99"/>
      <c r="F393" s="124"/>
      <c r="G393" s="121"/>
      <c r="H393" s="132" t="b">
        <f aca="false">FALSE()</f>
        <v>0</v>
      </c>
      <c r="I393" s="132" t="b">
        <f aca="false">FALSE()</f>
        <v>0</v>
      </c>
      <c r="J393" s="126"/>
      <c r="K393" s="99"/>
      <c r="L393" s="83"/>
      <c r="M393" s="103"/>
      <c r="N393" s="103"/>
      <c r="O393" s="103"/>
      <c r="P393" s="103"/>
      <c r="Q393" s="103"/>
      <c r="R393" s="83"/>
      <c r="S393" s="103"/>
      <c r="T393" s="103"/>
      <c r="U393" s="103"/>
    </row>
    <row r="394" customFormat="false" ht="22.5" hidden="false" customHeight="true" outlineLevel="0" collapsed="false">
      <c r="A394" s="110"/>
      <c r="B394" s="110"/>
      <c r="C394" s="110"/>
      <c r="D394" s="122"/>
      <c r="E394" s="110"/>
      <c r="F394" s="128"/>
      <c r="G394" s="122"/>
      <c r="H394" s="131" t="b">
        <f aca="false">FALSE()</f>
        <v>0</v>
      </c>
      <c r="I394" s="131" t="b">
        <f aca="false">FALSE()</f>
        <v>0</v>
      </c>
      <c r="J394" s="130"/>
      <c r="K394" s="110"/>
      <c r="L394" s="83"/>
      <c r="M394" s="103"/>
      <c r="N394" s="103"/>
      <c r="O394" s="103"/>
      <c r="P394" s="103"/>
      <c r="Q394" s="103"/>
      <c r="R394" s="83"/>
      <c r="S394" s="103"/>
      <c r="T394" s="103"/>
      <c r="U394" s="103"/>
    </row>
    <row r="395" customFormat="false" ht="22.5" hidden="false" customHeight="true" outlineLevel="0" collapsed="false">
      <c r="A395" s="99"/>
      <c r="B395" s="99"/>
      <c r="C395" s="99"/>
      <c r="D395" s="121"/>
      <c r="E395" s="99"/>
      <c r="F395" s="124"/>
      <c r="G395" s="121"/>
      <c r="H395" s="132" t="b">
        <f aca="false">FALSE()</f>
        <v>0</v>
      </c>
      <c r="I395" s="132" t="b">
        <f aca="false">FALSE()</f>
        <v>0</v>
      </c>
      <c r="J395" s="126"/>
      <c r="K395" s="99"/>
      <c r="L395" s="83"/>
      <c r="M395" s="103"/>
      <c r="N395" s="103"/>
      <c r="O395" s="103"/>
      <c r="P395" s="103"/>
      <c r="Q395" s="103"/>
      <c r="R395" s="83"/>
      <c r="S395" s="103"/>
      <c r="T395" s="103"/>
      <c r="U395" s="103"/>
    </row>
    <row r="396" customFormat="false" ht="22.5" hidden="false" customHeight="true" outlineLevel="0" collapsed="false">
      <c r="A396" s="110"/>
      <c r="B396" s="110"/>
      <c r="C396" s="110"/>
      <c r="D396" s="122"/>
      <c r="E396" s="110"/>
      <c r="F396" s="128"/>
      <c r="G396" s="122"/>
      <c r="H396" s="131" t="b">
        <f aca="false">FALSE()</f>
        <v>0</v>
      </c>
      <c r="I396" s="131" t="b">
        <f aca="false">FALSE()</f>
        <v>0</v>
      </c>
      <c r="J396" s="130"/>
      <c r="K396" s="110"/>
      <c r="L396" s="83"/>
      <c r="M396" s="103"/>
      <c r="N396" s="103"/>
      <c r="O396" s="103"/>
      <c r="P396" s="103"/>
      <c r="Q396" s="103"/>
      <c r="R396" s="83"/>
      <c r="S396" s="103"/>
      <c r="T396" s="103"/>
      <c r="U396" s="103"/>
    </row>
    <row r="397" customFormat="false" ht="22.5" hidden="false" customHeight="true" outlineLevel="0" collapsed="false">
      <c r="A397" s="99"/>
      <c r="B397" s="99"/>
      <c r="C397" s="99"/>
      <c r="D397" s="121"/>
      <c r="E397" s="99"/>
      <c r="F397" s="124"/>
      <c r="G397" s="121"/>
      <c r="H397" s="132" t="b">
        <f aca="false">FALSE()</f>
        <v>0</v>
      </c>
      <c r="I397" s="132" t="b">
        <f aca="false">FALSE()</f>
        <v>0</v>
      </c>
      <c r="J397" s="126"/>
      <c r="K397" s="99"/>
      <c r="L397" s="83"/>
      <c r="M397" s="103"/>
      <c r="N397" s="103"/>
      <c r="O397" s="103"/>
      <c r="P397" s="103"/>
      <c r="Q397" s="103"/>
      <c r="R397" s="83"/>
      <c r="S397" s="103"/>
      <c r="T397" s="103"/>
      <c r="U397" s="103"/>
    </row>
    <row r="398" customFormat="false" ht="22.5" hidden="false" customHeight="true" outlineLevel="0" collapsed="false">
      <c r="A398" s="110"/>
      <c r="B398" s="110"/>
      <c r="C398" s="110"/>
      <c r="D398" s="122"/>
      <c r="E398" s="110"/>
      <c r="F398" s="128"/>
      <c r="G398" s="122"/>
      <c r="H398" s="131" t="b">
        <f aca="false">FALSE()</f>
        <v>0</v>
      </c>
      <c r="I398" s="131" t="b">
        <f aca="false">FALSE()</f>
        <v>0</v>
      </c>
      <c r="J398" s="130"/>
      <c r="K398" s="110"/>
      <c r="L398" s="83"/>
      <c r="M398" s="103"/>
      <c r="N398" s="103"/>
      <c r="O398" s="103"/>
      <c r="P398" s="103"/>
      <c r="Q398" s="103"/>
      <c r="R398" s="83"/>
      <c r="S398" s="103"/>
      <c r="T398" s="103"/>
      <c r="U398" s="103"/>
    </row>
    <row r="399" customFormat="false" ht="22.5" hidden="false" customHeight="true" outlineLevel="0" collapsed="false">
      <c r="A399" s="99"/>
      <c r="B399" s="99"/>
      <c r="C399" s="99"/>
      <c r="D399" s="121"/>
      <c r="E399" s="99"/>
      <c r="F399" s="124"/>
      <c r="G399" s="121"/>
      <c r="H399" s="132" t="b">
        <f aca="false">FALSE()</f>
        <v>0</v>
      </c>
      <c r="I399" s="132" t="b">
        <f aca="false">FALSE()</f>
        <v>0</v>
      </c>
      <c r="J399" s="126"/>
      <c r="K399" s="99"/>
      <c r="L399" s="83"/>
      <c r="M399" s="103"/>
      <c r="N399" s="103"/>
      <c r="O399" s="103"/>
      <c r="P399" s="103"/>
      <c r="Q399" s="103"/>
      <c r="R399" s="83"/>
      <c r="S399" s="103"/>
      <c r="T399" s="103"/>
      <c r="U399" s="103"/>
    </row>
    <row r="400" customFormat="false" ht="22.5" hidden="false" customHeight="true" outlineLevel="0" collapsed="false">
      <c r="A400" s="110"/>
      <c r="B400" s="110"/>
      <c r="C400" s="110"/>
      <c r="D400" s="122"/>
      <c r="E400" s="110"/>
      <c r="F400" s="128"/>
      <c r="G400" s="122"/>
      <c r="H400" s="131" t="b">
        <f aca="false">FALSE()</f>
        <v>0</v>
      </c>
      <c r="I400" s="131" t="b">
        <f aca="false">FALSE()</f>
        <v>0</v>
      </c>
      <c r="J400" s="130"/>
      <c r="K400" s="110"/>
      <c r="L400" s="83"/>
      <c r="M400" s="103"/>
      <c r="N400" s="103"/>
      <c r="O400" s="103"/>
      <c r="P400" s="103"/>
      <c r="Q400" s="103"/>
      <c r="R400" s="83"/>
      <c r="S400" s="103"/>
      <c r="T400" s="103"/>
      <c r="U400" s="103"/>
    </row>
    <row r="401" customFormat="false" ht="22.5" hidden="false" customHeight="true" outlineLevel="0" collapsed="false">
      <c r="A401" s="99"/>
      <c r="B401" s="99"/>
      <c r="C401" s="99"/>
      <c r="D401" s="121"/>
      <c r="E401" s="99"/>
      <c r="F401" s="124"/>
      <c r="G401" s="121"/>
      <c r="H401" s="132" t="b">
        <f aca="false">FALSE()</f>
        <v>0</v>
      </c>
      <c r="I401" s="132" t="b">
        <f aca="false">FALSE()</f>
        <v>0</v>
      </c>
      <c r="J401" s="126"/>
      <c r="K401" s="99"/>
      <c r="L401" s="83"/>
      <c r="M401" s="103"/>
      <c r="N401" s="103"/>
      <c r="O401" s="103"/>
      <c r="P401" s="103"/>
      <c r="Q401" s="103"/>
      <c r="R401" s="83"/>
      <c r="S401" s="103"/>
      <c r="T401" s="103"/>
      <c r="U401" s="103"/>
    </row>
    <row r="402" customFormat="false" ht="22.5" hidden="false" customHeight="true" outlineLevel="0" collapsed="false">
      <c r="A402" s="110"/>
      <c r="B402" s="110"/>
      <c r="C402" s="110"/>
      <c r="D402" s="122"/>
      <c r="E402" s="110"/>
      <c r="F402" s="128"/>
      <c r="G402" s="122"/>
      <c r="H402" s="131" t="b">
        <f aca="false">FALSE()</f>
        <v>0</v>
      </c>
      <c r="I402" s="131" t="b">
        <f aca="false">FALSE()</f>
        <v>0</v>
      </c>
      <c r="J402" s="130"/>
      <c r="K402" s="110"/>
      <c r="L402" s="83"/>
      <c r="M402" s="103"/>
      <c r="N402" s="103"/>
      <c r="O402" s="103"/>
      <c r="P402" s="103"/>
      <c r="Q402" s="103"/>
      <c r="R402" s="83"/>
      <c r="S402" s="103"/>
      <c r="T402" s="103"/>
      <c r="U402" s="103"/>
    </row>
    <row r="403" customFormat="false" ht="22.5" hidden="false" customHeight="true" outlineLevel="0" collapsed="false">
      <c r="A403" s="99"/>
      <c r="B403" s="99"/>
      <c r="C403" s="99"/>
      <c r="D403" s="121"/>
      <c r="E403" s="99"/>
      <c r="F403" s="124"/>
      <c r="G403" s="121"/>
      <c r="H403" s="132" t="b">
        <f aca="false">FALSE()</f>
        <v>0</v>
      </c>
      <c r="I403" s="132" t="b">
        <f aca="false">FALSE()</f>
        <v>0</v>
      </c>
      <c r="J403" s="126"/>
      <c r="K403" s="99"/>
      <c r="L403" s="83"/>
      <c r="M403" s="103"/>
      <c r="N403" s="103"/>
      <c r="O403" s="103"/>
      <c r="P403" s="103"/>
      <c r="Q403" s="103"/>
      <c r="R403" s="83"/>
      <c r="S403" s="103"/>
      <c r="T403" s="103"/>
      <c r="U403" s="103"/>
    </row>
    <row r="404" customFormat="false" ht="22.5" hidden="false" customHeight="true" outlineLevel="0" collapsed="false">
      <c r="A404" s="110"/>
      <c r="B404" s="110"/>
      <c r="C404" s="110"/>
      <c r="D404" s="122"/>
      <c r="E404" s="110"/>
      <c r="F404" s="128"/>
      <c r="G404" s="122"/>
      <c r="H404" s="131" t="b">
        <f aca="false">FALSE()</f>
        <v>0</v>
      </c>
      <c r="I404" s="131" t="b">
        <f aca="false">FALSE()</f>
        <v>0</v>
      </c>
      <c r="J404" s="130"/>
      <c r="K404" s="110"/>
      <c r="L404" s="83"/>
      <c r="M404" s="103"/>
      <c r="N404" s="103"/>
      <c r="O404" s="103"/>
      <c r="P404" s="103"/>
      <c r="Q404" s="103"/>
      <c r="R404" s="83"/>
      <c r="S404" s="103"/>
      <c r="T404" s="103"/>
      <c r="U404" s="103"/>
    </row>
    <row r="405" customFormat="false" ht="22.5" hidden="false" customHeight="true" outlineLevel="0" collapsed="false">
      <c r="A405" s="99"/>
      <c r="B405" s="99"/>
      <c r="C405" s="99"/>
      <c r="D405" s="121"/>
      <c r="E405" s="99"/>
      <c r="F405" s="124"/>
      <c r="G405" s="121"/>
      <c r="H405" s="132" t="b">
        <f aca="false">FALSE()</f>
        <v>0</v>
      </c>
      <c r="I405" s="132" t="b">
        <f aca="false">FALSE()</f>
        <v>0</v>
      </c>
      <c r="J405" s="126"/>
      <c r="K405" s="99"/>
      <c r="L405" s="83"/>
      <c r="M405" s="103"/>
      <c r="N405" s="103"/>
      <c r="O405" s="103"/>
      <c r="P405" s="103"/>
      <c r="Q405" s="103"/>
      <c r="R405" s="83"/>
      <c r="S405" s="103"/>
      <c r="T405" s="103"/>
      <c r="U405" s="103"/>
    </row>
    <row r="406" customFormat="false" ht="22.5" hidden="false" customHeight="true" outlineLevel="0" collapsed="false">
      <c r="A406" s="110"/>
      <c r="B406" s="110"/>
      <c r="C406" s="110"/>
      <c r="D406" s="122"/>
      <c r="E406" s="110"/>
      <c r="F406" s="128"/>
      <c r="G406" s="122"/>
      <c r="H406" s="131" t="b">
        <f aca="false">FALSE()</f>
        <v>0</v>
      </c>
      <c r="I406" s="131" t="b">
        <f aca="false">FALSE()</f>
        <v>0</v>
      </c>
      <c r="J406" s="130"/>
      <c r="K406" s="110"/>
      <c r="L406" s="83"/>
      <c r="M406" s="103"/>
      <c r="N406" s="103"/>
      <c r="O406" s="103"/>
      <c r="P406" s="103"/>
      <c r="Q406" s="103"/>
      <c r="R406" s="83"/>
      <c r="S406" s="103"/>
      <c r="T406" s="103"/>
      <c r="U406" s="103"/>
    </row>
    <row r="407" customFormat="false" ht="22.5" hidden="false" customHeight="true" outlineLevel="0" collapsed="false">
      <c r="A407" s="99"/>
      <c r="B407" s="99"/>
      <c r="C407" s="99"/>
      <c r="D407" s="121"/>
      <c r="E407" s="99"/>
      <c r="F407" s="124"/>
      <c r="G407" s="121"/>
      <c r="H407" s="132" t="b">
        <f aca="false">FALSE()</f>
        <v>0</v>
      </c>
      <c r="I407" s="132" t="b">
        <f aca="false">FALSE()</f>
        <v>0</v>
      </c>
      <c r="J407" s="126"/>
      <c r="K407" s="99"/>
      <c r="L407" s="83"/>
      <c r="M407" s="103"/>
      <c r="N407" s="103"/>
      <c r="O407" s="103"/>
      <c r="P407" s="103"/>
      <c r="Q407" s="103"/>
      <c r="R407" s="83"/>
      <c r="S407" s="103"/>
      <c r="T407" s="103"/>
      <c r="U407" s="103"/>
    </row>
    <row r="408" customFormat="false" ht="22.5" hidden="false" customHeight="true" outlineLevel="0" collapsed="false">
      <c r="A408" s="110"/>
      <c r="B408" s="110"/>
      <c r="C408" s="110"/>
      <c r="D408" s="122"/>
      <c r="E408" s="110"/>
      <c r="F408" s="128"/>
      <c r="G408" s="122"/>
      <c r="H408" s="131" t="b">
        <f aca="false">FALSE()</f>
        <v>0</v>
      </c>
      <c r="I408" s="131" t="b">
        <f aca="false">FALSE()</f>
        <v>0</v>
      </c>
      <c r="J408" s="130"/>
      <c r="K408" s="110"/>
      <c r="L408" s="83"/>
      <c r="M408" s="103"/>
      <c r="N408" s="103"/>
      <c r="O408" s="103"/>
      <c r="P408" s="103"/>
      <c r="Q408" s="103"/>
      <c r="R408" s="83"/>
      <c r="S408" s="103"/>
      <c r="T408" s="103"/>
      <c r="U408" s="103"/>
    </row>
    <row r="409" customFormat="false" ht="22.5" hidden="false" customHeight="true" outlineLevel="0" collapsed="false">
      <c r="A409" s="99"/>
      <c r="B409" s="99"/>
      <c r="C409" s="99"/>
      <c r="D409" s="121"/>
      <c r="E409" s="99"/>
      <c r="F409" s="124"/>
      <c r="G409" s="121"/>
      <c r="H409" s="132" t="b">
        <f aca="false">FALSE()</f>
        <v>0</v>
      </c>
      <c r="I409" s="132" t="b">
        <f aca="false">FALSE()</f>
        <v>0</v>
      </c>
      <c r="J409" s="126"/>
      <c r="K409" s="99"/>
      <c r="L409" s="83"/>
      <c r="M409" s="103"/>
      <c r="N409" s="103"/>
      <c r="O409" s="103"/>
      <c r="P409" s="103"/>
      <c r="Q409" s="103"/>
      <c r="R409" s="83"/>
      <c r="S409" s="103"/>
      <c r="T409" s="103"/>
      <c r="U409" s="103"/>
    </row>
    <row r="410" customFormat="false" ht="22.5" hidden="false" customHeight="true" outlineLevel="0" collapsed="false">
      <c r="A410" s="110"/>
      <c r="B410" s="110"/>
      <c r="C410" s="110"/>
      <c r="D410" s="122"/>
      <c r="E410" s="110"/>
      <c r="F410" s="128"/>
      <c r="G410" s="122"/>
      <c r="H410" s="131" t="b">
        <f aca="false">FALSE()</f>
        <v>0</v>
      </c>
      <c r="I410" s="131" t="b">
        <f aca="false">FALSE()</f>
        <v>0</v>
      </c>
      <c r="J410" s="130"/>
      <c r="K410" s="110"/>
      <c r="L410" s="83"/>
      <c r="M410" s="103"/>
      <c r="N410" s="103"/>
      <c r="O410" s="103"/>
      <c r="P410" s="103"/>
      <c r="Q410" s="103"/>
      <c r="R410" s="83"/>
      <c r="S410" s="103"/>
      <c r="T410" s="103"/>
      <c r="U410" s="103"/>
    </row>
    <row r="411" customFormat="false" ht="22.5" hidden="false" customHeight="true" outlineLevel="0" collapsed="false">
      <c r="A411" s="99"/>
      <c r="B411" s="99"/>
      <c r="C411" s="99"/>
      <c r="D411" s="121"/>
      <c r="E411" s="99"/>
      <c r="F411" s="124"/>
      <c r="G411" s="121"/>
      <c r="H411" s="132" t="b">
        <f aca="false">FALSE()</f>
        <v>0</v>
      </c>
      <c r="I411" s="132" t="b">
        <f aca="false">FALSE()</f>
        <v>0</v>
      </c>
      <c r="J411" s="126"/>
      <c r="K411" s="99"/>
      <c r="L411" s="83"/>
      <c r="M411" s="103"/>
      <c r="N411" s="103"/>
      <c r="O411" s="103"/>
      <c r="P411" s="103"/>
      <c r="Q411" s="103"/>
      <c r="R411" s="83"/>
      <c r="S411" s="103"/>
      <c r="T411" s="103"/>
      <c r="U411" s="103"/>
    </row>
    <row r="412" customFormat="false" ht="22.5" hidden="false" customHeight="true" outlineLevel="0" collapsed="false">
      <c r="A412" s="110"/>
      <c r="B412" s="110"/>
      <c r="C412" s="110"/>
      <c r="D412" s="122"/>
      <c r="E412" s="110"/>
      <c r="F412" s="128"/>
      <c r="G412" s="122"/>
      <c r="H412" s="131" t="b">
        <f aca="false">FALSE()</f>
        <v>0</v>
      </c>
      <c r="I412" s="131" t="b">
        <f aca="false">FALSE()</f>
        <v>0</v>
      </c>
      <c r="J412" s="130"/>
      <c r="K412" s="110"/>
      <c r="L412" s="83"/>
      <c r="M412" s="103"/>
      <c r="N412" s="103"/>
      <c r="O412" s="103"/>
      <c r="P412" s="103"/>
      <c r="Q412" s="103"/>
      <c r="R412" s="83"/>
      <c r="S412" s="103"/>
      <c r="T412" s="103"/>
      <c r="U412" s="103"/>
    </row>
    <row r="413" customFormat="false" ht="22.5" hidden="false" customHeight="true" outlineLevel="0" collapsed="false">
      <c r="A413" s="99"/>
      <c r="B413" s="99"/>
      <c r="C413" s="99"/>
      <c r="D413" s="121"/>
      <c r="E413" s="99"/>
      <c r="F413" s="124"/>
      <c r="G413" s="121"/>
      <c r="H413" s="132" t="b">
        <f aca="false">FALSE()</f>
        <v>0</v>
      </c>
      <c r="I413" s="132" t="b">
        <f aca="false">FALSE()</f>
        <v>0</v>
      </c>
      <c r="J413" s="126"/>
      <c r="K413" s="99"/>
      <c r="L413" s="83"/>
      <c r="M413" s="103"/>
      <c r="N413" s="103"/>
      <c r="O413" s="103"/>
      <c r="P413" s="103"/>
      <c r="Q413" s="103"/>
      <c r="R413" s="83"/>
      <c r="S413" s="103"/>
      <c r="T413" s="103"/>
      <c r="U413" s="103"/>
    </row>
    <row r="414" customFormat="false" ht="22.5" hidden="false" customHeight="true" outlineLevel="0" collapsed="false">
      <c r="A414" s="110"/>
      <c r="B414" s="110"/>
      <c r="C414" s="110"/>
      <c r="D414" s="122"/>
      <c r="E414" s="110"/>
      <c r="F414" s="128"/>
      <c r="G414" s="122"/>
      <c r="H414" s="131" t="b">
        <f aca="false">FALSE()</f>
        <v>0</v>
      </c>
      <c r="I414" s="131" t="b">
        <f aca="false">FALSE()</f>
        <v>0</v>
      </c>
      <c r="J414" s="130"/>
      <c r="K414" s="110"/>
      <c r="L414" s="83"/>
      <c r="M414" s="103"/>
      <c r="N414" s="103"/>
      <c r="O414" s="103"/>
      <c r="P414" s="103"/>
      <c r="Q414" s="103"/>
      <c r="R414" s="83"/>
      <c r="S414" s="103"/>
      <c r="T414" s="103"/>
      <c r="U414" s="103"/>
    </row>
    <row r="415" customFormat="false" ht="22.5" hidden="false" customHeight="true" outlineLevel="0" collapsed="false">
      <c r="A415" s="99"/>
      <c r="B415" s="99"/>
      <c r="C415" s="99"/>
      <c r="D415" s="121"/>
      <c r="E415" s="99"/>
      <c r="F415" s="124"/>
      <c r="G415" s="121"/>
      <c r="H415" s="132" t="b">
        <f aca="false">FALSE()</f>
        <v>0</v>
      </c>
      <c r="I415" s="132" t="b">
        <f aca="false">FALSE()</f>
        <v>0</v>
      </c>
      <c r="J415" s="126"/>
      <c r="K415" s="99"/>
      <c r="L415" s="83"/>
      <c r="M415" s="103"/>
      <c r="N415" s="103"/>
      <c r="O415" s="103"/>
      <c r="P415" s="103"/>
      <c r="Q415" s="103"/>
      <c r="R415" s="83"/>
      <c r="S415" s="103"/>
      <c r="T415" s="103"/>
      <c r="U415" s="103"/>
    </row>
    <row r="416" customFormat="false" ht="22.5" hidden="false" customHeight="true" outlineLevel="0" collapsed="false">
      <c r="A416" s="110"/>
      <c r="B416" s="110"/>
      <c r="C416" s="110"/>
      <c r="D416" s="122"/>
      <c r="E416" s="110"/>
      <c r="F416" s="128"/>
      <c r="G416" s="122"/>
      <c r="H416" s="131" t="b">
        <f aca="false">FALSE()</f>
        <v>0</v>
      </c>
      <c r="I416" s="131" t="b">
        <f aca="false">FALSE()</f>
        <v>0</v>
      </c>
      <c r="J416" s="130"/>
      <c r="K416" s="110"/>
      <c r="L416" s="83"/>
      <c r="M416" s="103"/>
      <c r="N416" s="103"/>
      <c r="O416" s="103"/>
      <c r="P416" s="103"/>
      <c r="Q416" s="103"/>
      <c r="R416" s="83"/>
      <c r="S416" s="103"/>
      <c r="T416" s="103"/>
      <c r="U416" s="103"/>
    </row>
    <row r="417" customFormat="false" ht="22.5" hidden="false" customHeight="true" outlineLevel="0" collapsed="false">
      <c r="A417" s="99"/>
      <c r="B417" s="99"/>
      <c r="C417" s="99"/>
      <c r="D417" s="121"/>
      <c r="E417" s="99"/>
      <c r="F417" s="124"/>
      <c r="G417" s="121"/>
      <c r="H417" s="132" t="b">
        <f aca="false">FALSE()</f>
        <v>0</v>
      </c>
      <c r="I417" s="132" t="b">
        <f aca="false">FALSE()</f>
        <v>0</v>
      </c>
      <c r="J417" s="126"/>
      <c r="K417" s="99"/>
      <c r="L417" s="83"/>
      <c r="M417" s="103"/>
      <c r="N417" s="103"/>
      <c r="O417" s="103"/>
      <c r="P417" s="103"/>
      <c r="Q417" s="103"/>
      <c r="R417" s="83"/>
      <c r="S417" s="103"/>
      <c r="T417" s="103"/>
      <c r="U417" s="103"/>
    </row>
    <row r="418" customFormat="false" ht="22.5" hidden="false" customHeight="true" outlineLevel="0" collapsed="false">
      <c r="A418" s="110"/>
      <c r="B418" s="110"/>
      <c r="C418" s="110"/>
      <c r="D418" s="122"/>
      <c r="E418" s="110"/>
      <c r="F418" s="128"/>
      <c r="G418" s="122"/>
      <c r="H418" s="131" t="b">
        <f aca="false">FALSE()</f>
        <v>0</v>
      </c>
      <c r="I418" s="131" t="b">
        <f aca="false">FALSE()</f>
        <v>0</v>
      </c>
      <c r="J418" s="130"/>
      <c r="K418" s="110"/>
      <c r="L418" s="83"/>
      <c r="M418" s="103"/>
      <c r="N418" s="103"/>
      <c r="O418" s="103"/>
      <c r="P418" s="103"/>
      <c r="Q418" s="103"/>
      <c r="R418" s="83"/>
      <c r="S418" s="103"/>
      <c r="T418" s="103"/>
      <c r="U418" s="103"/>
    </row>
    <row r="419" customFormat="false" ht="22.5" hidden="false" customHeight="true" outlineLevel="0" collapsed="false">
      <c r="A419" s="99"/>
      <c r="B419" s="99"/>
      <c r="C419" s="99"/>
      <c r="D419" s="121"/>
      <c r="E419" s="99"/>
      <c r="F419" s="124"/>
      <c r="G419" s="121"/>
      <c r="H419" s="132" t="b">
        <f aca="false">FALSE()</f>
        <v>0</v>
      </c>
      <c r="I419" s="132" t="b">
        <f aca="false">FALSE()</f>
        <v>0</v>
      </c>
      <c r="J419" s="126"/>
      <c r="K419" s="99"/>
      <c r="L419" s="83"/>
      <c r="M419" s="103"/>
      <c r="N419" s="103"/>
      <c r="O419" s="103"/>
      <c r="P419" s="103"/>
      <c r="Q419" s="103"/>
      <c r="R419" s="83"/>
      <c r="S419" s="103"/>
      <c r="T419" s="103"/>
      <c r="U419" s="103"/>
    </row>
    <row r="420" customFormat="false" ht="22.5" hidden="false" customHeight="true" outlineLevel="0" collapsed="false">
      <c r="A420" s="110"/>
      <c r="B420" s="110"/>
      <c r="C420" s="110"/>
      <c r="D420" s="122"/>
      <c r="E420" s="110"/>
      <c r="F420" s="128"/>
      <c r="G420" s="122"/>
      <c r="H420" s="131" t="b">
        <f aca="false">FALSE()</f>
        <v>0</v>
      </c>
      <c r="I420" s="131" t="b">
        <f aca="false">FALSE()</f>
        <v>0</v>
      </c>
      <c r="J420" s="130"/>
      <c r="K420" s="110"/>
      <c r="L420" s="83"/>
      <c r="M420" s="103"/>
      <c r="N420" s="103"/>
      <c r="O420" s="103"/>
      <c r="P420" s="103"/>
      <c r="Q420" s="103"/>
      <c r="R420" s="83"/>
      <c r="S420" s="103"/>
      <c r="T420" s="103"/>
      <c r="U420" s="103"/>
    </row>
    <row r="421" customFormat="false" ht="22.5" hidden="false" customHeight="true" outlineLevel="0" collapsed="false">
      <c r="A421" s="99"/>
      <c r="B421" s="99"/>
      <c r="C421" s="99"/>
      <c r="D421" s="121"/>
      <c r="E421" s="99"/>
      <c r="F421" s="124"/>
      <c r="G421" s="121"/>
      <c r="H421" s="132" t="b">
        <f aca="false">FALSE()</f>
        <v>0</v>
      </c>
      <c r="I421" s="132" t="b">
        <f aca="false">FALSE()</f>
        <v>0</v>
      </c>
      <c r="J421" s="126"/>
      <c r="K421" s="99"/>
      <c r="L421" s="83"/>
      <c r="M421" s="103"/>
      <c r="N421" s="103"/>
      <c r="O421" s="103"/>
      <c r="P421" s="103"/>
      <c r="Q421" s="103"/>
      <c r="R421" s="83"/>
      <c r="S421" s="103"/>
      <c r="T421" s="103"/>
      <c r="U421" s="103"/>
    </row>
    <row r="422" customFormat="false" ht="22.5" hidden="false" customHeight="true" outlineLevel="0" collapsed="false">
      <c r="A422" s="110"/>
      <c r="B422" s="110"/>
      <c r="C422" s="110"/>
      <c r="D422" s="122"/>
      <c r="E422" s="110"/>
      <c r="F422" s="128"/>
      <c r="G422" s="122"/>
      <c r="H422" s="131" t="b">
        <f aca="false">FALSE()</f>
        <v>0</v>
      </c>
      <c r="I422" s="131" t="b">
        <f aca="false">FALSE()</f>
        <v>0</v>
      </c>
      <c r="J422" s="130"/>
      <c r="K422" s="110"/>
      <c r="L422" s="83"/>
      <c r="M422" s="103"/>
      <c r="N422" s="103"/>
      <c r="O422" s="103"/>
      <c r="P422" s="103"/>
      <c r="Q422" s="103"/>
      <c r="R422" s="83"/>
      <c r="S422" s="103"/>
      <c r="T422" s="103"/>
      <c r="U422" s="103"/>
    </row>
    <row r="423" customFormat="false" ht="22.5" hidden="false" customHeight="true" outlineLevel="0" collapsed="false">
      <c r="A423" s="99"/>
      <c r="B423" s="99"/>
      <c r="C423" s="99"/>
      <c r="D423" s="121"/>
      <c r="E423" s="99"/>
      <c r="F423" s="124"/>
      <c r="G423" s="121"/>
      <c r="H423" s="132" t="b">
        <f aca="false">FALSE()</f>
        <v>0</v>
      </c>
      <c r="I423" s="132" t="b">
        <f aca="false">FALSE()</f>
        <v>0</v>
      </c>
      <c r="J423" s="126"/>
      <c r="K423" s="99"/>
      <c r="L423" s="83"/>
      <c r="M423" s="103"/>
      <c r="N423" s="103"/>
      <c r="O423" s="103"/>
      <c r="P423" s="103"/>
      <c r="Q423" s="103"/>
      <c r="R423" s="83"/>
      <c r="S423" s="103"/>
      <c r="T423" s="103"/>
      <c r="U423" s="103"/>
    </row>
    <row r="424" customFormat="false" ht="22.5" hidden="false" customHeight="true" outlineLevel="0" collapsed="false">
      <c r="A424" s="110"/>
      <c r="B424" s="110"/>
      <c r="C424" s="110"/>
      <c r="D424" s="122"/>
      <c r="E424" s="110"/>
      <c r="F424" s="128"/>
      <c r="G424" s="122"/>
      <c r="H424" s="131" t="b">
        <f aca="false">FALSE()</f>
        <v>0</v>
      </c>
      <c r="I424" s="131" t="b">
        <f aca="false">FALSE()</f>
        <v>0</v>
      </c>
      <c r="J424" s="130"/>
      <c r="K424" s="110"/>
      <c r="L424" s="83"/>
      <c r="M424" s="103"/>
      <c r="N424" s="103"/>
      <c r="O424" s="103"/>
      <c r="P424" s="103"/>
      <c r="Q424" s="103"/>
      <c r="R424" s="83"/>
      <c r="S424" s="103"/>
      <c r="T424" s="103"/>
      <c r="U424" s="103"/>
    </row>
    <row r="425" customFormat="false" ht="22.5" hidden="false" customHeight="true" outlineLevel="0" collapsed="false">
      <c r="A425" s="99"/>
      <c r="B425" s="99"/>
      <c r="C425" s="99"/>
      <c r="D425" s="121"/>
      <c r="E425" s="99"/>
      <c r="F425" s="124"/>
      <c r="G425" s="121"/>
      <c r="H425" s="132" t="b">
        <f aca="false">FALSE()</f>
        <v>0</v>
      </c>
      <c r="I425" s="132" t="b">
        <f aca="false">FALSE()</f>
        <v>0</v>
      </c>
      <c r="J425" s="126"/>
      <c r="K425" s="99"/>
      <c r="L425" s="83"/>
      <c r="M425" s="103"/>
      <c r="N425" s="103"/>
      <c r="O425" s="103"/>
      <c r="P425" s="103"/>
      <c r="Q425" s="103"/>
      <c r="R425" s="83"/>
      <c r="S425" s="103"/>
      <c r="T425" s="103"/>
      <c r="U425" s="103"/>
    </row>
    <row r="426" customFormat="false" ht="22.5" hidden="false" customHeight="true" outlineLevel="0" collapsed="false">
      <c r="A426" s="110"/>
      <c r="B426" s="110"/>
      <c r="C426" s="110"/>
      <c r="D426" s="122"/>
      <c r="E426" s="110"/>
      <c r="F426" s="128"/>
      <c r="G426" s="122"/>
      <c r="H426" s="131" t="b">
        <f aca="false">FALSE()</f>
        <v>0</v>
      </c>
      <c r="I426" s="131" t="b">
        <f aca="false">FALSE()</f>
        <v>0</v>
      </c>
      <c r="J426" s="130"/>
      <c r="K426" s="110"/>
      <c r="L426" s="83"/>
      <c r="M426" s="103"/>
      <c r="N426" s="103"/>
      <c r="O426" s="103"/>
      <c r="P426" s="103"/>
      <c r="Q426" s="103"/>
      <c r="R426" s="83"/>
      <c r="S426" s="103"/>
      <c r="T426" s="103"/>
      <c r="U426" s="103"/>
    </row>
    <row r="427" customFormat="false" ht="22.5" hidden="false" customHeight="true" outlineLevel="0" collapsed="false">
      <c r="A427" s="99"/>
      <c r="B427" s="99"/>
      <c r="C427" s="99"/>
      <c r="D427" s="121"/>
      <c r="E427" s="99"/>
      <c r="F427" s="124"/>
      <c r="G427" s="121"/>
      <c r="H427" s="132" t="b">
        <f aca="false">FALSE()</f>
        <v>0</v>
      </c>
      <c r="I427" s="132" t="b">
        <f aca="false">FALSE()</f>
        <v>0</v>
      </c>
      <c r="J427" s="126"/>
      <c r="K427" s="99"/>
      <c r="L427" s="83"/>
      <c r="M427" s="103"/>
      <c r="N427" s="103"/>
      <c r="O427" s="103"/>
      <c r="P427" s="103"/>
      <c r="Q427" s="103"/>
      <c r="R427" s="83"/>
      <c r="S427" s="103"/>
      <c r="T427" s="103"/>
      <c r="U427" s="103"/>
    </row>
    <row r="428" customFormat="false" ht="22.5" hidden="false" customHeight="true" outlineLevel="0" collapsed="false">
      <c r="A428" s="110"/>
      <c r="B428" s="110"/>
      <c r="C428" s="110"/>
      <c r="D428" s="122"/>
      <c r="E428" s="110"/>
      <c r="F428" s="128"/>
      <c r="G428" s="122"/>
      <c r="H428" s="131" t="b">
        <f aca="false">FALSE()</f>
        <v>0</v>
      </c>
      <c r="I428" s="131" t="b">
        <f aca="false">FALSE()</f>
        <v>0</v>
      </c>
      <c r="J428" s="130"/>
      <c r="K428" s="110"/>
      <c r="L428" s="83"/>
      <c r="M428" s="103"/>
      <c r="N428" s="103"/>
      <c r="O428" s="103"/>
      <c r="P428" s="103"/>
      <c r="Q428" s="103"/>
      <c r="R428" s="83"/>
      <c r="S428" s="103"/>
      <c r="T428" s="103"/>
      <c r="U428" s="103"/>
    </row>
    <row r="429" customFormat="false" ht="22.5" hidden="false" customHeight="true" outlineLevel="0" collapsed="false">
      <c r="A429" s="99"/>
      <c r="B429" s="99"/>
      <c r="C429" s="99"/>
      <c r="D429" s="121"/>
      <c r="E429" s="99"/>
      <c r="F429" s="124"/>
      <c r="G429" s="121"/>
      <c r="H429" s="132" t="b">
        <f aca="false">FALSE()</f>
        <v>0</v>
      </c>
      <c r="I429" s="132" t="b">
        <f aca="false">FALSE()</f>
        <v>0</v>
      </c>
      <c r="J429" s="126"/>
      <c r="K429" s="99"/>
      <c r="L429" s="83"/>
      <c r="M429" s="103"/>
      <c r="N429" s="103"/>
      <c r="O429" s="103"/>
      <c r="P429" s="103"/>
      <c r="Q429" s="103"/>
      <c r="R429" s="83"/>
      <c r="S429" s="103"/>
      <c r="T429" s="103"/>
      <c r="U429" s="103"/>
    </row>
    <row r="430" customFormat="false" ht="22.5" hidden="false" customHeight="true" outlineLevel="0" collapsed="false">
      <c r="A430" s="110"/>
      <c r="B430" s="110"/>
      <c r="C430" s="110"/>
      <c r="D430" s="122"/>
      <c r="E430" s="110"/>
      <c r="F430" s="128"/>
      <c r="G430" s="122"/>
      <c r="H430" s="131" t="b">
        <f aca="false">FALSE()</f>
        <v>0</v>
      </c>
      <c r="I430" s="131" t="b">
        <f aca="false">FALSE()</f>
        <v>0</v>
      </c>
      <c r="J430" s="130"/>
      <c r="K430" s="110"/>
      <c r="L430" s="83"/>
      <c r="M430" s="103"/>
      <c r="N430" s="103"/>
      <c r="O430" s="103"/>
      <c r="P430" s="103"/>
      <c r="Q430" s="103"/>
      <c r="R430" s="83"/>
      <c r="S430" s="103"/>
      <c r="T430" s="103"/>
      <c r="U430" s="103"/>
    </row>
    <row r="431" customFormat="false" ht="22.5" hidden="false" customHeight="true" outlineLevel="0" collapsed="false">
      <c r="A431" s="99"/>
      <c r="B431" s="99"/>
      <c r="C431" s="99"/>
      <c r="D431" s="121"/>
      <c r="E431" s="99"/>
      <c r="F431" s="124"/>
      <c r="G431" s="121"/>
      <c r="H431" s="132" t="b">
        <f aca="false">FALSE()</f>
        <v>0</v>
      </c>
      <c r="I431" s="132" t="b">
        <f aca="false">FALSE()</f>
        <v>0</v>
      </c>
      <c r="J431" s="126"/>
      <c r="K431" s="99"/>
      <c r="L431" s="83"/>
      <c r="M431" s="103"/>
      <c r="N431" s="103"/>
      <c r="O431" s="103"/>
      <c r="P431" s="103"/>
      <c r="Q431" s="103"/>
      <c r="R431" s="83"/>
      <c r="S431" s="103"/>
      <c r="T431" s="103"/>
      <c r="U431" s="103"/>
    </row>
    <row r="432" customFormat="false" ht="22.5" hidden="false" customHeight="true" outlineLevel="0" collapsed="false">
      <c r="A432" s="110"/>
      <c r="B432" s="110"/>
      <c r="C432" s="110"/>
      <c r="D432" s="122"/>
      <c r="E432" s="110"/>
      <c r="F432" s="128"/>
      <c r="G432" s="122"/>
      <c r="H432" s="131" t="b">
        <f aca="false">FALSE()</f>
        <v>0</v>
      </c>
      <c r="I432" s="131" t="b">
        <f aca="false">FALSE()</f>
        <v>0</v>
      </c>
      <c r="J432" s="130"/>
      <c r="K432" s="110"/>
      <c r="L432" s="83"/>
      <c r="M432" s="103"/>
      <c r="N432" s="103"/>
      <c r="O432" s="103"/>
      <c r="P432" s="103"/>
      <c r="Q432" s="103"/>
      <c r="R432" s="83"/>
      <c r="S432" s="103"/>
      <c r="T432" s="103"/>
      <c r="U432" s="103"/>
    </row>
    <row r="433" customFormat="false" ht="22.5" hidden="false" customHeight="true" outlineLevel="0" collapsed="false">
      <c r="A433" s="99"/>
      <c r="B433" s="99"/>
      <c r="C433" s="99"/>
      <c r="D433" s="121"/>
      <c r="E433" s="99"/>
      <c r="F433" s="124"/>
      <c r="G433" s="121"/>
      <c r="H433" s="132" t="b">
        <f aca="false">FALSE()</f>
        <v>0</v>
      </c>
      <c r="I433" s="132" t="b">
        <f aca="false">FALSE()</f>
        <v>0</v>
      </c>
      <c r="J433" s="126"/>
      <c r="K433" s="99"/>
      <c r="L433" s="83"/>
      <c r="M433" s="103"/>
      <c r="N433" s="103"/>
      <c r="O433" s="103"/>
      <c r="P433" s="103"/>
      <c r="Q433" s="103"/>
      <c r="R433" s="83"/>
      <c r="S433" s="103"/>
      <c r="T433" s="103"/>
      <c r="U433" s="103"/>
    </row>
    <row r="434" customFormat="false" ht="22.5" hidden="false" customHeight="true" outlineLevel="0" collapsed="false">
      <c r="A434" s="110"/>
      <c r="B434" s="110"/>
      <c r="C434" s="110"/>
      <c r="D434" s="122"/>
      <c r="E434" s="110"/>
      <c r="F434" s="128"/>
      <c r="G434" s="122"/>
      <c r="H434" s="131" t="b">
        <f aca="false">FALSE()</f>
        <v>0</v>
      </c>
      <c r="I434" s="131" t="b">
        <f aca="false">FALSE()</f>
        <v>0</v>
      </c>
      <c r="J434" s="130"/>
      <c r="K434" s="110"/>
      <c r="L434" s="83"/>
      <c r="M434" s="103"/>
      <c r="N434" s="103"/>
      <c r="O434" s="103"/>
      <c r="P434" s="103"/>
      <c r="Q434" s="103"/>
      <c r="R434" s="83"/>
      <c r="S434" s="103"/>
      <c r="T434" s="103"/>
      <c r="U434" s="103"/>
    </row>
    <row r="435" customFormat="false" ht="22.5" hidden="false" customHeight="true" outlineLevel="0" collapsed="false">
      <c r="A435" s="99"/>
      <c r="B435" s="99"/>
      <c r="C435" s="99"/>
      <c r="D435" s="121"/>
      <c r="E435" s="99"/>
      <c r="F435" s="124"/>
      <c r="G435" s="121"/>
      <c r="H435" s="132" t="b">
        <f aca="false">FALSE()</f>
        <v>0</v>
      </c>
      <c r="I435" s="132" t="b">
        <f aca="false">FALSE()</f>
        <v>0</v>
      </c>
      <c r="J435" s="126"/>
      <c r="K435" s="99"/>
      <c r="L435" s="83"/>
      <c r="M435" s="103"/>
      <c r="N435" s="103"/>
      <c r="O435" s="103"/>
      <c r="P435" s="103"/>
      <c r="Q435" s="103"/>
      <c r="R435" s="83"/>
      <c r="S435" s="103"/>
      <c r="T435" s="103"/>
      <c r="U435" s="103"/>
    </row>
    <row r="436" customFormat="false" ht="22.5" hidden="false" customHeight="true" outlineLevel="0" collapsed="false">
      <c r="A436" s="110"/>
      <c r="B436" s="110"/>
      <c r="C436" s="110"/>
      <c r="D436" s="122"/>
      <c r="E436" s="110"/>
      <c r="F436" s="128"/>
      <c r="G436" s="122"/>
      <c r="H436" s="131" t="b">
        <f aca="false">FALSE()</f>
        <v>0</v>
      </c>
      <c r="I436" s="131" t="b">
        <f aca="false">FALSE()</f>
        <v>0</v>
      </c>
      <c r="J436" s="130"/>
      <c r="K436" s="110"/>
      <c r="L436" s="83"/>
      <c r="M436" s="103"/>
      <c r="N436" s="103"/>
      <c r="O436" s="103"/>
      <c r="P436" s="103"/>
      <c r="Q436" s="103"/>
      <c r="R436" s="83"/>
      <c r="S436" s="103"/>
      <c r="T436" s="103"/>
      <c r="U436" s="103"/>
    </row>
    <row r="437" customFormat="false" ht="22.5" hidden="false" customHeight="true" outlineLevel="0" collapsed="false">
      <c r="A437" s="99"/>
      <c r="B437" s="99"/>
      <c r="C437" s="99"/>
      <c r="D437" s="121"/>
      <c r="E437" s="99"/>
      <c r="F437" s="124"/>
      <c r="G437" s="121"/>
      <c r="H437" s="132" t="b">
        <f aca="false">FALSE()</f>
        <v>0</v>
      </c>
      <c r="I437" s="132" t="b">
        <f aca="false">FALSE()</f>
        <v>0</v>
      </c>
      <c r="J437" s="126"/>
      <c r="K437" s="99"/>
      <c r="L437" s="83"/>
      <c r="M437" s="103"/>
      <c r="N437" s="103"/>
      <c r="O437" s="103"/>
      <c r="P437" s="103"/>
      <c r="Q437" s="103"/>
      <c r="R437" s="83"/>
      <c r="S437" s="103"/>
      <c r="T437" s="103"/>
      <c r="U437" s="103"/>
    </row>
    <row r="438" customFormat="false" ht="22.5" hidden="false" customHeight="true" outlineLevel="0" collapsed="false">
      <c r="A438" s="110"/>
      <c r="B438" s="110"/>
      <c r="C438" s="110"/>
      <c r="D438" s="122"/>
      <c r="E438" s="110"/>
      <c r="F438" s="128"/>
      <c r="G438" s="122"/>
      <c r="H438" s="131" t="b">
        <f aca="false">FALSE()</f>
        <v>0</v>
      </c>
      <c r="I438" s="131" t="b">
        <f aca="false">FALSE()</f>
        <v>0</v>
      </c>
      <c r="J438" s="130"/>
      <c r="K438" s="110"/>
      <c r="L438" s="83"/>
      <c r="M438" s="103"/>
      <c r="N438" s="103"/>
      <c r="O438" s="103"/>
      <c r="P438" s="103"/>
      <c r="Q438" s="103"/>
      <c r="R438" s="83"/>
      <c r="S438" s="103"/>
      <c r="T438" s="103"/>
      <c r="U438" s="103"/>
    </row>
    <row r="439" customFormat="false" ht="22.5" hidden="false" customHeight="true" outlineLevel="0" collapsed="false">
      <c r="A439" s="99"/>
      <c r="B439" s="99"/>
      <c r="C439" s="99"/>
      <c r="D439" s="121"/>
      <c r="E439" s="99"/>
      <c r="F439" s="124"/>
      <c r="G439" s="121"/>
      <c r="H439" s="132" t="b">
        <f aca="false">FALSE()</f>
        <v>0</v>
      </c>
      <c r="I439" s="132" t="b">
        <f aca="false">FALSE()</f>
        <v>0</v>
      </c>
      <c r="J439" s="126"/>
      <c r="K439" s="99"/>
      <c r="L439" s="83"/>
      <c r="M439" s="103"/>
      <c r="N439" s="103"/>
      <c r="O439" s="103"/>
      <c r="P439" s="103"/>
      <c r="Q439" s="103"/>
      <c r="R439" s="83"/>
      <c r="S439" s="103"/>
      <c r="T439" s="103"/>
      <c r="U439" s="103"/>
    </row>
    <row r="440" customFormat="false" ht="22.5" hidden="false" customHeight="true" outlineLevel="0" collapsed="false">
      <c r="A440" s="110"/>
      <c r="B440" s="110"/>
      <c r="C440" s="110"/>
      <c r="D440" s="122"/>
      <c r="E440" s="110"/>
      <c r="F440" s="128"/>
      <c r="G440" s="122"/>
      <c r="H440" s="131" t="b">
        <f aca="false">FALSE()</f>
        <v>0</v>
      </c>
      <c r="I440" s="131" t="b">
        <f aca="false">FALSE()</f>
        <v>0</v>
      </c>
      <c r="J440" s="130"/>
      <c r="K440" s="110"/>
      <c r="L440" s="83"/>
      <c r="M440" s="103"/>
      <c r="N440" s="103"/>
      <c r="O440" s="103"/>
      <c r="P440" s="103"/>
      <c r="Q440" s="103"/>
      <c r="R440" s="83"/>
      <c r="S440" s="103"/>
      <c r="T440" s="103"/>
      <c r="U440" s="103"/>
    </row>
    <row r="441" customFormat="false" ht="22.5" hidden="false" customHeight="true" outlineLevel="0" collapsed="false">
      <c r="A441" s="99"/>
      <c r="B441" s="99"/>
      <c r="C441" s="99"/>
      <c r="D441" s="121"/>
      <c r="E441" s="99"/>
      <c r="F441" s="124"/>
      <c r="G441" s="121"/>
      <c r="H441" s="132" t="b">
        <f aca="false">FALSE()</f>
        <v>0</v>
      </c>
      <c r="I441" s="132" t="b">
        <f aca="false">FALSE()</f>
        <v>0</v>
      </c>
      <c r="J441" s="126"/>
      <c r="K441" s="99"/>
      <c r="L441" s="83"/>
      <c r="M441" s="103"/>
      <c r="N441" s="103"/>
      <c r="O441" s="103"/>
      <c r="P441" s="103"/>
      <c r="Q441" s="103"/>
      <c r="R441" s="83"/>
      <c r="S441" s="103"/>
      <c r="T441" s="103"/>
      <c r="U441" s="103"/>
    </row>
    <row r="442" customFormat="false" ht="22.5" hidden="false" customHeight="true" outlineLevel="0" collapsed="false">
      <c r="A442" s="110"/>
      <c r="B442" s="110"/>
      <c r="C442" s="110"/>
      <c r="D442" s="122"/>
      <c r="E442" s="110"/>
      <c r="F442" s="128"/>
      <c r="G442" s="122"/>
      <c r="H442" s="131" t="b">
        <f aca="false">FALSE()</f>
        <v>0</v>
      </c>
      <c r="I442" s="131" t="b">
        <f aca="false">FALSE()</f>
        <v>0</v>
      </c>
      <c r="J442" s="130"/>
      <c r="K442" s="110"/>
      <c r="L442" s="83"/>
      <c r="M442" s="103"/>
      <c r="N442" s="103"/>
      <c r="O442" s="103"/>
      <c r="P442" s="103"/>
      <c r="Q442" s="103"/>
      <c r="R442" s="83"/>
      <c r="S442" s="103"/>
      <c r="T442" s="103"/>
      <c r="U442" s="103"/>
    </row>
    <row r="443" customFormat="false" ht="22.5" hidden="false" customHeight="true" outlineLevel="0" collapsed="false">
      <c r="A443" s="99"/>
      <c r="B443" s="99"/>
      <c r="C443" s="99"/>
      <c r="D443" s="121"/>
      <c r="E443" s="99"/>
      <c r="F443" s="124"/>
      <c r="G443" s="121"/>
      <c r="H443" s="132" t="b">
        <f aca="false">FALSE()</f>
        <v>0</v>
      </c>
      <c r="I443" s="132" t="b">
        <f aca="false">FALSE()</f>
        <v>0</v>
      </c>
      <c r="J443" s="126"/>
      <c r="K443" s="99"/>
      <c r="L443" s="83"/>
      <c r="M443" s="103"/>
      <c r="N443" s="103"/>
      <c r="O443" s="103"/>
      <c r="P443" s="103"/>
      <c r="Q443" s="103"/>
      <c r="R443" s="83"/>
      <c r="S443" s="103"/>
      <c r="T443" s="103"/>
      <c r="U443" s="103"/>
    </row>
    <row r="444" customFormat="false" ht="22.5" hidden="false" customHeight="true" outlineLevel="0" collapsed="false">
      <c r="A444" s="110"/>
      <c r="B444" s="110"/>
      <c r="C444" s="110"/>
      <c r="D444" s="122"/>
      <c r="E444" s="110"/>
      <c r="F444" s="128"/>
      <c r="G444" s="122"/>
      <c r="H444" s="131" t="b">
        <f aca="false">FALSE()</f>
        <v>0</v>
      </c>
      <c r="I444" s="131" t="b">
        <f aca="false">FALSE()</f>
        <v>0</v>
      </c>
      <c r="J444" s="130"/>
      <c r="K444" s="110"/>
      <c r="L444" s="83"/>
      <c r="M444" s="103"/>
      <c r="N444" s="103"/>
      <c r="O444" s="103"/>
      <c r="P444" s="103"/>
      <c r="Q444" s="103"/>
      <c r="R444" s="83"/>
      <c r="S444" s="103"/>
      <c r="T444" s="103"/>
      <c r="U444" s="103"/>
    </row>
    <row r="445" customFormat="false" ht="22.5" hidden="false" customHeight="true" outlineLevel="0" collapsed="false">
      <c r="A445" s="99"/>
      <c r="B445" s="99"/>
      <c r="C445" s="99"/>
      <c r="D445" s="121"/>
      <c r="E445" s="99"/>
      <c r="F445" s="124"/>
      <c r="G445" s="121"/>
      <c r="H445" s="132" t="b">
        <f aca="false">FALSE()</f>
        <v>0</v>
      </c>
      <c r="I445" s="132" t="b">
        <f aca="false">FALSE()</f>
        <v>0</v>
      </c>
      <c r="J445" s="126"/>
      <c r="K445" s="99"/>
      <c r="L445" s="83"/>
      <c r="M445" s="103"/>
      <c r="N445" s="103"/>
      <c r="O445" s="103"/>
      <c r="P445" s="103"/>
      <c r="Q445" s="103"/>
      <c r="R445" s="83"/>
      <c r="S445" s="103"/>
      <c r="T445" s="103"/>
      <c r="U445" s="103"/>
    </row>
    <row r="446" customFormat="false" ht="22.5" hidden="false" customHeight="true" outlineLevel="0" collapsed="false">
      <c r="A446" s="110"/>
      <c r="B446" s="110"/>
      <c r="C446" s="110"/>
      <c r="D446" s="122"/>
      <c r="E446" s="110"/>
      <c r="F446" s="128"/>
      <c r="G446" s="122"/>
      <c r="H446" s="131" t="b">
        <f aca="false">FALSE()</f>
        <v>0</v>
      </c>
      <c r="I446" s="131" t="b">
        <f aca="false">FALSE()</f>
        <v>0</v>
      </c>
      <c r="J446" s="130"/>
      <c r="K446" s="110"/>
      <c r="L446" s="83"/>
      <c r="M446" s="103"/>
      <c r="N446" s="103"/>
      <c r="O446" s="103"/>
      <c r="P446" s="103"/>
      <c r="Q446" s="103"/>
      <c r="R446" s="83"/>
      <c r="S446" s="103"/>
      <c r="T446" s="103"/>
      <c r="U446" s="103"/>
    </row>
    <row r="447" customFormat="false" ht="22.5" hidden="false" customHeight="true" outlineLevel="0" collapsed="false">
      <c r="A447" s="99"/>
      <c r="B447" s="99"/>
      <c r="C447" s="99"/>
      <c r="D447" s="121"/>
      <c r="E447" s="99"/>
      <c r="F447" s="124"/>
      <c r="G447" s="121"/>
      <c r="H447" s="132" t="b">
        <f aca="false">FALSE()</f>
        <v>0</v>
      </c>
      <c r="I447" s="132" t="b">
        <f aca="false">FALSE()</f>
        <v>0</v>
      </c>
      <c r="J447" s="126"/>
      <c r="K447" s="99"/>
      <c r="L447" s="83"/>
      <c r="M447" s="103"/>
      <c r="N447" s="103"/>
      <c r="O447" s="103"/>
      <c r="P447" s="103"/>
      <c r="Q447" s="103"/>
      <c r="R447" s="83"/>
      <c r="S447" s="103"/>
      <c r="T447" s="103"/>
      <c r="U447" s="103"/>
    </row>
    <row r="448" customFormat="false" ht="22.5" hidden="false" customHeight="true" outlineLevel="0" collapsed="false">
      <c r="A448" s="110"/>
      <c r="B448" s="110"/>
      <c r="C448" s="110"/>
      <c r="D448" s="122"/>
      <c r="E448" s="110"/>
      <c r="F448" s="128"/>
      <c r="G448" s="122"/>
      <c r="H448" s="131" t="b">
        <f aca="false">FALSE()</f>
        <v>0</v>
      </c>
      <c r="I448" s="131" t="b">
        <f aca="false">FALSE()</f>
        <v>0</v>
      </c>
      <c r="J448" s="130"/>
      <c r="K448" s="110"/>
      <c r="L448" s="83"/>
      <c r="M448" s="103"/>
      <c r="N448" s="103"/>
      <c r="O448" s="103"/>
      <c r="P448" s="103"/>
      <c r="Q448" s="103"/>
      <c r="R448" s="83"/>
      <c r="S448" s="103"/>
      <c r="T448" s="103"/>
      <c r="U448" s="103"/>
    </row>
    <row r="449" customFormat="false" ht="22.5" hidden="false" customHeight="true" outlineLevel="0" collapsed="false">
      <c r="A449" s="99"/>
      <c r="B449" s="99"/>
      <c r="C449" s="99"/>
      <c r="D449" s="121"/>
      <c r="E449" s="99"/>
      <c r="F449" s="124"/>
      <c r="G449" s="121"/>
      <c r="H449" s="132" t="b">
        <f aca="false">FALSE()</f>
        <v>0</v>
      </c>
      <c r="I449" s="132" t="b">
        <f aca="false">FALSE()</f>
        <v>0</v>
      </c>
      <c r="J449" s="126"/>
      <c r="K449" s="99"/>
      <c r="L449" s="83"/>
      <c r="M449" s="103"/>
      <c r="N449" s="103"/>
      <c r="O449" s="103"/>
      <c r="P449" s="103"/>
      <c r="Q449" s="103"/>
      <c r="R449" s="83"/>
      <c r="S449" s="103"/>
      <c r="T449" s="103"/>
      <c r="U449" s="103"/>
    </row>
    <row r="450" customFormat="false" ht="22.5" hidden="false" customHeight="true" outlineLevel="0" collapsed="false">
      <c r="A450" s="110"/>
      <c r="B450" s="110"/>
      <c r="C450" s="110"/>
      <c r="D450" s="122"/>
      <c r="E450" s="110"/>
      <c r="F450" s="128"/>
      <c r="G450" s="122"/>
      <c r="H450" s="131" t="b">
        <f aca="false">FALSE()</f>
        <v>0</v>
      </c>
      <c r="I450" s="131" t="b">
        <f aca="false">FALSE()</f>
        <v>0</v>
      </c>
      <c r="J450" s="130"/>
      <c r="K450" s="110"/>
      <c r="L450" s="83"/>
      <c r="M450" s="103"/>
      <c r="N450" s="103"/>
      <c r="O450" s="103"/>
      <c r="P450" s="103"/>
      <c r="Q450" s="103"/>
      <c r="R450" s="83"/>
      <c r="S450" s="103"/>
      <c r="T450" s="103"/>
      <c r="U450" s="103"/>
    </row>
    <row r="451" customFormat="false" ht="22.5" hidden="false" customHeight="true" outlineLevel="0" collapsed="false">
      <c r="A451" s="99"/>
      <c r="B451" s="99"/>
      <c r="C451" s="99"/>
      <c r="D451" s="121"/>
      <c r="E451" s="99"/>
      <c r="F451" s="124"/>
      <c r="G451" s="121"/>
      <c r="H451" s="132" t="b">
        <f aca="false">FALSE()</f>
        <v>0</v>
      </c>
      <c r="I451" s="132" t="b">
        <f aca="false">FALSE()</f>
        <v>0</v>
      </c>
      <c r="J451" s="126"/>
      <c r="K451" s="99"/>
      <c r="L451" s="83"/>
      <c r="M451" s="103"/>
      <c r="N451" s="103"/>
      <c r="O451" s="103"/>
      <c r="P451" s="103"/>
      <c r="Q451" s="103"/>
      <c r="R451" s="83"/>
      <c r="S451" s="103"/>
      <c r="T451" s="103"/>
      <c r="U451" s="103"/>
    </row>
    <row r="452" customFormat="false" ht="22.5" hidden="false" customHeight="true" outlineLevel="0" collapsed="false">
      <c r="A452" s="110"/>
      <c r="B452" s="110"/>
      <c r="C452" s="110"/>
      <c r="D452" s="122"/>
      <c r="E452" s="110"/>
      <c r="F452" s="128"/>
      <c r="G452" s="122"/>
      <c r="H452" s="131" t="b">
        <f aca="false">FALSE()</f>
        <v>0</v>
      </c>
      <c r="I452" s="131" t="b">
        <f aca="false">FALSE()</f>
        <v>0</v>
      </c>
      <c r="J452" s="130"/>
      <c r="K452" s="110"/>
      <c r="L452" s="83"/>
      <c r="M452" s="103"/>
      <c r="N452" s="103"/>
      <c r="O452" s="103"/>
      <c r="P452" s="103"/>
      <c r="Q452" s="103"/>
      <c r="R452" s="83"/>
      <c r="S452" s="103"/>
      <c r="T452" s="103"/>
      <c r="U452" s="103"/>
    </row>
    <row r="453" customFormat="false" ht="22.5" hidden="false" customHeight="true" outlineLevel="0" collapsed="false">
      <c r="A453" s="99"/>
      <c r="B453" s="99"/>
      <c r="C453" s="99"/>
      <c r="D453" s="121"/>
      <c r="E453" s="99"/>
      <c r="F453" s="124"/>
      <c r="G453" s="121"/>
      <c r="H453" s="132" t="b">
        <f aca="false">FALSE()</f>
        <v>0</v>
      </c>
      <c r="I453" s="132" t="b">
        <f aca="false">FALSE()</f>
        <v>0</v>
      </c>
      <c r="J453" s="126"/>
      <c r="K453" s="99"/>
      <c r="L453" s="83"/>
      <c r="M453" s="103"/>
      <c r="N453" s="103"/>
      <c r="O453" s="103"/>
      <c r="P453" s="103"/>
      <c r="Q453" s="103"/>
      <c r="R453" s="83"/>
      <c r="S453" s="103"/>
      <c r="T453" s="103"/>
      <c r="U453" s="103"/>
    </row>
    <row r="454" customFormat="false" ht="22.5" hidden="false" customHeight="true" outlineLevel="0" collapsed="false">
      <c r="A454" s="110"/>
      <c r="B454" s="110"/>
      <c r="C454" s="110"/>
      <c r="D454" s="122"/>
      <c r="E454" s="110"/>
      <c r="F454" s="128"/>
      <c r="G454" s="122"/>
      <c r="H454" s="131" t="b">
        <f aca="false">FALSE()</f>
        <v>0</v>
      </c>
      <c r="I454" s="131" t="b">
        <f aca="false">FALSE()</f>
        <v>0</v>
      </c>
      <c r="J454" s="130"/>
      <c r="K454" s="110"/>
      <c r="L454" s="83"/>
      <c r="M454" s="103"/>
      <c r="N454" s="103"/>
      <c r="O454" s="103"/>
      <c r="P454" s="103"/>
      <c r="Q454" s="103"/>
      <c r="R454" s="83"/>
      <c r="S454" s="103"/>
      <c r="T454" s="103"/>
      <c r="U454" s="103"/>
    </row>
    <row r="455" customFormat="false" ht="22.5" hidden="false" customHeight="true" outlineLevel="0" collapsed="false">
      <c r="A455" s="99"/>
      <c r="B455" s="99"/>
      <c r="C455" s="99"/>
      <c r="D455" s="121"/>
      <c r="E455" s="99"/>
      <c r="F455" s="124"/>
      <c r="G455" s="121"/>
      <c r="H455" s="132" t="b">
        <f aca="false">FALSE()</f>
        <v>0</v>
      </c>
      <c r="I455" s="132" t="b">
        <f aca="false">FALSE()</f>
        <v>0</v>
      </c>
      <c r="J455" s="126"/>
      <c r="K455" s="99"/>
      <c r="L455" s="83"/>
      <c r="M455" s="103"/>
      <c r="N455" s="103"/>
      <c r="O455" s="103"/>
      <c r="P455" s="103"/>
      <c r="Q455" s="103"/>
      <c r="R455" s="83"/>
      <c r="S455" s="103"/>
      <c r="T455" s="103"/>
      <c r="U455" s="103"/>
    </row>
    <row r="456" customFormat="false" ht="22.5" hidden="false" customHeight="true" outlineLevel="0" collapsed="false">
      <c r="A456" s="110"/>
      <c r="B456" s="110"/>
      <c r="C456" s="110"/>
      <c r="D456" s="122"/>
      <c r="E456" s="110"/>
      <c r="F456" s="128"/>
      <c r="G456" s="122"/>
      <c r="H456" s="131" t="b">
        <f aca="false">FALSE()</f>
        <v>0</v>
      </c>
      <c r="I456" s="131" t="b">
        <f aca="false">FALSE()</f>
        <v>0</v>
      </c>
      <c r="J456" s="130"/>
      <c r="K456" s="110"/>
      <c r="L456" s="83"/>
      <c r="M456" s="103"/>
      <c r="N456" s="103"/>
      <c r="O456" s="103"/>
      <c r="P456" s="103"/>
      <c r="Q456" s="103"/>
      <c r="R456" s="83"/>
      <c r="S456" s="103"/>
      <c r="T456" s="103"/>
      <c r="U456" s="103"/>
    </row>
    <row r="457" customFormat="false" ht="22.5" hidden="false" customHeight="true" outlineLevel="0" collapsed="false">
      <c r="A457" s="99"/>
      <c r="B457" s="99"/>
      <c r="C457" s="99"/>
      <c r="D457" s="121"/>
      <c r="E457" s="99"/>
      <c r="F457" s="124"/>
      <c r="G457" s="121"/>
      <c r="H457" s="132" t="b">
        <f aca="false">FALSE()</f>
        <v>0</v>
      </c>
      <c r="I457" s="132" t="b">
        <f aca="false">FALSE()</f>
        <v>0</v>
      </c>
      <c r="J457" s="126"/>
      <c r="K457" s="99"/>
      <c r="L457" s="83"/>
      <c r="M457" s="103"/>
      <c r="N457" s="103"/>
      <c r="O457" s="103"/>
      <c r="P457" s="103"/>
      <c r="Q457" s="103"/>
      <c r="R457" s="83"/>
      <c r="S457" s="103"/>
      <c r="T457" s="103"/>
      <c r="U457" s="103"/>
    </row>
    <row r="458" customFormat="false" ht="22.5" hidden="false" customHeight="true" outlineLevel="0" collapsed="false">
      <c r="A458" s="110"/>
      <c r="B458" s="110"/>
      <c r="C458" s="110"/>
      <c r="D458" s="122"/>
      <c r="E458" s="110"/>
      <c r="F458" s="128"/>
      <c r="G458" s="122"/>
      <c r="H458" s="131" t="b">
        <f aca="false">FALSE()</f>
        <v>0</v>
      </c>
      <c r="I458" s="131" t="b">
        <f aca="false">FALSE()</f>
        <v>0</v>
      </c>
      <c r="J458" s="130"/>
      <c r="K458" s="110"/>
      <c r="L458" s="83"/>
      <c r="M458" s="103"/>
      <c r="N458" s="103"/>
      <c r="O458" s="103"/>
      <c r="P458" s="103"/>
      <c r="Q458" s="103"/>
      <c r="R458" s="83"/>
      <c r="S458" s="103"/>
      <c r="T458" s="103"/>
      <c r="U458" s="103"/>
    </row>
    <row r="459" customFormat="false" ht="22.5" hidden="false" customHeight="true" outlineLevel="0" collapsed="false">
      <c r="A459" s="99"/>
      <c r="B459" s="99"/>
      <c r="C459" s="99"/>
      <c r="D459" s="121"/>
      <c r="E459" s="99"/>
      <c r="F459" s="124"/>
      <c r="G459" s="121"/>
      <c r="H459" s="132" t="b">
        <f aca="false">FALSE()</f>
        <v>0</v>
      </c>
      <c r="I459" s="132" t="b">
        <f aca="false">FALSE()</f>
        <v>0</v>
      </c>
      <c r="J459" s="126"/>
      <c r="K459" s="99"/>
      <c r="L459" s="83"/>
      <c r="M459" s="103"/>
      <c r="N459" s="103"/>
      <c r="O459" s="103"/>
      <c r="P459" s="103"/>
      <c r="Q459" s="103"/>
      <c r="R459" s="83"/>
      <c r="S459" s="103"/>
      <c r="T459" s="103"/>
      <c r="U459" s="103"/>
    </row>
    <row r="460" customFormat="false" ht="22.5" hidden="false" customHeight="true" outlineLevel="0" collapsed="false">
      <c r="A460" s="110"/>
      <c r="B460" s="110"/>
      <c r="C460" s="110"/>
      <c r="D460" s="122"/>
      <c r="E460" s="110"/>
      <c r="F460" s="128"/>
      <c r="G460" s="122"/>
      <c r="H460" s="131" t="b">
        <f aca="false">FALSE()</f>
        <v>0</v>
      </c>
      <c r="I460" s="131" t="b">
        <f aca="false">FALSE()</f>
        <v>0</v>
      </c>
      <c r="J460" s="130"/>
      <c r="K460" s="110"/>
      <c r="L460" s="83"/>
      <c r="M460" s="103"/>
      <c r="N460" s="103"/>
      <c r="O460" s="103"/>
      <c r="P460" s="103"/>
      <c r="Q460" s="103"/>
      <c r="R460" s="83"/>
      <c r="S460" s="103"/>
      <c r="T460" s="103"/>
      <c r="U460" s="103"/>
    </row>
    <row r="461" customFormat="false" ht="22.5" hidden="false" customHeight="true" outlineLevel="0" collapsed="false">
      <c r="A461" s="99"/>
      <c r="B461" s="99"/>
      <c r="C461" s="99"/>
      <c r="D461" s="121"/>
      <c r="E461" s="99"/>
      <c r="F461" s="124"/>
      <c r="G461" s="121"/>
      <c r="H461" s="132" t="b">
        <f aca="false">FALSE()</f>
        <v>0</v>
      </c>
      <c r="I461" s="132" t="b">
        <f aca="false">FALSE()</f>
        <v>0</v>
      </c>
      <c r="J461" s="126"/>
      <c r="K461" s="99"/>
      <c r="L461" s="83"/>
      <c r="M461" s="103"/>
      <c r="N461" s="103"/>
      <c r="O461" s="103"/>
      <c r="P461" s="103"/>
      <c r="Q461" s="103"/>
      <c r="R461" s="83"/>
      <c r="S461" s="103"/>
      <c r="T461" s="103"/>
      <c r="U461" s="103"/>
    </row>
    <row r="462" customFormat="false" ht="22.5" hidden="false" customHeight="true" outlineLevel="0" collapsed="false">
      <c r="A462" s="110"/>
      <c r="B462" s="110"/>
      <c r="C462" s="110"/>
      <c r="D462" s="122"/>
      <c r="E462" s="110"/>
      <c r="F462" s="128"/>
      <c r="G462" s="122"/>
      <c r="H462" s="131" t="b">
        <f aca="false">FALSE()</f>
        <v>0</v>
      </c>
      <c r="I462" s="131" t="b">
        <f aca="false">FALSE()</f>
        <v>0</v>
      </c>
      <c r="J462" s="130"/>
      <c r="K462" s="110"/>
      <c r="L462" s="83"/>
      <c r="M462" s="103"/>
      <c r="N462" s="103"/>
      <c r="O462" s="103"/>
      <c r="P462" s="103"/>
      <c r="Q462" s="103"/>
      <c r="R462" s="83"/>
      <c r="S462" s="103"/>
      <c r="T462" s="103"/>
      <c r="U462" s="103"/>
    </row>
    <row r="463" customFormat="false" ht="22.5" hidden="false" customHeight="true" outlineLevel="0" collapsed="false">
      <c r="A463" s="99"/>
      <c r="B463" s="99"/>
      <c r="C463" s="99"/>
      <c r="D463" s="121"/>
      <c r="E463" s="99"/>
      <c r="F463" s="124"/>
      <c r="G463" s="121"/>
      <c r="H463" s="132" t="b">
        <f aca="false">FALSE()</f>
        <v>0</v>
      </c>
      <c r="I463" s="132" t="b">
        <f aca="false">FALSE()</f>
        <v>0</v>
      </c>
      <c r="J463" s="126"/>
      <c r="K463" s="99"/>
      <c r="L463" s="83"/>
      <c r="M463" s="103"/>
      <c r="N463" s="103"/>
      <c r="O463" s="103"/>
      <c r="P463" s="103"/>
      <c r="Q463" s="103"/>
      <c r="R463" s="83"/>
      <c r="S463" s="103"/>
      <c r="T463" s="103"/>
      <c r="U463" s="103"/>
    </row>
    <row r="464" customFormat="false" ht="22.5" hidden="false" customHeight="true" outlineLevel="0" collapsed="false">
      <c r="A464" s="110"/>
      <c r="B464" s="110"/>
      <c r="C464" s="110"/>
      <c r="D464" s="122"/>
      <c r="E464" s="110"/>
      <c r="F464" s="128"/>
      <c r="G464" s="122"/>
      <c r="H464" s="131" t="b">
        <f aca="false">FALSE()</f>
        <v>0</v>
      </c>
      <c r="I464" s="131" t="b">
        <f aca="false">FALSE()</f>
        <v>0</v>
      </c>
      <c r="J464" s="130"/>
      <c r="K464" s="110"/>
      <c r="L464" s="83"/>
      <c r="M464" s="103"/>
      <c r="N464" s="103"/>
      <c r="O464" s="103"/>
      <c r="P464" s="103"/>
      <c r="Q464" s="103"/>
      <c r="R464" s="83"/>
      <c r="S464" s="103"/>
      <c r="T464" s="103"/>
      <c r="U464" s="103"/>
    </row>
    <row r="465" customFormat="false" ht="22.5" hidden="false" customHeight="true" outlineLevel="0" collapsed="false">
      <c r="A465" s="99"/>
      <c r="B465" s="99"/>
      <c r="C465" s="99"/>
      <c r="D465" s="121"/>
      <c r="E465" s="99"/>
      <c r="F465" s="124"/>
      <c r="G465" s="121"/>
      <c r="H465" s="132" t="b">
        <f aca="false">FALSE()</f>
        <v>0</v>
      </c>
      <c r="I465" s="132" t="b">
        <f aca="false">FALSE()</f>
        <v>0</v>
      </c>
      <c r="J465" s="126"/>
      <c r="K465" s="99"/>
      <c r="L465" s="83"/>
      <c r="M465" s="103"/>
      <c r="N465" s="103"/>
      <c r="O465" s="103"/>
      <c r="P465" s="103"/>
      <c r="Q465" s="103"/>
      <c r="R465" s="83"/>
      <c r="S465" s="103"/>
      <c r="T465" s="103"/>
      <c r="U465" s="103"/>
    </row>
    <row r="466" customFormat="false" ht="22.5" hidden="false" customHeight="true" outlineLevel="0" collapsed="false">
      <c r="A466" s="110"/>
      <c r="B466" s="110"/>
      <c r="C466" s="110"/>
      <c r="D466" s="122"/>
      <c r="E466" s="110"/>
      <c r="F466" s="128"/>
      <c r="G466" s="122"/>
      <c r="H466" s="131" t="b">
        <f aca="false">FALSE()</f>
        <v>0</v>
      </c>
      <c r="I466" s="131" t="b">
        <f aca="false">FALSE()</f>
        <v>0</v>
      </c>
      <c r="J466" s="130"/>
      <c r="K466" s="110"/>
      <c r="L466" s="83"/>
      <c r="M466" s="103"/>
      <c r="N466" s="103"/>
      <c r="O466" s="103"/>
      <c r="P466" s="103"/>
      <c r="Q466" s="103"/>
      <c r="R466" s="83"/>
      <c r="S466" s="103"/>
      <c r="T466" s="103"/>
      <c r="U466" s="103"/>
    </row>
    <row r="467" customFormat="false" ht="22.5" hidden="false" customHeight="true" outlineLevel="0" collapsed="false">
      <c r="A467" s="99"/>
      <c r="B467" s="99"/>
      <c r="C467" s="99"/>
      <c r="D467" s="121"/>
      <c r="E467" s="99"/>
      <c r="F467" s="124"/>
      <c r="G467" s="121"/>
      <c r="H467" s="132" t="b">
        <f aca="false">FALSE()</f>
        <v>0</v>
      </c>
      <c r="I467" s="132" t="b">
        <f aca="false">FALSE()</f>
        <v>0</v>
      </c>
      <c r="J467" s="126"/>
      <c r="K467" s="99"/>
      <c r="L467" s="83"/>
      <c r="M467" s="103"/>
      <c r="N467" s="103"/>
      <c r="O467" s="103"/>
      <c r="P467" s="103"/>
      <c r="Q467" s="103"/>
      <c r="R467" s="83"/>
      <c r="S467" s="103"/>
      <c r="T467" s="103"/>
      <c r="U467" s="103"/>
    </row>
    <row r="468" customFormat="false" ht="22.5" hidden="false" customHeight="true" outlineLevel="0" collapsed="false">
      <c r="A468" s="110"/>
      <c r="B468" s="110"/>
      <c r="C468" s="110"/>
      <c r="D468" s="122"/>
      <c r="E468" s="110"/>
      <c r="F468" s="128"/>
      <c r="G468" s="122"/>
      <c r="H468" s="131" t="b">
        <f aca="false">FALSE()</f>
        <v>0</v>
      </c>
      <c r="I468" s="131" t="b">
        <f aca="false">FALSE()</f>
        <v>0</v>
      </c>
      <c r="J468" s="130"/>
      <c r="K468" s="110"/>
      <c r="L468" s="83"/>
      <c r="M468" s="103"/>
      <c r="N468" s="103"/>
      <c r="O468" s="103"/>
      <c r="P468" s="103"/>
      <c r="Q468" s="103"/>
      <c r="R468" s="83"/>
      <c r="S468" s="103"/>
      <c r="T468" s="103"/>
      <c r="U468" s="103"/>
    </row>
    <row r="469" customFormat="false" ht="22.5" hidden="false" customHeight="true" outlineLevel="0" collapsed="false">
      <c r="A469" s="99"/>
      <c r="B469" s="99"/>
      <c r="C469" s="99"/>
      <c r="D469" s="121"/>
      <c r="E469" s="99"/>
      <c r="F469" s="124"/>
      <c r="G469" s="121"/>
      <c r="H469" s="132" t="b">
        <f aca="false">FALSE()</f>
        <v>0</v>
      </c>
      <c r="I469" s="132" t="b">
        <f aca="false">FALSE()</f>
        <v>0</v>
      </c>
      <c r="J469" s="126"/>
      <c r="K469" s="99"/>
      <c r="L469" s="83"/>
      <c r="M469" s="103"/>
      <c r="N469" s="103"/>
      <c r="O469" s="103"/>
      <c r="P469" s="103"/>
      <c r="Q469" s="103"/>
      <c r="R469" s="83"/>
      <c r="S469" s="103"/>
      <c r="T469" s="103"/>
      <c r="U469" s="103"/>
    </row>
    <row r="470" customFormat="false" ht="22.5" hidden="false" customHeight="true" outlineLevel="0" collapsed="false">
      <c r="A470" s="110"/>
      <c r="B470" s="110"/>
      <c r="C470" s="110"/>
      <c r="D470" s="122"/>
      <c r="E470" s="110"/>
      <c r="F470" s="128"/>
      <c r="G470" s="122"/>
      <c r="H470" s="131" t="b">
        <f aca="false">FALSE()</f>
        <v>0</v>
      </c>
      <c r="I470" s="131" t="b">
        <f aca="false">FALSE()</f>
        <v>0</v>
      </c>
      <c r="J470" s="130"/>
      <c r="K470" s="110"/>
      <c r="L470" s="83"/>
      <c r="M470" s="103"/>
      <c r="N470" s="103"/>
      <c r="O470" s="103"/>
      <c r="P470" s="103"/>
      <c r="Q470" s="103"/>
      <c r="R470" s="83"/>
      <c r="S470" s="103"/>
      <c r="T470" s="103"/>
      <c r="U470" s="103"/>
    </row>
    <row r="471" customFormat="false" ht="22.5" hidden="false" customHeight="true" outlineLevel="0" collapsed="false">
      <c r="A471" s="99"/>
      <c r="B471" s="99"/>
      <c r="C471" s="99"/>
      <c r="D471" s="121"/>
      <c r="E471" s="99"/>
      <c r="F471" s="124"/>
      <c r="G471" s="121"/>
      <c r="H471" s="132" t="b">
        <f aca="false">FALSE()</f>
        <v>0</v>
      </c>
      <c r="I471" s="132" t="b">
        <f aca="false">FALSE()</f>
        <v>0</v>
      </c>
      <c r="J471" s="126"/>
      <c r="K471" s="99"/>
      <c r="L471" s="83"/>
      <c r="M471" s="103"/>
      <c r="N471" s="103"/>
      <c r="O471" s="103"/>
      <c r="P471" s="103"/>
      <c r="Q471" s="103"/>
      <c r="R471" s="83"/>
      <c r="S471" s="103"/>
      <c r="T471" s="103"/>
      <c r="U471" s="103"/>
    </row>
    <row r="472" customFormat="false" ht="22.5" hidden="false" customHeight="true" outlineLevel="0" collapsed="false">
      <c r="A472" s="110"/>
      <c r="B472" s="110"/>
      <c r="C472" s="110"/>
      <c r="D472" s="122"/>
      <c r="E472" s="110"/>
      <c r="F472" s="128"/>
      <c r="G472" s="122"/>
      <c r="H472" s="131" t="b">
        <f aca="false">FALSE()</f>
        <v>0</v>
      </c>
      <c r="I472" s="131" t="b">
        <f aca="false">FALSE()</f>
        <v>0</v>
      </c>
      <c r="J472" s="130"/>
      <c r="K472" s="110"/>
      <c r="L472" s="83"/>
      <c r="M472" s="103"/>
      <c r="N472" s="103"/>
      <c r="O472" s="103"/>
      <c r="P472" s="103"/>
      <c r="Q472" s="103"/>
      <c r="R472" s="83"/>
      <c r="S472" s="103"/>
      <c r="T472" s="103"/>
      <c r="U472" s="103"/>
    </row>
    <row r="473" customFormat="false" ht="22.5" hidden="false" customHeight="true" outlineLevel="0" collapsed="false">
      <c r="A473" s="99"/>
      <c r="B473" s="99"/>
      <c r="C473" s="99"/>
      <c r="D473" s="121"/>
      <c r="E473" s="99"/>
      <c r="F473" s="124"/>
      <c r="G473" s="121"/>
      <c r="H473" s="132" t="b">
        <f aca="false">FALSE()</f>
        <v>0</v>
      </c>
      <c r="I473" s="132" t="b">
        <f aca="false">FALSE()</f>
        <v>0</v>
      </c>
      <c r="J473" s="126"/>
      <c r="K473" s="99"/>
      <c r="L473" s="83"/>
      <c r="M473" s="103"/>
      <c r="N473" s="103"/>
      <c r="O473" s="103"/>
      <c r="P473" s="103"/>
      <c r="Q473" s="103"/>
      <c r="R473" s="83"/>
      <c r="S473" s="103"/>
      <c r="T473" s="103"/>
      <c r="U473" s="103"/>
    </row>
    <row r="474" customFormat="false" ht="22.5" hidden="false" customHeight="true" outlineLevel="0" collapsed="false">
      <c r="A474" s="110"/>
      <c r="B474" s="110"/>
      <c r="C474" s="110"/>
      <c r="D474" s="122"/>
      <c r="E474" s="110"/>
      <c r="F474" s="128"/>
      <c r="G474" s="122"/>
      <c r="H474" s="131" t="b">
        <f aca="false">FALSE()</f>
        <v>0</v>
      </c>
      <c r="I474" s="131" t="b">
        <f aca="false">FALSE()</f>
        <v>0</v>
      </c>
      <c r="J474" s="130"/>
      <c r="K474" s="110"/>
      <c r="L474" s="83"/>
      <c r="M474" s="103"/>
      <c r="N474" s="103"/>
      <c r="O474" s="103"/>
      <c r="P474" s="103"/>
      <c r="Q474" s="103"/>
      <c r="R474" s="83"/>
      <c r="S474" s="103"/>
      <c r="T474" s="103"/>
      <c r="U474" s="103"/>
    </row>
    <row r="475" customFormat="false" ht="22.5" hidden="false" customHeight="true" outlineLevel="0" collapsed="false">
      <c r="A475" s="99"/>
      <c r="B475" s="99"/>
      <c r="C475" s="99"/>
      <c r="D475" s="121"/>
      <c r="E475" s="99"/>
      <c r="F475" s="124"/>
      <c r="G475" s="121"/>
      <c r="H475" s="132" t="b">
        <f aca="false">FALSE()</f>
        <v>0</v>
      </c>
      <c r="I475" s="132" t="b">
        <f aca="false">FALSE()</f>
        <v>0</v>
      </c>
      <c r="J475" s="126"/>
      <c r="K475" s="99"/>
      <c r="L475" s="83"/>
      <c r="M475" s="103"/>
      <c r="N475" s="103"/>
      <c r="O475" s="103"/>
      <c r="P475" s="103"/>
      <c r="Q475" s="103"/>
      <c r="R475" s="83"/>
      <c r="S475" s="103"/>
      <c r="T475" s="103"/>
      <c r="U475" s="103"/>
    </row>
    <row r="476" customFormat="false" ht="22.5" hidden="false" customHeight="true" outlineLevel="0" collapsed="false">
      <c r="A476" s="110"/>
      <c r="B476" s="110"/>
      <c r="C476" s="110"/>
      <c r="D476" s="122"/>
      <c r="E476" s="110"/>
      <c r="F476" s="128"/>
      <c r="G476" s="122"/>
      <c r="H476" s="131" t="b">
        <f aca="false">FALSE()</f>
        <v>0</v>
      </c>
      <c r="I476" s="131" t="b">
        <f aca="false">FALSE()</f>
        <v>0</v>
      </c>
      <c r="J476" s="130"/>
      <c r="K476" s="110"/>
      <c r="L476" s="83"/>
      <c r="M476" s="103"/>
      <c r="N476" s="103"/>
      <c r="O476" s="103"/>
      <c r="P476" s="103"/>
      <c r="Q476" s="103"/>
      <c r="R476" s="83"/>
      <c r="S476" s="103"/>
      <c r="T476" s="103"/>
      <c r="U476" s="103"/>
    </row>
    <row r="477" customFormat="false" ht="22.5" hidden="false" customHeight="true" outlineLevel="0" collapsed="false">
      <c r="A477" s="99"/>
      <c r="B477" s="99"/>
      <c r="C477" s="99"/>
      <c r="D477" s="121"/>
      <c r="E477" s="99"/>
      <c r="F477" s="124"/>
      <c r="G477" s="121"/>
      <c r="H477" s="132" t="b">
        <f aca="false">FALSE()</f>
        <v>0</v>
      </c>
      <c r="I477" s="132" t="b">
        <f aca="false">FALSE()</f>
        <v>0</v>
      </c>
      <c r="J477" s="126"/>
      <c r="K477" s="99"/>
      <c r="L477" s="83"/>
      <c r="M477" s="103"/>
      <c r="N477" s="103"/>
      <c r="O477" s="103"/>
      <c r="P477" s="103"/>
      <c r="Q477" s="103"/>
      <c r="R477" s="83"/>
      <c r="S477" s="103"/>
      <c r="T477" s="103"/>
      <c r="U477" s="103"/>
    </row>
    <row r="478" customFormat="false" ht="22.5" hidden="false" customHeight="true" outlineLevel="0" collapsed="false">
      <c r="A478" s="110"/>
      <c r="B478" s="110"/>
      <c r="C478" s="110"/>
      <c r="D478" s="122"/>
      <c r="E478" s="110"/>
      <c r="F478" s="128"/>
      <c r="G478" s="122"/>
      <c r="H478" s="131" t="b">
        <f aca="false">FALSE()</f>
        <v>0</v>
      </c>
      <c r="I478" s="131" t="b">
        <f aca="false">FALSE()</f>
        <v>0</v>
      </c>
      <c r="J478" s="130"/>
      <c r="K478" s="110"/>
      <c r="L478" s="83"/>
      <c r="M478" s="103"/>
      <c r="N478" s="103"/>
      <c r="O478" s="103"/>
      <c r="P478" s="103"/>
      <c r="Q478" s="103"/>
      <c r="R478" s="83"/>
      <c r="S478" s="103"/>
      <c r="T478" s="103"/>
      <c r="U478" s="103"/>
    </row>
    <row r="479" customFormat="false" ht="22.5" hidden="false" customHeight="true" outlineLevel="0" collapsed="false">
      <c r="A479" s="99"/>
      <c r="B479" s="99"/>
      <c r="C479" s="99"/>
      <c r="D479" s="121"/>
      <c r="E479" s="99"/>
      <c r="F479" s="124"/>
      <c r="G479" s="121"/>
      <c r="H479" s="132" t="b">
        <f aca="false">FALSE()</f>
        <v>0</v>
      </c>
      <c r="I479" s="132" t="b">
        <f aca="false">FALSE()</f>
        <v>0</v>
      </c>
      <c r="J479" s="126"/>
      <c r="K479" s="99"/>
      <c r="L479" s="83"/>
      <c r="M479" s="103"/>
      <c r="N479" s="103"/>
      <c r="O479" s="103"/>
      <c r="P479" s="103"/>
      <c r="Q479" s="103"/>
      <c r="R479" s="83"/>
      <c r="S479" s="103"/>
      <c r="T479" s="103"/>
      <c r="U479" s="103"/>
    </row>
    <row r="480" customFormat="false" ht="22.5" hidden="false" customHeight="true" outlineLevel="0" collapsed="false">
      <c r="A480" s="110"/>
      <c r="B480" s="110"/>
      <c r="C480" s="110"/>
      <c r="D480" s="122"/>
      <c r="E480" s="110"/>
      <c r="F480" s="128"/>
      <c r="G480" s="122"/>
      <c r="H480" s="131" t="b">
        <f aca="false">FALSE()</f>
        <v>0</v>
      </c>
      <c r="I480" s="131" t="b">
        <f aca="false">FALSE()</f>
        <v>0</v>
      </c>
      <c r="J480" s="130"/>
      <c r="K480" s="110"/>
      <c r="L480" s="83"/>
      <c r="M480" s="103"/>
      <c r="N480" s="103"/>
      <c r="O480" s="103"/>
      <c r="P480" s="103"/>
      <c r="Q480" s="103"/>
      <c r="R480" s="83"/>
      <c r="S480" s="103"/>
      <c r="T480" s="103"/>
      <c r="U480" s="103"/>
    </row>
    <row r="481" customFormat="false" ht="22.5" hidden="false" customHeight="true" outlineLevel="0" collapsed="false">
      <c r="A481" s="99"/>
      <c r="B481" s="99"/>
      <c r="C481" s="99"/>
      <c r="D481" s="121"/>
      <c r="E481" s="99"/>
      <c r="F481" s="124"/>
      <c r="G481" s="121"/>
      <c r="H481" s="132" t="b">
        <f aca="false">FALSE()</f>
        <v>0</v>
      </c>
      <c r="I481" s="132" t="b">
        <f aca="false">FALSE()</f>
        <v>0</v>
      </c>
      <c r="J481" s="126"/>
      <c r="K481" s="99"/>
      <c r="L481" s="83"/>
      <c r="M481" s="103"/>
      <c r="N481" s="103"/>
      <c r="O481" s="103"/>
      <c r="P481" s="103"/>
      <c r="Q481" s="103"/>
      <c r="R481" s="83"/>
      <c r="S481" s="103"/>
      <c r="T481" s="103"/>
      <c r="U481" s="103"/>
    </row>
    <row r="482" customFormat="false" ht="22.5" hidden="false" customHeight="true" outlineLevel="0" collapsed="false">
      <c r="A482" s="110"/>
      <c r="B482" s="110"/>
      <c r="C482" s="110"/>
      <c r="D482" s="122"/>
      <c r="E482" s="110"/>
      <c r="F482" s="128"/>
      <c r="G482" s="122"/>
      <c r="H482" s="131" t="b">
        <f aca="false">FALSE()</f>
        <v>0</v>
      </c>
      <c r="I482" s="131" t="b">
        <f aca="false">FALSE()</f>
        <v>0</v>
      </c>
      <c r="J482" s="130"/>
      <c r="K482" s="110"/>
      <c r="L482" s="83"/>
      <c r="M482" s="103"/>
      <c r="N482" s="103"/>
      <c r="O482" s="103"/>
      <c r="P482" s="103"/>
      <c r="Q482" s="103"/>
      <c r="R482" s="83"/>
      <c r="S482" s="103"/>
      <c r="T482" s="103"/>
      <c r="U482" s="103"/>
    </row>
    <row r="483" customFormat="false" ht="22.5" hidden="false" customHeight="true" outlineLevel="0" collapsed="false">
      <c r="A483" s="99"/>
      <c r="B483" s="99"/>
      <c r="C483" s="99"/>
      <c r="D483" s="121"/>
      <c r="E483" s="99"/>
      <c r="F483" s="124"/>
      <c r="G483" s="121"/>
      <c r="H483" s="132" t="b">
        <f aca="false">FALSE()</f>
        <v>0</v>
      </c>
      <c r="I483" s="132" t="b">
        <f aca="false">FALSE()</f>
        <v>0</v>
      </c>
      <c r="J483" s="126"/>
      <c r="K483" s="99"/>
      <c r="L483" s="83"/>
      <c r="M483" s="103"/>
      <c r="N483" s="103"/>
      <c r="O483" s="103"/>
      <c r="P483" s="103"/>
      <c r="Q483" s="103"/>
      <c r="R483" s="83"/>
      <c r="S483" s="103"/>
      <c r="T483" s="103"/>
      <c r="U483" s="103"/>
    </row>
    <row r="484" customFormat="false" ht="22.5" hidden="false" customHeight="true" outlineLevel="0" collapsed="false">
      <c r="A484" s="110"/>
      <c r="B484" s="110"/>
      <c r="C484" s="110"/>
      <c r="D484" s="122"/>
      <c r="E484" s="110"/>
      <c r="F484" s="128"/>
      <c r="G484" s="122"/>
      <c r="H484" s="131" t="b">
        <f aca="false">FALSE()</f>
        <v>0</v>
      </c>
      <c r="I484" s="131" t="b">
        <f aca="false">FALSE()</f>
        <v>0</v>
      </c>
      <c r="J484" s="130"/>
      <c r="K484" s="110"/>
      <c r="L484" s="83"/>
      <c r="M484" s="103"/>
      <c r="N484" s="103"/>
      <c r="O484" s="103"/>
      <c r="P484" s="103"/>
      <c r="Q484" s="103"/>
      <c r="R484" s="83"/>
      <c r="S484" s="103"/>
      <c r="T484" s="103"/>
      <c r="U484" s="103"/>
    </row>
    <row r="485" customFormat="false" ht="22.5" hidden="false" customHeight="true" outlineLevel="0" collapsed="false">
      <c r="A485" s="99"/>
      <c r="B485" s="99"/>
      <c r="C485" s="99"/>
      <c r="D485" s="121"/>
      <c r="E485" s="99"/>
      <c r="F485" s="124"/>
      <c r="G485" s="121"/>
      <c r="H485" s="132" t="b">
        <f aca="false">FALSE()</f>
        <v>0</v>
      </c>
      <c r="I485" s="132" t="b">
        <f aca="false">FALSE()</f>
        <v>0</v>
      </c>
      <c r="J485" s="126"/>
      <c r="K485" s="99"/>
      <c r="L485" s="83"/>
      <c r="M485" s="103"/>
      <c r="N485" s="103"/>
      <c r="O485" s="103"/>
      <c r="P485" s="103"/>
      <c r="Q485" s="103"/>
      <c r="R485" s="83"/>
      <c r="S485" s="103"/>
      <c r="T485" s="103"/>
      <c r="U485" s="103"/>
    </row>
    <row r="486" customFormat="false" ht="22.5" hidden="false" customHeight="true" outlineLevel="0" collapsed="false">
      <c r="A486" s="110"/>
      <c r="B486" s="110"/>
      <c r="C486" s="110"/>
      <c r="D486" s="122"/>
      <c r="E486" s="110"/>
      <c r="F486" s="128"/>
      <c r="G486" s="122"/>
      <c r="H486" s="131" t="b">
        <f aca="false">FALSE()</f>
        <v>0</v>
      </c>
      <c r="I486" s="131" t="b">
        <f aca="false">FALSE()</f>
        <v>0</v>
      </c>
      <c r="J486" s="130"/>
      <c r="K486" s="110"/>
      <c r="L486" s="83"/>
      <c r="M486" s="103"/>
      <c r="N486" s="103"/>
      <c r="O486" s="103"/>
      <c r="P486" s="103"/>
      <c r="Q486" s="103"/>
      <c r="R486" s="83"/>
      <c r="S486" s="103"/>
      <c r="T486" s="103"/>
      <c r="U486" s="103"/>
    </row>
    <row r="487" customFormat="false" ht="22.5" hidden="false" customHeight="true" outlineLevel="0" collapsed="false">
      <c r="A487" s="99"/>
      <c r="B487" s="99"/>
      <c r="C487" s="99"/>
      <c r="D487" s="121"/>
      <c r="E487" s="99"/>
      <c r="F487" s="124"/>
      <c r="G487" s="121"/>
      <c r="H487" s="132" t="b">
        <f aca="false">FALSE()</f>
        <v>0</v>
      </c>
      <c r="I487" s="132" t="b">
        <f aca="false">FALSE()</f>
        <v>0</v>
      </c>
      <c r="J487" s="126"/>
      <c r="K487" s="99"/>
      <c r="L487" s="83"/>
      <c r="M487" s="103"/>
      <c r="N487" s="103"/>
      <c r="O487" s="103"/>
      <c r="P487" s="103"/>
      <c r="Q487" s="103"/>
      <c r="R487" s="83"/>
      <c r="S487" s="103"/>
      <c r="T487" s="103"/>
      <c r="U487" s="103"/>
    </row>
    <row r="488" customFormat="false" ht="22.5" hidden="false" customHeight="true" outlineLevel="0" collapsed="false">
      <c r="A488" s="110"/>
      <c r="B488" s="110"/>
      <c r="C488" s="110"/>
      <c r="D488" s="122"/>
      <c r="E488" s="110"/>
      <c r="F488" s="128"/>
      <c r="G488" s="122"/>
      <c r="H488" s="131" t="b">
        <f aca="false">FALSE()</f>
        <v>0</v>
      </c>
      <c r="I488" s="131" t="b">
        <f aca="false">FALSE()</f>
        <v>0</v>
      </c>
      <c r="J488" s="130"/>
      <c r="K488" s="110"/>
      <c r="L488" s="83"/>
      <c r="M488" s="103"/>
      <c r="N488" s="103"/>
      <c r="O488" s="103"/>
      <c r="P488" s="103"/>
      <c r="Q488" s="103"/>
      <c r="R488" s="83"/>
      <c r="S488" s="103"/>
      <c r="T488" s="103"/>
      <c r="U488" s="103"/>
    </row>
    <row r="489" customFormat="false" ht="22.5" hidden="false" customHeight="true" outlineLevel="0" collapsed="false">
      <c r="A489" s="99"/>
      <c r="B489" s="99"/>
      <c r="C489" s="99"/>
      <c r="D489" s="121"/>
      <c r="E489" s="99"/>
      <c r="F489" s="124"/>
      <c r="G489" s="121"/>
      <c r="H489" s="132" t="b">
        <f aca="false">FALSE()</f>
        <v>0</v>
      </c>
      <c r="I489" s="132" t="b">
        <f aca="false">FALSE()</f>
        <v>0</v>
      </c>
      <c r="J489" s="126"/>
      <c r="K489" s="99"/>
      <c r="L489" s="83"/>
      <c r="M489" s="103"/>
      <c r="N489" s="103"/>
      <c r="O489" s="103"/>
      <c r="P489" s="103"/>
      <c r="Q489" s="103"/>
      <c r="R489" s="83"/>
      <c r="S489" s="103"/>
      <c r="T489" s="103"/>
      <c r="U489" s="103"/>
    </row>
    <row r="490" customFormat="false" ht="22.5" hidden="false" customHeight="true" outlineLevel="0" collapsed="false">
      <c r="A490" s="110"/>
      <c r="B490" s="110"/>
      <c r="C490" s="110"/>
      <c r="D490" s="122"/>
      <c r="E490" s="110"/>
      <c r="F490" s="128"/>
      <c r="G490" s="122"/>
      <c r="H490" s="131" t="b">
        <f aca="false">FALSE()</f>
        <v>0</v>
      </c>
      <c r="I490" s="131" t="b">
        <f aca="false">FALSE()</f>
        <v>0</v>
      </c>
      <c r="J490" s="130"/>
      <c r="K490" s="110"/>
      <c r="L490" s="83"/>
      <c r="M490" s="103"/>
      <c r="N490" s="103"/>
      <c r="O490" s="103"/>
      <c r="P490" s="103"/>
      <c r="Q490" s="103"/>
      <c r="R490" s="83"/>
      <c r="S490" s="103"/>
      <c r="T490" s="103"/>
      <c r="U490" s="103"/>
    </row>
    <row r="491" customFormat="false" ht="22.5" hidden="false" customHeight="true" outlineLevel="0" collapsed="false">
      <c r="A491" s="99"/>
      <c r="B491" s="99"/>
      <c r="C491" s="99"/>
      <c r="D491" s="121"/>
      <c r="E491" s="99"/>
      <c r="F491" s="124"/>
      <c r="G491" s="121"/>
      <c r="H491" s="132" t="b">
        <f aca="false">FALSE()</f>
        <v>0</v>
      </c>
      <c r="I491" s="132" t="b">
        <f aca="false">FALSE()</f>
        <v>0</v>
      </c>
      <c r="J491" s="126"/>
      <c r="K491" s="99"/>
      <c r="L491" s="83"/>
      <c r="M491" s="103"/>
      <c r="N491" s="103"/>
      <c r="O491" s="103"/>
      <c r="P491" s="103"/>
      <c r="Q491" s="103"/>
      <c r="R491" s="83"/>
      <c r="S491" s="103"/>
      <c r="T491" s="103"/>
      <c r="U491" s="103"/>
    </row>
    <row r="492" customFormat="false" ht="22.5" hidden="false" customHeight="true" outlineLevel="0" collapsed="false">
      <c r="A492" s="110"/>
      <c r="B492" s="110"/>
      <c r="C492" s="110"/>
      <c r="D492" s="122"/>
      <c r="E492" s="110"/>
      <c r="F492" s="128"/>
      <c r="G492" s="122"/>
      <c r="H492" s="131" t="b">
        <f aca="false">FALSE()</f>
        <v>0</v>
      </c>
      <c r="I492" s="131" t="b">
        <f aca="false">FALSE()</f>
        <v>0</v>
      </c>
      <c r="J492" s="130"/>
      <c r="K492" s="110"/>
      <c r="L492" s="83"/>
      <c r="M492" s="103"/>
      <c r="N492" s="103"/>
      <c r="O492" s="103"/>
      <c r="P492" s="103"/>
      <c r="Q492" s="103"/>
      <c r="R492" s="83"/>
      <c r="S492" s="103"/>
      <c r="T492" s="103"/>
      <c r="U492" s="103"/>
    </row>
    <row r="493" customFormat="false" ht="22.5" hidden="false" customHeight="true" outlineLevel="0" collapsed="false">
      <c r="A493" s="99"/>
      <c r="B493" s="99"/>
      <c r="C493" s="99"/>
      <c r="D493" s="121"/>
      <c r="E493" s="99"/>
      <c r="F493" s="124"/>
      <c r="G493" s="121"/>
      <c r="H493" s="132" t="b">
        <f aca="false">FALSE()</f>
        <v>0</v>
      </c>
      <c r="I493" s="132" t="b">
        <f aca="false">FALSE()</f>
        <v>0</v>
      </c>
      <c r="J493" s="126"/>
      <c r="K493" s="99"/>
      <c r="L493" s="83"/>
      <c r="M493" s="103"/>
      <c r="N493" s="103"/>
      <c r="O493" s="103"/>
      <c r="P493" s="103"/>
      <c r="Q493" s="103"/>
      <c r="R493" s="83"/>
      <c r="S493" s="103"/>
      <c r="T493" s="103"/>
      <c r="U493" s="103"/>
    </row>
    <row r="494" customFormat="false" ht="22.5" hidden="false" customHeight="true" outlineLevel="0" collapsed="false">
      <c r="A494" s="110"/>
      <c r="B494" s="110"/>
      <c r="C494" s="110"/>
      <c r="D494" s="122"/>
      <c r="E494" s="110"/>
      <c r="F494" s="128"/>
      <c r="G494" s="122"/>
      <c r="H494" s="131" t="b">
        <f aca="false">FALSE()</f>
        <v>0</v>
      </c>
      <c r="I494" s="131" t="b">
        <f aca="false">FALSE()</f>
        <v>0</v>
      </c>
      <c r="J494" s="130"/>
      <c r="K494" s="110"/>
      <c r="L494" s="83"/>
      <c r="M494" s="103"/>
      <c r="N494" s="103"/>
      <c r="O494" s="103"/>
      <c r="P494" s="103"/>
      <c r="Q494" s="103"/>
      <c r="R494" s="83"/>
      <c r="S494" s="103"/>
      <c r="T494" s="103"/>
      <c r="U494" s="103"/>
    </row>
    <row r="495" customFormat="false" ht="22.5" hidden="false" customHeight="true" outlineLevel="0" collapsed="false">
      <c r="A495" s="99"/>
      <c r="B495" s="99"/>
      <c r="C495" s="99"/>
      <c r="D495" s="121"/>
      <c r="E495" s="99"/>
      <c r="F495" s="124"/>
      <c r="G495" s="121"/>
      <c r="H495" s="132" t="b">
        <f aca="false">FALSE()</f>
        <v>0</v>
      </c>
      <c r="I495" s="132" t="b">
        <f aca="false">FALSE()</f>
        <v>0</v>
      </c>
      <c r="J495" s="126"/>
      <c r="K495" s="99"/>
      <c r="L495" s="83"/>
      <c r="M495" s="103"/>
      <c r="N495" s="103"/>
      <c r="O495" s="103"/>
      <c r="P495" s="103"/>
      <c r="Q495" s="103"/>
      <c r="R495" s="83"/>
      <c r="S495" s="103"/>
      <c r="T495" s="103"/>
      <c r="U495" s="103"/>
    </row>
    <row r="496" customFormat="false" ht="22.5" hidden="false" customHeight="true" outlineLevel="0" collapsed="false">
      <c r="A496" s="110"/>
      <c r="B496" s="110"/>
      <c r="C496" s="110"/>
      <c r="D496" s="122"/>
      <c r="E496" s="110"/>
      <c r="F496" s="128"/>
      <c r="G496" s="122"/>
      <c r="H496" s="131" t="b">
        <f aca="false">FALSE()</f>
        <v>0</v>
      </c>
      <c r="I496" s="131" t="b">
        <f aca="false">FALSE()</f>
        <v>0</v>
      </c>
      <c r="J496" s="130"/>
      <c r="K496" s="110"/>
      <c r="L496" s="83"/>
      <c r="M496" s="103"/>
      <c r="N496" s="103"/>
      <c r="O496" s="103"/>
      <c r="P496" s="103"/>
      <c r="Q496" s="103"/>
      <c r="R496" s="83"/>
      <c r="S496" s="103"/>
      <c r="T496" s="103"/>
      <c r="U496" s="103"/>
    </row>
    <row r="497" customFormat="false" ht="22.5" hidden="false" customHeight="true" outlineLevel="0" collapsed="false">
      <c r="A497" s="99"/>
      <c r="B497" s="99"/>
      <c r="C497" s="99"/>
      <c r="D497" s="121"/>
      <c r="E497" s="99"/>
      <c r="F497" s="124"/>
      <c r="G497" s="121"/>
      <c r="H497" s="132" t="b">
        <f aca="false">FALSE()</f>
        <v>0</v>
      </c>
      <c r="I497" s="132" t="b">
        <f aca="false">FALSE()</f>
        <v>0</v>
      </c>
      <c r="J497" s="126"/>
      <c r="K497" s="99"/>
      <c r="L497" s="83"/>
      <c r="M497" s="103"/>
      <c r="N497" s="103"/>
      <c r="O497" s="103"/>
      <c r="P497" s="103"/>
      <c r="Q497" s="103"/>
      <c r="R497" s="83"/>
      <c r="S497" s="103"/>
      <c r="T497" s="103"/>
      <c r="U497" s="103"/>
    </row>
    <row r="498" customFormat="false" ht="22.5" hidden="false" customHeight="true" outlineLevel="0" collapsed="false">
      <c r="A498" s="110"/>
      <c r="B498" s="110"/>
      <c r="C498" s="110"/>
      <c r="D498" s="122"/>
      <c r="E498" s="110"/>
      <c r="F498" s="128"/>
      <c r="G498" s="122"/>
      <c r="H498" s="131" t="b">
        <f aca="false">FALSE()</f>
        <v>0</v>
      </c>
      <c r="I498" s="131" t="b">
        <f aca="false">FALSE()</f>
        <v>0</v>
      </c>
      <c r="J498" s="130"/>
      <c r="K498" s="110"/>
      <c r="L498" s="83"/>
      <c r="M498" s="103"/>
      <c r="N498" s="103"/>
      <c r="O498" s="103"/>
      <c r="P498" s="103"/>
      <c r="Q498" s="103"/>
      <c r="R498" s="83"/>
      <c r="S498" s="103"/>
      <c r="T498" s="103"/>
      <c r="U498" s="103"/>
    </row>
    <row r="499" customFormat="false" ht="22.5" hidden="false" customHeight="true" outlineLevel="0" collapsed="false">
      <c r="A499" s="99"/>
      <c r="B499" s="99"/>
      <c r="C499" s="99"/>
      <c r="D499" s="121"/>
      <c r="E499" s="99"/>
      <c r="F499" s="124"/>
      <c r="G499" s="121"/>
      <c r="H499" s="132" t="b">
        <f aca="false">FALSE()</f>
        <v>0</v>
      </c>
      <c r="I499" s="132" t="b">
        <f aca="false">FALSE()</f>
        <v>0</v>
      </c>
      <c r="J499" s="126"/>
      <c r="K499" s="99"/>
      <c r="L499" s="83"/>
      <c r="M499" s="103"/>
      <c r="N499" s="103"/>
      <c r="O499" s="103"/>
      <c r="P499" s="103"/>
      <c r="Q499" s="103"/>
      <c r="R499" s="83"/>
      <c r="S499" s="103"/>
      <c r="T499" s="103"/>
      <c r="U499" s="103"/>
    </row>
    <row r="500" customFormat="false" ht="22.5" hidden="false" customHeight="true" outlineLevel="0" collapsed="false">
      <c r="A500" s="110"/>
      <c r="B500" s="110"/>
      <c r="C500" s="110"/>
      <c r="D500" s="122"/>
      <c r="E500" s="110"/>
      <c r="F500" s="128"/>
      <c r="G500" s="122"/>
      <c r="H500" s="131" t="b">
        <f aca="false">FALSE()</f>
        <v>0</v>
      </c>
      <c r="I500" s="131" t="b">
        <f aca="false">FALSE()</f>
        <v>0</v>
      </c>
      <c r="J500" s="130"/>
      <c r="K500" s="110"/>
      <c r="L500" s="83"/>
      <c r="M500" s="103"/>
      <c r="N500" s="103"/>
      <c r="O500" s="103"/>
      <c r="P500" s="103"/>
      <c r="Q500" s="103"/>
      <c r="R500" s="83"/>
      <c r="S500" s="103"/>
      <c r="T500" s="103"/>
      <c r="U500" s="103"/>
    </row>
    <row r="501" customFormat="false" ht="22.5" hidden="false" customHeight="true" outlineLevel="0" collapsed="false">
      <c r="A501" s="99"/>
      <c r="B501" s="99"/>
      <c r="C501" s="99"/>
      <c r="D501" s="121"/>
      <c r="E501" s="99"/>
      <c r="F501" s="124"/>
      <c r="G501" s="121"/>
      <c r="H501" s="132" t="b">
        <f aca="false">FALSE()</f>
        <v>0</v>
      </c>
      <c r="I501" s="132" t="b">
        <f aca="false">FALSE()</f>
        <v>0</v>
      </c>
      <c r="J501" s="126"/>
      <c r="K501" s="99"/>
      <c r="L501" s="83"/>
      <c r="M501" s="103"/>
      <c r="N501" s="103"/>
      <c r="O501" s="103"/>
      <c r="P501" s="103"/>
      <c r="Q501" s="103"/>
      <c r="R501" s="83"/>
      <c r="S501" s="103"/>
      <c r="T501" s="103"/>
      <c r="U501" s="103"/>
    </row>
    <row r="502" customFormat="false" ht="22.5" hidden="false" customHeight="true" outlineLevel="0" collapsed="false">
      <c r="A502" s="110"/>
      <c r="B502" s="110"/>
      <c r="C502" s="110"/>
      <c r="D502" s="122"/>
      <c r="E502" s="110"/>
      <c r="F502" s="128"/>
      <c r="G502" s="122"/>
      <c r="H502" s="131" t="b">
        <f aca="false">FALSE()</f>
        <v>0</v>
      </c>
      <c r="I502" s="131" t="b">
        <f aca="false">FALSE()</f>
        <v>0</v>
      </c>
      <c r="J502" s="130"/>
      <c r="K502" s="110"/>
      <c r="L502" s="83"/>
      <c r="M502" s="103"/>
      <c r="N502" s="103"/>
      <c r="O502" s="103"/>
      <c r="P502" s="103"/>
      <c r="Q502" s="103"/>
      <c r="R502" s="83"/>
      <c r="S502" s="103"/>
      <c r="T502" s="103"/>
      <c r="U502" s="103"/>
    </row>
    <row r="503" customFormat="false" ht="22.5" hidden="false" customHeight="true" outlineLevel="0" collapsed="false">
      <c r="A503" s="99"/>
      <c r="B503" s="99"/>
      <c r="C503" s="99"/>
      <c r="D503" s="121"/>
      <c r="E503" s="99"/>
      <c r="F503" s="124"/>
      <c r="G503" s="121"/>
      <c r="H503" s="132" t="b">
        <f aca="false">FALSE()</f>
        <v>0</v>
      </c>
      <c r="I503" s="132" t="b">
        <f aca="false">FALSE()</f>
        <v>0</v>
      </c>
      <c r="J503" s="126"/>
      <c r="K503" s="99"/>
      <c r="L503" s="83"/>
      <c r="M503" s="103"/>
      <c r="N503" s="103"/>
      <c r="O503" s="103"/>
      <c r="P503" s="103"/>
      <c r="Q503" s="103"/>
      <c r="R503" s="83"/>
      <c r="S503" s="103"/>
      <c r="T503" s="103"/>
      <c r="U503" s="103"/>
    </row>
    <row r="504" customFormat="false" ht="22.5" hidden="false" customHeight="true" outlineLevel="0" collapsed="false">
      <c r="A504" s="110"/>
      <c r="B504" s="110"/>
      <c r="C504" s="110"/>
      <c r="D504" s="122"/>
      <c r="E504" s="110"/>
      <c r="F504" s="128"/>
      <c r="G504" s="122"/>
      <c r="H504" s="131" t="b">
        <f aca="false">FALSE()</f>
        <v>0</v>
      </c>
      <c r="I504" s="131" t="b">
        <f aca="false">FALSE()</f>
        <v>0</v>
      </c>
      <c r="J504" s="130"/>
      <c r="K504" s="110"/>
      <c r="L504" s="83"/>
      <c r="M504" s="103"/>
      <c r="N504" s="103"/>
      <c r="O504" s="103"/>
      <c r="P504" s="103"/>
      <c r="Q504" s="103"/>
      <c r="R504" s="83"/>
      <c r="S504" s="103"/>
      <c r="T504" s="103"/>
      <c r="U504" s="103"/>
    </row>
    <row r="505" customFormat="false" ht="22.5" hidden="false" customHeight="true" outlineLevel="0" collapsed="false">
      <c r="A505" s="99"/>
      <c r="B505" s="99"/>
      <c r="C505" s="99"/>
      <c r="D505" s="121"/>
      <c r="E505" s="99"/>
      <c r="F505" s="124"/>
      <c r="G505" s="121"/>
      <c r="H505" s="132" t="b">
        <f aca="false">FALSE()</f>
        <v>0</v>
      </c>
      <c r="I505" s="132" t="b">
        <f aca="false">FALSE()</f>
        <v>0</v>
      </c>
      <c r="J505" s="126"/>
      <c r="K505" s="99"/>
      <c r="L505" s="83"/>
      <c r="M505" s="103"/>
      <c r="N505" s="103"/>
      <c r="O505" s="103"/>
      <c r="P505" s="103"/>
      <c r="Q505" s="103"/>
      <c r="R505" s="83"/>
      <c r="S505" s="103"/>
      <c r="T505" s="103"/>
      <c r="U505" s="103"/>
    </row>
    <row r="506" customFormat="false" ht="22.5" hidden="false" customHeight="true" outlineLevel="0" collapsed="false">
      <c r="A506" s="110"/>
      <c r="B506" s="110"/>
      <c r="C506" s="110"/>
      <c r="D506" s="122"/>
      <c r="E506" s="110"/>
      <c r="F506" s="128"/>
      <c r="G506" s="122"/>
      <c r="H506" s="131" t="b">
        <f aca="false">FALSE()</f>
        <v>0</v>
      </c>
      <c r="I506" s="131" t="b">
        <f aca="false">FALSE()</f>
        <v>0</v>
      </c>
      <c r="J506" s="130"/>
      <c r="K506" s="110"/>
      <c r="L506" s="83"/>
      <c r="M506" s="103"/>
      <c r="N506" s="103"/>
      <c r="O506" s="103"/>
      <c r="P506" s="103"/>
      <c r="Q506" s="103"/>
      <c r="R506" s="83"/>
      <c r="S506" s="103"/>
      <c r="T506" s="103"/>
      <c r="U506" s="103"/>
    </row>
    <row r="507" customFormat="false" ht="22.5" hidden="false" customHeight="true" outlineLevel="0" collapsed="false">
      <c r="A507" s="99"/>
      <c r="B507" s="99"/>
      <c r="C507" s="99"/>
      <c r="D507" s="121"/>
      <c r="E507" s="99"/>
      <c r="F507" s="124"/>
      <c r="G507" s="121"/>
      <c r="H507" s="132" t="b">
        <f aca="false">FALSE()</f>
        <v>0</v>
      </c>
      <c r="I507" s="132" t="b">
        <f aca="false">FALSE()</f>
        <v>0</v>
      </c>
      <c r="J507" s="126"/>
      <c r="K507" s="99"/>
      <c r="L507" s="83"/>
      <c r="M507" s="103"/>
      <c r="N507" s="103"/>
      <c r="O507" s="103"/>
      <c r="P507" s="103"/>
      <c r="Q507" s="103"/>
      <c r="R507" s="83"/>
      <c r="S507" s="103"/>
      <c r="T507" s="103"/>
      <c r="U507" s="103"/>
    </row>
    <row r="508" customFormat="false" ht="22.5" hidden="false" customHeight="true" outlineLevel="0" collapsed="false">
      <c r="A508" s="110"/>
      <c r="B508" s="110"/>
      <c r="C508" s="110"/>
      <c r="D508" s="122"/>
      <c r="E508" s="110"/>
      <c r="F508" s="128"/>
      <c r="G508" s="122"/>
      <c r="H508" s="131" t="b">
        <f aca="false">FALSE()</f>
        <v>0</v>
      </c>
      <c r="I508" s="131" t="b">
        <f aca="false">FALSE()</f>
        <v>0</v>
      </c>
      <c r="J508" s="130"/>
      <c r="K508" s="110"/>
      <c r="L508" s="83"/>
      <c r="M508" s="103"/>
      <c r="N508" s="103"/>
      <c r="O508" s="103"/>
      <c r="P508" s="103"/>
      <c r="Q508" s="103"/>
      <c r="R508" s="83"/>
      <c r="S508" s="103"/>
      <c r="T508" s="103"/>
      <c r="U508" s="103"/>
    </row>
    <row r="509" customFormat="false" ht="22.5" hidden="false" customHeight="true" outlineLevel="0" collapsed="false">
      <c r="A509" s="99"/>
      <c r="B509" s="99"/>
      <c r="C509" s="99"/>
      <c r="D509" s="121"/>
      <c r="E509" s="99"/>
      <c r="F509" s="124"/>
      <c r="G509" s="121"/>
      <c r="H509" s="132" t="b">
        <f aca="false">FALSE()</f>
        <v>0</v>
      </c>
      <c r="I509" s="132" t="b">
        <f aca="false">FALSE()</f>
        <v>0</v>
      </c>
      <c r="J509" s="126"/>
      <c r="K509" s="99"/>
      <c r="L509" s="83"/>
      <c r="M509" s="103"/>
      <c r="N509" s="103"/>
      <c r="O509" s="103"/>
      <c r="P509" s="103"/>
      <c r="Q509" s="103"/>
      <c r="R509" s="83"/>
      <c r="S509" s="103"/>
      <c r="T509" s="103"/>
      <c r="U509" s="103"/>
    </row>
    <row r="510" customFormat="false" ht="22.5" hidden="false" customHeight="true" outlineLevel="0" collapsed="false">
      <c r="A510" s="110"/>
      <c r="B510" s="110"/>
      <c r="C510" s="110"/>
      <c r="D510" s="122"/>
      <c r="E510" s="110"/>
      <c r="F510" s="128"/>
      <c r="G510" s="122"/>
      <c r="H510" s="131" t="b">
        <f aca="false">FALSE()</f>
        <v>0</v>
      </c>
      <c r="I510" s="131" t="b">
        <f aca="false">FALSE()</f>
        <v>0</v>
      </c>
      <c r="J510" s="130"/>
      <c r="K510" s="110"/>
      <c r="L510" s="83"/>
      <c r="M510" s="103"/>
      <c r="N510" s="103"/>
      <c r="O510" s="103"/>
      <c r="P510" s="103"/>
      <c r="Q510" s="103"/>
      <c r="R510" s="83"/>
      <c r="S510" s="103"/>
      <c r="T510" s="103"/>
      <c r="U510" s="103"/>
    </row>
    <row r="511" customFormat="false" ht="22.5" hidden="false" customHeight="true" outlineLevel="0" collapsed="false">
      <c r="A511" s="99"/>
      <c r="B511" s="99"/>
      <c r="C511" s="99"/>
      <c r="D511" s="121"/>
      <c r="E511" s="99"/>
      <c r="F511" s="124"/>
      <c r="G511" s="121"/>
      <c r="H511" s="132" t="b">
        <f aca="false">FALSE()</f>
        <v>0</v>
      </c>
      <c r="I511" s="132" t="b">
        <f aca="false">FALSE()</f>
        <v>0</v>
      </c>
      <c r="J511" s="126"/>
      <c r="K511" s="99"/>
      <c r="L511" s="83"/>
      <c r="M511" s="103"/>
      <c r="N511" s="103"/>
      <c r="O511" s="103"/>
      <c r="P511" s="103"/>
      <c r="Q511" s="103"/>
      <c r="R511" s="83"/>
      <c r="S511" s="103"/>
      <c r="T511" s="103"/>
      <c r="U511" s="103"/>
    </row>
    <row r="512" customFormat="false" ht="22.5" hidden="false" customHeight="true" outlineLevel="0" collapsed="false">
      <c r="A512" s="110"/>
      <c r="B512" s="110"/>
      <c r="C512" s="110"/>
      <c r="D512" s="122"/>
      <c r="E512" s="110"/>
      <c r="F512" s="128"/>
      <c r="G512" s="122"/>
      <c r="H512" s="131" t="b">
        <f aca="false">FALSE()</f>
        <v>0</v>
      </c>
      <c r="I512" s="131" t="b">
        <f aca="false">FALSE()</f>
        <v>0</v>
      </c>
      <c r="J512" s="130"/>
      <c r="K512" s="110"/>
      <c r="L512" s="83"/>
      <c r="M512" s="103"/>
      <c r="N512" s="103"/>
      <c r="O512" s="103"/>
      <c r="P512" s="103"/>
      <c r="Q512" s="103"/>
      <c r="R512" s="83"/>
      <c r="S512" s="103"/>
      <c r="T512" s="103"/>
      <c r="U512" s="103"/>
    </row>
    <row r="513" customFormat="false" ht="22.5" hidden="false" customHeight="true" outlineLevel="0" collapsed="false">
      <c r="A513" s="99"/>
      <c r="B513" s="99"/>
      <c r="C513" s="99"/>
      <c r="D513" s="121"/>
      <c r="E513" s="99"/>
      <c r="F513" s="124"/>
      <c r="G513" s="121"/>
      <c r="H513" s="132" t="b">
        <f aca="false">FALSE()</f>
        <v>0</v>
      </c>
      <c r="I513" s="132" t="b">
        <f aca="false">FALSE()</f>
        <v>0</v>
      </c>
      <c r="J513" s="126"/>
      <c r="K513" s="99"/>
      <c r="L513" s="83"/>
      <c r="M513" s="103"/>
      <c r="N513" s="103"/>
      <c r="O513" s="103"/>
      <c r="P513" s="103"/>
      <c r="Q513" s="103"/>
      <c r="R513" s="83"/>
      <c r="S513" s="103"/>
      <c r="T513" s="103"/>
      <c r="U513" s="103"/>
    </row>
    <row r="514" customFormat="false" ht="22.5" hidden="false" customHeight="true" outlineLevel="0" collapsed="false">
      <c r="A514" s="110"/>
      <c r="B514" s="110"/>
      <c r="C514" s="110"/>
      <c r="D514" s="122"/>
      <c r="E514" s="110"/>
      <c r="F514" s="128"/>
      <c r="G514" s="122"/>
      <c r="H514" s="131" t="b">
        <f aca="false">FALSE()</f>
        <v>0</v>
      </c>
      <c r="I514" s="131" t="b">
        <f aca="false">FALSE()</f>
        <v>0</v>
      </c>
      <c r="J514" s="130"/>
      <c r="K514" s="110"/>
      <c r="L514" s="83"/>
      <c r="M514" s="103"/>
      <c r="N514" s="103"/>
      <c r="O514" s="103"/>
      <c r="P514" s="103"/>
      <c r="Q514" s="103"/>
      <c r="R514" s="83"/>
      <c r="S514" s="103"/>
      <c r="T514" s="103"/>
      <c r="U514" s="103"/>
    </row>
    <row r="515" customFormat="false" ht="22.5" hidden="false" customHeight="true" outlineLevel="0" collapsed="false">
      <c r="A515" s="99"/>
      <c r="B515" s="99"/>
      <c r="C515" s="99"/>
      <c r="D515" s="121"/>
      <c r="E515" s="99"/>
      <c r="F515" s="124"/>
      <c r="G515" s="121"/>
      <c r="H515" s="132" t="b">
        <f aca="false">FALSE()</f>
        <v>0</v>
      </c>
      <c r="I515" s="132" t="b">
        <f aca="false">FALSE()</f>
        <v>0</v>
      </c>
      <c r="J515" s="126"/>
      <c r="K515" s="99"/>
      <c r="L515" s="83"/>
      <c r="M515" s="103"/>
      <c r="N515" s="103"/>
      <c r="O515" s="103"/>
      <c r="P515" s="103"/>
      <c r="Q515" s="103"/>
      <c r="R515" s="83"/>
      <c r="S515" s="103"/>
      <c r="T515" s="103"/>
      <c r="U515" s="103"/>
    </row>
    <row r="516" customFormat="false" ht="22.5" hidden="false" customHeight="true" outlineLevel="0" collapsed="false">
      <c r="A516" s="110"/>
      <c r="B516" s="110"/>
      <c r="C516" s="110"/>
      <c r="D516" s="122"/>
      <c r="E516" s="110"/>
      <c r="F516" s="128"/>
      <c r="G516" s="122"/>
      <c r="H516" s="131" t="b">
        <f aca="false">FALSE()</f>
        <v>0</v>
      </c>
      <c r="I516" s="131" t="b">
        <f aca="false">FALSE()</f>
        <v>0</v>
      </c>
      <c r="J516" s="130"/>
      <c r="K516" s="110"/>
      <c r="L516" s="83"/>
      <c r="M516" s="103"/>
      <c r="N516" s="103"/>
      <c r="O516" s="103"/>
      <c r="P516" s="103"/>
      <c r="Q516" s="103"/>
      <c r="R516" s="83"/>
      <c r="S516" s="103"/>
      <c r="T516" s="103"/>
      <c r="U516" s="103"/>
    </row>
    <row r="517" customFormat="false" ht="22.5" hidden="false" customHeight="true" outlineLevel="0" collapsed="false">
      <c r="A517" s="99"/>
      <c r="B517" s="99"/>
      <c r="C517" s="99"/>
      <c r="D517" s="121"/>
      <c r="E517" s="99"/>
      <c r="F517" s="124"/>
      <c r="G517" s="121"/>
      <c r="H517" s="132" t="b">
        <f aca="false">FALSE()</f>
        <v>0</v>
      </c>
      <c r="I517" s="132" t="b">
        <f aca="false">FALSE()</f>
        <v>0</v>
      </c>
      <c r="J517" s="126"/>
      <c r="K517" s="99"/>
      <c r="L517" s="83"/>
      <c r="M517" s="103"/>
      <c r="N517" s="103"/>
      <c r="O517" s="103"/>
      <c r="P517" s="103"/>
      <c r="Q517" s="103"/>
      <c r="R517" s="83"/>
      <c r="S517" s="103"/>
      <c r="T517" s="103"/>
      <c r="U517" s="103"/>
    </row>
    <row r="518" customFormat="false" ht="22.5" hidden="false" customHeight="true" outlineLevel="0" collapsed="false">
      <c r="A518" s="110"/>
      <c r="B518" s="110"/>
      <c r="C518" s="110"/>
      <c r="D518" s="122"/>
      <c r="E518" s="110"/>
      <c r="F518" s="128"/>
      <c r="G518" s="122"/>
      <c r="H518" s="131" t="b">
        <f aca="false">FALSE()</f>
        <v>0</v>
      </c>
      <c r="I518" s="131" t="b">
        <f aca="false">FALSE()</f>
        <v>0</v>
      </c>
      <c r="J518" s="130"/>
      <c r="K518" s="110"/>
      <c r="L518" s="83"/>
      <c r="M518" s="103"/>
      <c r="N518" s="103"/>
      <c r="O518" s="103"/>
      <c r="P518" s="103"/>
      <c r="Q518" s="103"/>
      <c r="R518" s="83"/>
      <c r="S518" s="103"/>
      <c r="T518" s="103"/>
      <c r="U518" s="103"/>
    </row>
    <row r="519" customFormat="false" ht="22.5" hidden="false" customHeight="true" outlineLevel="0" collapsed="false">
      <c r="A519" s="99"/>
      <c r="B519" s="99"/>
      <c r="C519" s="99"/>
      <c r="D519" s="121"/>
      <c r="E519" s="99"/>
      <c r="F519" s="124"/>
      <c r="G519" s="121"/>
      <c r="H519" s="132" t="b">
        <f aca="false">FALSE()</f>
        <v>0</v>
      </c>
      <c r="I519" s="132" t="b">
        <f aca="false">FALSE()</f>
        <v>0</v>
      </c>
      <c r="J519" s="126"/>
      <c r="K519" s="99"/>
      <c r="L519" s="83"/>
      <c r="M519" s="103"/>
      <c r="N519" s="103"/>
      <c r="O519" s="103"/>
      <c r="P519" s="103"/>
      <c r="Q519" s="103"/>
      <c r="R519" s="83"/>
      <c r="S519" s="103"/>
      <c r="T519" s="103"/>
      <c r="U519" s="103"/>
    </row>
    <row r="520" customFormat="false" ht="22.5" hidden="false" customHeight="true" outlineLevel="0" collapsed="false">
      <c r="A520" s="110"/>
      <c r="B520" s="110"/>
      <c r="C520" s="110"/>
      <c r="D520" s="122"/>
      <c r="E520" s="110"/>
      <c r="F520" s="128"/>
      <c r="G520" s="122"/>
      <c r="H520" s="131" t="b">
        <f aca="false">FALSE()</f>
        <v>0</v>
      </c>
      <c r="I520" s="131" t="b">
        <f aca="false">FALSE()</f>
        <v>0</v>
      </c>
      <c r="J520" s="130"/>
      <c r="K520" s="110"/>
      <c r="L520" s="83"/>
      <c r="M520" s="103"/>
      <c r="N520" s="103"/>
      <c r="O520" s="103"/>
      <c r="P520" s="103"/>
      <c r="Q520" s="103"/>
      <c r="R520" s="83"/>
      <c r="S520" s="103"/>
      <c r="T520" s="103"/>
      <c r="U520" s="103"/>
    </row>
    <row r="521" customFormat="false" ht="22.5" hidden="false" customHeight="true" outlineLevel="0" collapsed="false">
      <c r="A521" s="99"/>
      <c r="B521" s="99"/>
      <c r="C521" s="99"/>
      <c r="D521" s="121"/>
      <c r="E521" s="99"/>
      <c r="F521" s="124"/>
      <c r="G521" s="121"/>
      <c r="H521" s="132" t="b">
        <f aca="false">FALSE()</f>
        <v>0</v>
      </c>
      <c r="I521" s="132" t="b">
        <f aca="false">FALSE()</f>
        <v>0</v>
      </c>
      <c r="J521" s="126"/>
      <c r="K521" s="99"/>
      <c r="L521" s="83"/>
      <c r="M521" s="103"/>
      <c r="N521" s="103"/>
      <c r="O521" s="103"/>
      <c r="P521" s="103"/>
      <c r="Q521" s="103"/>
      <c r="R521" s="83"/>
      <c r="S521" s="103"/>
      <c r="T521" s="103"/>
      <c r="U521" s="103"/>
    </row>
    <row r="522" customFormat="false" ht="22.5" hidden="false" customHeight="true" outlineLevel="0" collapsed="false">
      <c r="A522" s="110"/>
      <c r="B522" s="110"/>
      <c r="C522" s="110"/>
      <c r="D522" s="122"/>
      <c r="E522" s="110"/>
      <c r="F522" s="128"/>
      <c r="G522" s="122"/>
      <c r="H522" s="131" t="b">
        <f aca="false">FALSE()</f>
        <v>0</v>
      </c>
      <c r="I522" s="131" t="b">
        <f aca="false">FALSE()</f>
        <v>0</v>
      </c>
      <c r="J522" s="130"/>
      <c r="K522" s="110"/>
      <c r="L522" s="83"/>
      <c r="M522" s="103"/>
      <c r="N522" s="103"/>
      <c r="O522" s="103"/>
      <c r="P522" s="103"/>
      <c r="Q522" s="103"/>
      <c r="R522" s="83"/>
      <c r="S522" s="103"/>
      <c r="T522" s="103"/>
      <c r="U522" s="103"/>
    </row>
    <row r="523" customFormat="false" ht="22.5" hidden="false" customHeight="true" outlineLevel="0" collapsed="false">
      <c r="A523" s="99"/>
      <c r="B523" s="99"/>
      <c r="C523" s="99"/>
      <c r="D523" s="121"/>
      <c r="E523" s="99"/>
      <c r="F523" s="124"/>
      <c r="G523" s="121"/>
      <c r="H523" s="132" t="b">
        <f aca="false">FALSE()</f>
        <v>0</v>
      </c>
      <c r="I523" s="132" t="b">
        <f aca="false">FALSE()</f>
        <v>0</v>
      </c>
      <c r="J523" s="126"/>
      <c r="K523" s="99"/>
      <c r="L523" s="83"/>
      <c r="M523" s="103"/>
      <c r="N523" s="103"/>
      <c r="O523" s="103"/>
      <c r="P523" s="103"/>
      <c r="Q523" s="103"/>
      <c r="R523" s="83"/>
      <c r="S523" s="103"/>
      <c r="T523" s="103"/>
      <c r="U523" s="103"/>
    </row>
    <row r="524" customFormat="false" ht="22.5" hidden="false" customHeight="true" outlineLevel="0" collapsed="false">
      <c r="A524" s="110"/>
      <c r="B524" s="110"/>
      <c r="C524" s="110"/>
      <c r="D524" s="122"/>
      <c r="E524" s="110"/>
      <c r="F524" s="128"/>
      <c r="G524" s="122"/>
      <c r="H524" s="131" t="b">
        <f aca="false">FALSE()</f>
        <v>0</v>
      </c>
      <c r="I524" s="131" t="b">
        <f aca="false">FALSE()</f>
        <v>0</v>
      </c>
      <c r="J524" s="130"/>
      <c r="K524" s="110"/>
      <c r="L524" s="83"/>
      <c r="M524" s="103"/>
      <c r="N524" s="103"/>
      <c r="O524" s="103"/>
      <c r="P524" s="103"/>
      <c r="Q524" s="103"/>
      <c r="R524" s="83"/>
      <c r="S524" s="103"/>
      <c r="T524" s="103"/>
      <c r="U524" s="103"/>
    </row>
    <row r="525" customFormat="false" ht="22.5" hidden="false" customHeight="true" outlineLevel="0" collapsed="false">
      <c r="A525" s="99"/>
      <c r="B525" s="99"/>
      <c r="C525" s="99"/>
      <c r="D525" s="121"/>
      <c r="E525" s="99"/>
      <c r="F525" s="124"/>
      <c r="G525" s="121"/>
      <c r="H525" s="132" t="b">
        <f aca="false">FALSE()</f>
        <v>0</v>
      </c>
      <c r="I525" s="132" t="b">
        <f aca="false">FALSE()</f>
        <v>0</v>
      </c>
      <c r="J525" s="126"/>
      <c r="K525" s="99"/>
      <c r="L525" s="83"/>
      <c r="M525" s="103"/>
      <c r="N525" s="103"/>
      <c r="O525" s="103"/>
      <c r="P525" s="103"/>
      <c r="Q525" s="103"/>
      <c r="R525" s="83"/>
      <c r="S525" s="103"/>
      <c r="T525" s="103"/>
      <c r="U525" s="103"/>
    </row>
    <row r="526" customFormat="false" ht="22.5" hidden="false" customHeight="true" outlineLevel="0" collapsed="false">
      <c r="A526" s="110"/>
      <c r="B526" s="110"/>
      <c r="C526" s="110"/>
      <c r="D526" s="122"/>
      <c r="E526" s="110"/>
      <c r="F526" s="128"/>
      <c r="G526" s="122"/>
      <c r="H526" s="131" t="b">
        <f aca="false">FALSE()</f>
        <v>0</v>
      </c>
      <c r="I526" s="131" t="b">
        <f aca="false">FALSE()</f>
        <v>0</v>
      </c>
      <c r="J526" s="130"/>
      <c r="K526" s="110"/>
      <c r="L526" s="83"/>
      <c r="M526" s="103"/>
      <c r="N526" s="103"/>
      <c r="O526" s="103"/>
      <c r="P526" s="103"/>
      <c r="Q526" s="103"/>
      <c r="R526" s="83"/>
      <c r="S526" s="103"/>
      <c r="T526" s="103"/>
      <c r="U526" s="103"/>
    </row>
    <row r="527" customFormat="false" ht="22.5" hidden="false" customHeight="true" outlineLevel="0" collapsed="false">
      <c r="A527" s="99"/>
      <c r="B527" s="99"/>
      <c r="C527" s="99"/>
      <c r="D527" s="121"/>
      <c r="E527" s="99"/>
      <c r="F527" s="124"/>
      <c r="G527" s="121"/>
      <c r="H527" s="132" t="b">
        <f aca="false">FALSE()</f>
        <v>0</v>
      </c>
      <c r="I527" s="132" t="b">
        <f aca="false">FALSE()</f>
        <v>0</v>
      </c>
      <c r="J527" s="126"/>
      <c r="K527" s="99"/>
      <c r="L527" s="83"/>
      <c r="M527" s="103"/>
      <c r="N527" s="103"/>
      <c r="O527" s="103"/>
      <c r="P527" s="103"/>
      <c r="Q527" s="103"/>
      <c r="R527" s="83"/>
      <c r="S527" s="103"/>
      <c r="T527" s="103"/>
      <c r="U527" s="103"/>
    </row>
    <row r="528" customFormat="false" ht="22.5" hidden="false" customHeight="true" outlineLevel="0" collapsed="false">
      <c r="A528" s="110"/>
      <c r="B528" s="110"/>
      <c r="C528" s="110"/>
      <c r="D528" s="122"/>
      <c r="E528" s="110"/>
      <c r="F528" s="128"/>
      <c r="G528" s="122"/>
      <c r="H528" s="131" t="b">
        <f aca="false">FALSE()</f>
        <v>0</v>
      </c>
      <c r="I528" s="131" t="b">
        <f aca="false">FALSE()</f>
        <v>0</v>
      </c>
      <c r="J528" s="130"/>
      <c r="K528" s="110"/>
      <c r="L528" s="83"/>
      <c r="M528" s="103"/>
      <c r="N528" s="103"/>
      <c r="O528" s="103"/>
      <c r="P528" s="103"/>
      <c r="Q528" s="103"/>
      <c r="R528" s="83"/>
      <c r="S528" s="103"/>
      <c r="T528" s="103"/>
      <c r="U528" s="103"/>
    </row>
    <row r="529" customFormat="false" ht="22.5" hidden="false" customHeight="true" outlineLevel="0" collapsed="false">
      <c r="A529" s="99"/>
      <c r="B529" s="99"/>
      <c r="C529" s="99"/>
      <c r="D529" s="121"/>
      <c r="E529" s="99"/>
      <c r="F529" s="124"/>
      <c r="G529" s="121"/>
      <c r="H529" s="132" t="b">
        <f aca="false">FALSE()</f>
        <v>0</v>
      </c>
      <c r="I529" s="132" t="b">
        <f aca="false">FALSE()</f>
        <v>0</v>
      </c>
      <c r="J529" s="126"/>
      <c r="K529" s="99"/>
      <c r="L529" s="83"/>
      <c r="M529" s="103"/>
      <c r="N529" s="103"/>
      <c r="O529" s="103"/>
      <c r="P529" s="103"/>
      <c r="Q529" s="103"/>
      <c r="R529" s="83"/>
      <c r="S529" s="103"/>
      <c r="T529" s="103"/>
      <c r="U529" s="103"/>
    </row>
    <row r="530" customFormat="false" ht="22.5" hidden="false" customHeight="true" outlineLevel="0" collapsed="false">
      <c r="A530" s="110"/>
      <c r="B530" s="110"/>
      <c r="C530" s="110"/>
      <c r="D530" s="122"/>
      <c r="E530" s="110"/>
      <c r="F530" s="128"/>
      <c r="G530" s="122"/>
      <c r="H530" s="131" t="b">
        <f aca="false">FALSE()</f>
        <v>0</v>
      </c>
      <c r="I530" s="131" t="b">
        <f aca="false">FALSE()</f>
        <v>0</v>
      </c>
      <c r="J530" s="130"/>
      <c r="K530" s="110"/>
      <c r="L530" s="83"/>
      <c r="M530" s="103"/>
      <c r="N530" s="103"/>
      <c r="O530" s="103"/>
      <c r="P530" s="103"/>
      <c r="Q530" s="103"/>
      <c r="R530" s="83"/>
      <c r="S530" s="103"/>
      <c r="T530" s="103"/>
      <c r="U530" s="103"/>
    </row>
    <row r="531" customFormat="false" ht="22.5" hidden="false" customHeight="true" outlineLevel="0" collapsed="false">
      <c r="A531" s="99"/>
      <c r="B531" s="99"/>
      <c r="C531" s="99"/>
      <c r="D531" s="121"/>
      <c r="E531" s="99"/>
      <c r="F531" s="124"/>
      <c r="G531" s="121"/>
      <c r="H531" s="132" t="b">
        <f aca="false">FALSE()</f>
        <v>0</v>
      </c>
      <c r="I531" s="132" t="b">
        <f aca="false">FALSE()</f>
        <v>0</v>
      </c>
      <c r="J531" s="126"/>
      <c r="K531" s="99"/>
      <c r="L531" s="83"/>
      <c r="M531" s="103"/>
      <c r="N531" s="103"/>
      <c r="O531" s="103"/>
      <c r="P531" s="103"/>
      <c r="Q531" s="103"/>
      <c r="R531" s="83"/>
      <c r="S531" s="103"/>
      <c r="T531" s="103"/>
      <c r="U531" s="103"/>
    </row>
    <row r="532" customFormat="false" ht="22.5" hidden="false" customHeight="true" outlineLevel="0" collapsed="false">
      <c r="A532" s="110"/>
      <c r="B532" s="110"/>
      <c r="C532" s="110"/>
      <c r="D532" s="122"/>
      <c r="E532" s="110"/>
      <c r="F532" s="128"/>
      <c r="G532" s="122"/>
      <c r="H532" s="131" t="b">
        <f aca="false">FALSE()</f>
        <v>0</v>
      </c>
      <c r="I532" s="131" t="b">
        <f aca="false">FALSE()</f>
        <v>0</v>
      </c>
      <c r="J532" s="130"/>
      <c r="K532" s="110"/>
      <c r="L532" s="83"/>
      <c r="M532" s="103"/>
      <c r="N532" s="103"/>
      <c r="O532" s="103"/>
      <c r="P532" s="103"/>
      <c r="Q532" s="103"/>
      <c r="R532" s="83"/>
      <c r="S532" s="103"/>
      <c r="T532" s="103"/>
      <c r="U532" s="103"/>
    </row>
    <row r="533" customFormat="false" ht="22.5" hidden="false" customHeight="true" outlineLevel="0" collapsed="false">
      <c r="A533" s="99"/>
      <c r="B533" s="99"/>
      <c r="C533" s="99"/>
      <c r="D533" s="121"/>
      <c r="E533" s="99"/>
      <c r="F533" s="124"/>
      <c r="G533" s="121"/>
      <c r="H533" s="132" t="b">
        <f aca="false">FALSE()</f>
        <v>0</v>
      </c>
      <c r="I533" s="132" t="b">
        <f aca="false">FALSE()</f>
        <v>0</v>
      </c>
      <c r="J533" s="126"/>
      <c r="K533" s="99"/>
      <c r="L533" s="83"/>
      <c r="M533" s="103"/>
      <c r="N533" s="103"/>
      <c r="O533" s="103"/>
      <c r="P533" s="103"/>
      <c r="Q533" s="103"/>
      <c r="R533" s="83"/>
      <c r="S533" s="103"/>
      <c r="T533" s="103"/>
      <c r="U533" s="103"/>
    </row>
    <row r="534" customFormat="false" ht="22.5" hidden="false" customHeight="true" outlineLevel="0" collapsed="false">
      <c r="A534" s="110"/>
      <c r="B534" s="110"/>
      <c r="C534" s="110"/>
      <c r="D534" s="122"/>
      <c r="E534" s="110"/>
      <c r="F534" s="128"/>
      <c r="G534" s="122"/>
      <c r="H534" s="131" t="b">
        <f aca="false">FALSE()</f>
        <v>0</v>
      </c>
      <c r="I534" s="131" t="b">
        <f aca="false">FALSE()</f>
        <v>0</v>
      </c>
      <c r="J534" s="130"/>
      <c r="K534" s="110"/>
      <c r="L534" s="83"/>
      <c r="M534" s="103"/>
      <c r="N534" s="103"/>
      <c r="O534" s="103"/>
      <c r="P534" s="103"/>
      <c r="Q534" s="103"/>
      <c r="R534" s="83"/>
      <c r="S534" s="103"/>
      <c r="T534" s="103"/>
      <c r="U534" s="103"/>
    </row>
    <row r="535" customFormat="false" ht="22.5" hidden="false" customHeight="true" outlineLevel="0" collapsed="false">
      <c r="A535" s="99"/>
      <c r="B535" s="99"/>
      <c r="C535" s="99"/>
      <c r="D535" s="121"/>
      <c r="E535" s="99"/>
      <c r="F535" s="124"/>
      <c r="G535" s="121"/>
      <c r="H535" s="132" t="b">
        <f aca="false">FALSE()</f>
        <v>0</v>
      </c>
      <c r="I535" s="132" t="b">
        <f aca="false">FALSE()</f>
        <v>0</v>
      </c>
      <c r="J535" s="126"/>
      <c r="K535" s="99"/>
      <c r="L535" s="83"/>
      <c r="M535" s="103"/>
      <c r="N535" s="103"/>
      <c r="O535" s="103"/>
      <c r="P535" s="103"/>
      <c r="Q535" s="103"/>
      <c r="R535" s="83"/>
      <c r="S535" s="103"/>
      <c r="T535" s="103"/>
      <c r="U535" s="103"/>
    </row>
    <row r="536" customFormat="false" ht="22.5" hidden="false" customHeight="true" outlineLevel="0" collapsed="false">
      <c r="A536" s="110"/>
      <c r="B536" s="110"/>
      <c r="C536" s="110"/>
      <c r="D536" s="122"/>
      <c r="E536" s="110"/>
      <c r="F536" s="128"/>
      <c r="G536" s="122"/>
      <c r="H536" s="131" t="b">
        <f aca="false">FALSE()</f>
        <v>0</v>
      </c>
      <c r="I536" s="131" t="b">
        <f aca="false">FALSE()</f>
        <v>0</v>
      </c>
      <c r="J536" s="130"/>
      <c r="K536" s="110"/>
      <c r="L536" s="83"/>
      <c r="M536" s="103"/>
      <c r="N536" s="103"/>
      <c r="O536" s="103"/>
      <c r="P536" s="103"/>
      <c r="Q536" s="103"/>
      <c r="R536" s="83"/>
      <c r="S536" s="103"/>
      <c r="T536" s="103"/>
      <c r="U536" s="103"/>
    </row>
    <row r="537" customFormat="false" ht="22.5" hidden="false" customHeight="true" outlineLevel="0" collapsed="false">
      <c r="A537" s="99"/>
      <c r="B537" s="99"/>
      <c r="C537" s="99"/>
      <c r="D537" s="121"/>
      <c r="E537" s="99"/>
      <c r="F537" s="124"/>
      <c r="G537" s="121"/>
      <c r="H537" s="132" t="b">
        <f aca="false">FALSE()</f>
        <v>0</v>
      </c>
      <c r="I537" s="132" t="b">
        <f aca="false">FALSE()</f>
        <v>0</v>
      </c>
      <c r="J537" s="126"/>
      <c r="K537" s="99"/>
      <c r="L537" s="83"/>
      <c r="M537" s="103"/>
      <c r="N537" s="103"/>
      <c r="O537" s="103"/>
      <c r="P537" s="103"/>
      <c r="Q537" s="103"/>
      <c r="R537" s="83"/>
      <c r="S537" s="103"/>
      <c r="T537" s="103"/>
      <c r="U537" s="103"/>
    </row>
    <row r="538" customFormat="false" ht="22.5" hidden="false" customHeight="true" outlineLevel="0" collapsed="false">
      <c r="A538" s="110"/>
      <c r="B538" s="110"/>
      <c r="C538" s="110"/>
      <c r="D538" s="122"/>
      <c r="E538" s="110"/>
      <c r="F538" s="128"/>
      <c r="G538" s="122"/>
      <c r="H538" s="131" t="b">
        <f aca="false">FALSE()</f>
        <v>0</v>
      </c>
      <c r="I538" s="131" t="b">
        <f aca="false">FALSE()</f>
        <v>0</v>
      </c>
      <c r="J538" s="130"/>
      <c r="K538" s="110"/>
      <c r="L538" s="83"/>
      <c r="M538" s="103"/>
      <c r="N538" s="103"/>
      <c r="O538" s="103"/>
      <c r="P538" s="103"/>
      <c r="Q538" s="103"/>
      <c r="R538" s="83"/>
      <c r="S538" s="103"/>
      <c r="T538" s="103"/>
      <c r="U538" s="103"/>
    </row>
    <row r="539" customFormat="false" ht="22.5" hidden="false" customHeight="true" outlineLevel="0" collapsed="false">
      <c r="A539" s="99"/>
      <c r="B539" s="99"/>
      <c r="C539" s="99"/>
      <c r="D539" s="121"/>
      <c r="E539" s="99"/>
      <c r="F539" s="124"/>
      <c r="G539" s="121"/>
      <c r="H539" s="132" t="b">
        <f aca="false">FALSE()</f>
        <v>0</v>
      </c>
      <c r="I539" s="132" t="b">
        <f aca="false">FALSE()</f>
        <v>0</v>
      </c>
      <c r="J539" s="126"/>
      <c r="K539" s="99"/>
      <c r="L539" s="83"/>
      <c r="M539" s="103"/>
      <c r="N539" s="103"/>
      <c r="O539" s="103"/>
      <c r="P539" s="103"/>
      <c r="Q539" s="103"/>
      <c r="R539" s="83"/>
      <c r="S539" s="103"/>
      <c r="T539" s="103"/>
      <c r="U539" s="103"/>
    </row>
    <row r="540" customFormat="false" ht="22.5" hidden="false" customHeight="true" outlineLevel="0" collapsed="false">
      <c r="A540" s="110"/>
      <c r="B540" s="110"/>
      <c r="C540" s="110"/>
      <c r="D540" s="122"/>
      <c r="E540" s="110"/>
      <c r="F540" s="128"/>
      <c r="G540" s="122"/>
      <c r="H540" s="131" t="b">
        <f aca="false">FALSE()</f>
        <v>0</v>
      </c>
      <c r="I540" s="131" t="b">
        <f aca="false">FALSE()</f>
        <v>0</v>
      </c>
      <c r="J540" s="130"/>
      <c r="K540" s="110"/>
      <c r="L540" s="83"/>
      <c r="M540" s="103"/>
      <c r="N540" s="103"/>
      <c r="O540" s="103"/>
      <c r="P540" s="103"/>
      <c r="Q540" s="103"/>
      <c r="R540" s="83"/>
      <c r="S540" s="103"/>
      <c r="T540" s="103"/>
      <c r="U540" s="103"/>
    </row>
    <row r="541" customFormat="false" ht="22.5" hidden="false" customHeight="true" outlineLevel="0" collapsed="false">
      <c r="A541" s="99"/>
      <c r="B541" s="99"/>
      <c r="C541" s="99"/>
      <c r="D541" s="121"/>
      <c r="E541" s="99"/>
      <c r="F541" s="124"/>
      <c r="G541" s="121"/>
      <c r="H541" s="132" t="b">
        <f aca="false">FALSE()</f>
        <v>0</v>
      </c>
      <c r="I541" s="132" t="b">
        <f aca="false">FALSE()</f>
        <v>0</v>
      </c>
      <c r="J541" s="126"/>
      <c r="K541" s="99"/>
      <c r="L541" s="83"/>
      <c r="M541" s="103"/>
      <c r="N541" s="103"/>
      <c r="O541" s="103"/>
      <c r="P541" s="103"/>
      <c r="Q541" s="103"/>
      <c r="R541" s="83"/>
      <c r="S541" s="103"/>
      <c r="T541" s="103"/>
      <c r="U541" s="103"/>
    </row>
    <row r="542" customFormat="false" ht="22.5" hidden="false" customHeight="true" outlineLevel="0" collapsed="false">
      <c r="A542" s="110"/>
      <c r="B542" s="110"/>
      <c r="C542" s="110"/>
      <c r="D542" s="122"/>
      <c r="E542" s="110"/>
      <c r="F542" s="128"/>
      <c r="G542" s="122"/>
      <c r="H542" s="131" t="b">
        <f aca="false">FALSE()</f>
        <v>0</v>
      </c>
      <c r="I542" s="131" t="b">
        <f aca="false">FALSE()</f>
        <v>0</v>
      </c>
      <c r="J542" s="130"/>
      <c r="K542" s="110"/>
      <c r="L542" s="83"/>
      <c r="M542" s="103"/>
      <c r="N542" s="103"/>
      <c r="O542" s="103"/>
      <c r="P542" s="103"/>
      <c r="Q542" s="103"/>
      <c r="R542" s="83"/>
      <c r="S542" s="103"/>
      <c r="T542" s="103"/>
      <c r="U542" s="103"/>
    </row>
    <row r="543" customFormat="false" ht="22.5" hidden="false" customHeight="true" outlineLevel="0" collapsed="false">
      <c r="A543" s="99"/>
      <c r="B543" s="99"/>
      <c r="C543" s="99"/>
      <c r="D543" s="121"/>
      <c r="E543" s="99"/>
      <c r="F543" s="124"/>
      <c r="G543" s="121"/>
      <c r="H543" s="132" t="b">
        <f aca="false">FALSE()</f>
        <v>0</v>
      </c>
      <c r="I543" s="132" t="b">
        <f aca="false">FALSE()</f>
        <v>0</v>
      </c>
      <c r="J543" s="126"/>
      <c r="K543" s="99"/>
      <c r="L543" s="83"/>
      <c r="M543" s="103"/>
      <c r="N543" s="103"/>
      <c r="O543" s="103"/>
      <c r="P543" s="103"/>
      <c r="Q543" s="103"/>
      <c r="R543" s="83"/>
      <c r="S543" s="103"/>
      <c r="T543" s="103"/>
      <c r="U543" s="103"/>
    </row>
    <row r="544" customFormat="false" ht="22.5" hidden="false" customHeight="true" outlineLevel="0" collapsed="false">
      <c r="A544" s="110"/>
      <c r="B544" s="110"/>
      <c r="C544" s="110"/>
      <c r="D544" s="122"/>
      <c r="E544" s="110"/>
      <c r="F544" s="128"/>
      <c r="G544" s="122"/>
      <c r="H544" s="131" t="b">
        <f aca="false">FALSE()</f>
        <v>0</v>
      </c>
      <c r="I544" s="131" t="b">
        <f aca="false">FALSE()</f>
        <v>0</v>
      </c>
      <c r="J544" s="130"/>
      <c r="K544" s="110"/>
      <c r="L544" s="83"/>
      <c r="M544" s="103"/>
      <c r="N544" s="103"/>
      <c r="O544" s="103"/>
      <c r="P544" s="103"/>
      <c r="Q544" s="103"/>
      <c r="R544" s="83"/>
      <c r="S544" s="103"/>
      <c r="T544" s="103"/>
      <c r="U544" s="103"/>
    </row>
    <row r="545" customFormat="false" ht="22.5" hidden="false" customHeight="true" outlineLevel="0" collapsed="false">
      <c r="A545" s="99"/>
      <c r="B545" s="99"/>
      <c r="C545" s="99"/>
      <c r="D545" s="121"/>
      <c r="E545" s="99"/>
      <c r="F545" s="124"/>
      <c r="G545" s="121"/>
      <c r="H545" s="132" t="b">
        <f aca="false">FALSE()</f>
        <v>0</v>
      </c>
      <c r="I545" s="132" t="b">
        <f aca="false">FALSE()</f>
        <v>0</v>
      </c>
      <c r="J545" s="126"/>
      <c r="K545" s="99"/>
      <c r="L545" s="83"/>
      <c r="M545" s="103"/>
      <c r="N545" s="103"/>
      <c r="O545" s="103"/>
      <c r="P545" s="103"/>
      <c r="Q545" s="103"/>
      <c r="R545" s="83"/>
      <c r="S545" s="103"/>
      <c r="T545" s="103"/>
      <c r="U545" s="103"/>
    </row>
    <row r="546" customFormat="false" ht="22.5" hidden="false" customHeight="true" outlineLevel="0" collapsed="false">
      <c r="A546" s="110"/>
      <c r="B546" s="110"/>
      <c r="C546" s="110"/>
      <c r="D546" s="122"/>
      <c r="E546" s="110"/>
      <c r="F546" s="128"/>
      <c r="G546" s="122"/>
      <c r="H546" s="131" t="b">
        <f aca="false">FALSE()</f>
        <v>0</v>
      </c>
      <c r="I546" s="131" t="b">
        <f aca="false">FALSE()</f>
        <v>0</v>
      </c>
      <c r="J546" s="130"/>
      <c r="K546" s="110"/>
      <c r="L546" s="83"/>
      <c r="M546" s="103"/>
      <c r="N546" s="103"/>
      <c r="O546" s="103"/>
      <c r="P546" s="103"/>
      <c r="Q546" s="103"/>
      <c r="R546" s="83"/>
      <c r="S546" s="103"/>
      <c r="T546" s="103"/>
      <c r="U546" s="103"/>
    </row>
    <row r="547" customFormat="false" ht="22.5" hidden="false" customHeight="true" outlineLevel="0" collapsed="false">
      <c r="A547" s="99"/>
      <c r="B547" s="99"/>
      <c r="C547" s="99"/>
      <c r="D547" s="121"/>
      <c r="E547" s="99"/>
      <c r="F547" s="124"/>
      <c r="G547" s="121"/>
      <c r="H547" s="132" t="b">
        <f aca="false">FALSE()</f>
        <v>0</v>
      </c>
      <c r="I547" s="132" t="b">
        <f aca="false">FALSE()</f>
        <v>0</v>
      </c>
      <c r="J547" s="126"/>
      <c r="K547" s="99"/>
      <c r="L547" s="83"/>
      <c r="M547" s="103"/>
      <c r="N547" s="103"/>
      <c r="O547" s="103"/>
      <c r="P547" s="103"/>
      <c r="Q547" s="103"/>
      <c r="R547" s="83"/>
      <c r="S547" s="103"/>
      <c r="T547" s="103"/>
      <c r="U547" s="103"/>
    </row>
    <row r="548" customFormat="false" ht="22.5" hidden="false" customHeight="true" outlineLevel="0" collapsed="false">
      <c r="A548" s="110"/>
      <c r="B548" s="110"/>
      <c r="C548" s="110"/>
      <c r="D548" s="122"/>
      <c r="E548" s="110"/>
      <c r="F548" s="128"/>
      <c r="G548" s="122"/>
      <c r="H548" s="131" t="b">
        <f aca="false">FALSE()</f>
        <v>0</v>
      </c>
      <c r="I548" s="131" t="b">
        <f aca="false">FALSE()</f>
        <v>0</v>
      </c>
      <c r="J548" s="130"/>
      <c r="K548" s="110"/>
      <c r="L548" s="83"/>
      <c r="M548" s="103"/>
      <c r="N548" s="103"/>
      <c r="O548" s="103"/>
      <c r="P548" s="103"/>
      <c r="Q548" s="103"/>
      <c r="R548" s="83"/>
      <c r="S548" s="103"/>
      <c r="T548" s="103"/>
      <c r="U548" s="103"/>
    </row>
    <row r="549" customFormat="false" ht="22.5" hidden="false" customHeight="true" outlineLevel="0" collapsed="false">
      <c r="A549" s="99"/>
      <c r="B549" s="99"/>
      <c r="C549" s="99"/>
      <c r="D549" s="121"/>
      <c r="E549" s="99"/>
      <c r="F549" s="124"/>
      <c r="G549" s="121"/>
      <c r="H549" s="132" t="b">
        <f aca="false">FALSE()</f>
        <v>0</v>
      </c>
      <c r="I549" s="132" t="b">
        <f aca="false">FALSE()</f>
        <v>0</v>
      </c>
      <c r="J549" s="126"/>
      <c r="K549" s="99"/>
      <c r="L549" s="83"/>
      <c r="M549" s="103"/>
      <c r="N549" s="103"/>
      <c r="O549" s="103"/>
      <c r="P549" s="103"/>
      <c r="Q549" s="103"/>
      <c r="R549" s="83"/>
      <c r="S549" s="103"/>
      <c r="T549" s="103"/>
      <c r="U549" s="103"/>
    </row>
    <row r="550" customFormat="false" ht="22.5" hidden="false" customHeight="true" outlineLevel="0" collapsed="false">
      <c r="A550" s="110"/>
      <c r="B550" s="110"/>
      <c r="C550" s="110"/>
      <c r="D550" s="122"/>
      <c r="E550" s="110"/>
      <c r="F550" s="128"/>
      <c r="G550" s="122"/>
      <c r="H550" s="131" t="b">
        <f aca="false">FALSE()</f>
        <v>0</v>
      </c>
      <c r="I550" s="131" t="b">
        <f aca="false">FALSE()</f>
        <v>0</v>
      </c>
      <c r="J550" s="130"/>
      <c r="K550" s="110"/>
      <c r="L550" s="83"/>
      <c r="M550" s="103"/>
      <c r="N550" s="103"/>
      <c r="O550" s="103"/>
      <c r="P550" s="103"/>
      <c r="Q550" s="103"/>
      <c r="R550" s="83"/>
      <c r="S550" s="103"/>
      <c r="T550" s="103"/>
      <c r="U550" s="103"/>
    </row>
    <row r="551" customFormat="false" ht="22.5" hidden="false" customHeight="true" outlineLevel="0" collapsed="false">
      <c r="A551" s="99"/>
      <c r="B551" s="99"/>
      <c r="C551" s="99"/>
      <c r="D551" s="121"/>
      <c r="E551" s="99"/>
      <c r="F551" s="124"/>
      <c r="G551" s="121"/>
      <c r="H551" s="132" t="b">
        <f aca="false">FALSE()</f>
        <v>0</v>
      </c>
      <c r="I551" s="132" t="b">
        <f aca="false">FALSE()</f>
        <v>0</v>
      </c>
      <c r="J551" s="126"/>
      <c r="K551" s="99"/>
      <c r="L551" s="83"/>
      <c r="M551" s="103"/>
      <c r="N551" s="103"/>
      <c r="O551" s="103"/>
      <c r="P551" s="103"/>
      <c r="Q551" s="103"/>
      <c r="R551" s="83"/>
      <c r="S551" s="103"/>
      <c r="T551" s="103"/>
      <c r="U551" s="103"/>
    </row>
    <row r="552" customFormat="false" ht="22.5" hidden="false" customHeight="true" outlineLevel="0" collapsed="false">
      <c r="A552" s="110"/>
      <c r="B552" s="110"/>
      <c r="C552" s="110"/>
      <c r="D552" s="122"/>
      <c r="E552" s="110"/>
      <c r="F552" s="128"/>
      <c r="G552" s="122"/>
      <c r="H552" s="131" t="b">
        <f aca="false">FALSE()</f>
        <v>0</v>
      </c>
      <c r="I552" s="131" t="b">
        <f aca="false">FALSE()</f>
        <v>0</v>
      </c>
      <c r="J552" s="130"/>
      <c r="K552" s="110"/>
      <c r="L552" s="83"/>
      <c r="M552" s="103"/>
      <c r="N552" s="103"/>
      <c r="O552" s="103"/>
      <c r="P552" s="103"/>
      <c r="Q552" s="103"/>
      <c r="R552" s="83"/>
      <c r="S552" s="103"/>
      <c r="T552" s="103"/>
      <c r="U552" s="103"/>
    </row>
    <row r="553" customFormat="false" ht="22.5" hidden="false" customHeight="true" outlineLevel="0" collapsed="false">
      <c r="A553" s="99"/>
      <c r="B553" s="99"/>
      <c r="C553" s="99"/>
      <c r="D553" s="121"/>
      <c r="E553" s="99"/>
      <c r="F553" s="124"/>
      <c r="G553" s="121"/>
      <c r="H553" s="132" t="b">
        <f aca="false">FALSE()</f>
        <v>0</v>
      </c>
      <c r="I553" s="132" t="b">
        <f aca="false">FALSE()</f>
        <v>0</v>
      </c>
      <c r="J553" s="126"/>
      <c r="K553" s="99"/>
      <c r="L553" s="83"/>
      <c r="M553" s="103"/>
      <c r="N553" s="103"/>
      <c r="O553" s="103"/>
      <c r="P553" s="103"/>
      <c r="Q553" s="103"/>
      <c r="R553" s="83"/>
      <c r="S553" s="103"/>
      <c r="T553" s="103"/>
      <c r="U553" s="103"/>
    </row>
    <row r="554" customFormat="false" ht="22.5" hidden="false" customHeight="true" outlineLevel="0" collapsed="false">
      <c r="A554" s="110"/>
      <c r="B554" s="110"/>
      <c r="C554" s="110"/>
      <c r="D554" s="122"/>
      <c r="E554" s="110"/>
      <c r="F554" s="128"/>
      <c r="G554" s="122"/>
      <c r="H554" s="131" t="b">
        <f aca="false">FALSE()</f>
        <v>0</v>
      </c>
      <c r="I554" s="131" t="b">
        <f aca="false">FALSE()</f>
        <v>0</v>
      </c>
      <c r="J554" s="130"/>
      <c r="K554" s="110"/>
      <c r="L554" s="83"/>
      <c r="M554" s="103"/>
      <c r="N554" s="103"/>
      <c r="O554" s="103"/>
      <c r="P554" s="103"/>
      <c r="Q554" s="103"/>
      <c r="R554" s="83"/>
      <c r="S554" s="103"/>
      <c r="T554" s="103"/>
      <c r="U554" s="103"/>
    </row>
    <row r="555" customFormat="false" ht="22.5" hidden="false" customHeight="true" outlineLevel="0" collapsed="false">
      <c r="A555" s="99"/>
      <c r="B555" s="99"/>
      <c r="C555" s="99"/>
      <c r="D555" s="121"/>
      <c r="E555" s="99"/>
      <c r="F555" s="124"/>
      <c r="G555" s="121"/>
      <c r="H555" s="132" t="b">
        <f aca="false">FALSE()</f>
        <v>0</v>
      </c>
      <c r="I555" s="132" t="b">
        <f aca="false">FALSE()</f>
        <v>0</v>
      </c>
      <c r="J555" s="126"/>
      <c r="K555" s="99"/>
      <c r="L555" s="83"/>
      <c r="M555" s="103"/>
      <c r="N555" s="103"/>
      <c r="O555" s="103"/>
      <c r="P555" s="103"/>
      <c r="Q555" s="103"/>
      <c r="R555" s="83"/>
      <c r="S555" s="103"/>
      <c r="T555" s="103"/>
      <c r="U555" s="103"/>
    </row>
    <row r="556" customFormat="false" ht="22.5" hidden="false" customHeight="true" outlineLevel="0" collapsed="false">
      <c r="A556" s="110"/>
      <c r="B556" s="110"/>
      <c r="C556" s="110"/>
      <c r="D556" s="122"/>
      <c r="E556" s="110"/>
      <c r="F556" s="128"/>
      <c r="G556" s="122"/>
      <c r="H556" s="131" t="b">
        <f aca="false">FALSE()</f>
        <v>0</v>
      </c>
      <c r="I556" s="131" t="b">
        <f aca="false">FALSE()</f>
        <v>0</v>
      </c>
      <c r="J556" s="130"/>
      <c r="K556" s="110"/>
      <c r="L556" s="83"/>
      <c r="M556" s="103"/>
      <c r="N556" s="103"/>
      <c r="O556" s="103"/>
      <c r="P556" s="103"/>
      <c r="Q556" s="103"/>
      <c r="R556" s="83"/>
      <c r="S556" s="103"/>
      <c r="T556" s="103"/>
      <c r="U556" s="103"/>
    </row>
    <row r="557" customFormat="false" ht="22.5" hidden="false" customHeight="true" outlineLevel="0" collapsed="false">
      <c r="A557" s="99"/>
      <c r="B557" s="99"/>
      <c r="C557" s="99"/>
      <c r="D557" s="121"/>
      <c r="E557" s="99"/>
      <c r="F557" s="124"/>
      <c r="G557" s="121"/>
      <c r="H557" s="132" t="b">
        <f aca="false">FALSE()</f>
        <v>0</v>
      </c>
      <c r="I557" s="132" t="b">
        <f aca="false">FALSE()</f>
        <v>0</v>
      </c>
      <c r="J557" s="126"/>
      <c r="K557" s="99"/>
      <c r="L557" s="83"/>
      <c r="M557" s="103"/>
      <c r="N557" s="103"/>
      <c r="O557" s="103"/>
      <c r="P557" s="103"/>
      <c r="Q557" s="103"/>
      <c r="R557" s="83"/>
      <c r="S557" s="103"/>
      <c r="T557" s="103"/>
      <c r="U557" s="103"/>
    </row>
    <row r="558" customFormat="false" ht="22.5" hidden="false" customHeight="true" outlineLevel="0" collapsed="false">
      <c r="A558" s="110"/>
      <c r="B558" s="110"/>
      <c r="C558" s="110"/>
      <c r="D558" s="122"/>
      <c r="E558" s="110"/>
      <c r="F558" s="128"/>
      <c r="G558" s="122"/>
      <c r="H558" s="131" t="b">
        <f aca="false">FALSE()</f>
        <v>0</v>
      </c>
      <c r="I558" s="131" t="b">
        <f aca="false">FALSE()</f>
        <v>0</v>
      </c>
      <c r="J558" s="130"/>
      <c r="K558" s="110"/>
      <c r="L558" s="83"/>
      <c r="M558" s="103"/>
      <c r="N558" s="103"/>
      <c r="O558" s="103"/>
      <c r="P558" s="103"/>
      <c r="Q558" s="103"/>
      <c r="R558" s="83"/>
      <c r="S558" s="103"/>
      <c r="T558" s="103"/>
      <c r="U558" s="103"/>
    </row>
    <row r="559" customFormat="false" ht="22.5" hidden="false" customHeight="true" outlineLevel="0" collapsed="false">
      <c r="A559" s="99"/>
      <c r="B559" s="99"/>
      <c r="C559" s="99"/>
      <c r="D559" s="121"/>
      <c r="E559" s="99"/>
      <c r="F559" s="124"/>
      <c r="G559" s="121"/>
      <c r="H559" s="132" t="b">
        <f aca="false">FALSE()</f>
        <v>0</v>
      </c>
      <c r="I559" s="132" t="b">
        <f aca="false">FALSE()</f>
        <v>0</v>
      </c>
      <c r="J559" s="126"/>
      <c r="K559" s="99"/>
      <c r="L559" s="83"/>
      <c r="M559" s="103"/>
      <c r="N559" s="103"/>
      <c r="O559" s="103"/>
      <c r="P559" s="103"/>
      <c r="Q559" s="103"/>
      <c r="R559" s="83"/>
      <c r="S559" s="103"/>
      <c r="T559" s="103"/>
      <c r="U559" s="103"/>
    </row>
    <row r="560" customFormat="false" ht="22.5" hidden="false" customHeight="true" outlineLevel="0" collapsed="false">
      <c r="A560" s="110"/>
      <c r="B560" s="110"/>
      <c r="C560" s="110"/>
      <c r="D560" s="122"/>
      <c r="E560" s="110"/>
      <c r="F560" s="128"/>
      <c r="G560" s="122"/>
      <c r="H560" s="131" t="b">
        <f aca="false">FALSE()</f>
        <v>0</v>
      </c>
      <c r="I560" s="131" t="b">
        <f aca="false">FALSE()</f>
        <v>0</v>
      </c>
      <c r="J560" s="130"/>
      <c r="K560" s="110"/>
      <c r="L560" s="83"/>
      <c r="M560" s="103"/>
      <c r="N560" s="103"/>
      <c r="O560" s="103"/>
      <c r="P560" s="103"/>
      <c r="Q560" s="103"/>
      <c r="R560" s="83"/>
      <c r="S560" s="103"/>
      <c r="T560" s="103"/>
      <c r="U560" s="103"/>
    </row>
    <row r="561" customFormat="false" ht="22.5" hidden="false" customHeight="true" outlineLevel="0" collapsed="false">
      <c r="A561" s="99"/>
      <c r="B561" s="99"/>
      <c r="C561" s="99"/>
      <c r="D561" s="121"/>
      <c r="E561" s="99"/>
      <c r="F561" s="124"/>
      <c r="G561" s="121"/>
      <c r="H561" s="132" t="b">
        <f aca="false">FALSE()</f>
        <v>0</v>
      </c>
      <c r="I561" s="132" t="b">
        <f aca="false">FALSE()</f>
        <v>0</v>
      </c>
      <c r="J561" s="126"/>
      <c r="K561" s="99"/>
      <c r="L561" s="83"/>
      <c r="M561" s="103"/>
      <c r="N561" s="103"/>
      <c r="O561" s="103"/>
      <c r="P561" s="103"/>
      <c r="Q561" s="103"/>
      <c r="R561" s="83"/>
      <c r="S561" s="103"/>
      <c r="T561" s="103"/>
      <c r="U561" s="103"/>
    </row>
    <row r="562" customFormat="false" ht="22.5" hidden="false" customHeight="true" outlineLevel="0" collapsed="false">
      <c r="A562" s="110"/>
      <c r="B562" s="110"/>
      <c r="C562" s="110"/>
      <c r="D562" s="122"/>
      <c r="E562" s="110"/>
      <c r="F562" s="128"/>
      <c r="G562" s="122"/>
      <c r="H562" s="131" t="b">
        <f aca="false">FALSE()</f>
        <v>0</v>
      </c>
      <c r="I562" s="131" t="b">
        <f aca="false">FALSE()</f>
        <v>0</v>
      </c>
      <c r="J562" s="130"/>
      <c r="K562" s="110"/>
      <c r="L562" s="83"/>
      <c r="M562" s="103"/>
      <c r="N562" s="103"/>
      <c r="O562" s="103"/>
      <c r="P562" s="103"/>
      <c r="Q562" s="103"/>
      <c r="R562" s="83"/>
      <c r="S562" s="103"/>
      <c r="T562" s="103"/>
      <c r="U562" s="103"/>
    </row>
    <row r="563" customFormat="false" ht="22.5" hidden="false" customHeight="true" outlineLevel="0" collapsed="false">
      <c r="A563" s="99"/>
      <c r="B563" s="99"/>
      <c r="C563" s="99"/>
      <c r="D563" s="121"/>
      <c r="E563" s="99"/>
      <c r="F563" s="124"/>
      <c r="G563" s="121"/>
      <c r="H563" s="132" t="b">
        <f aca="false">FALSE()</f>
        <v>0</v>
      </c>
      <c r="I563" s="132" t="b">
        <f aca="false">FALSE()</f>
        <v>0</v>
      </c>
      <c r="J563" s="126"/>
      <c r="K563" s="99"/>
      <c r="L563" s="83"/>
      <c r="M563" s="103"/>
      <c r="N563" s="103"/>
      <c r="O563" s="103"/>
      <c r="P563" s="103"/>
      <c r="Q563" s="103"/>
      <c r="R563" s="83"/>
      <c r="S563" s="103"/>
      <c r="T563" s="103"/>
      <c r="U563" s="103"/>
    </row>
    <row r="564" customFormat="false" ht="22.5" hidden="false" customHeight="true" outlineLevel="0" collapsed="false">
      <c r="A564" s="110"/>
      <c r="B564" s="110"/>
      <c r="C564" s="110"/>
      <c r="D564" s="122"/>
      <c r="E564" s="110"/>
      <c r="F564" s="128"/>
      <c r="G564" s="122"/>
      <c r="H564" s="131" t="b">
        <f aca="false">FALSE()</f>
        <v>0</v>
      </c>
      <c r="I564" s="131" t="b">
        <f aca="false">FALSE()</f>
        <v>0</v>
      </c>
      <c r="J564" s="130"/>
      <c r="K564" s="110"/>
      <c r="L564" s="83"/>
      <c r="M564" s="103"/>
      <c r="N564" s="103"/>
      <c r="O564" s="103"/>
      <c r="P564" s="103"/>
      <c r="Q564" s="103"/>
      <c r="R564" s="83"/>
      <c r="S564" s="103"/>
      <c r="T564" s="103"/>
      <c r="U564" s="103"/>
    </row>
    <row r="565" customFormat="false" ht="22.5" hidden="false" customHeight="true" outlineLevel="0" collapsed="false">
      <c r="A565" s="99"/>
      <c r="B565" s="99"/>
      <c r="C565" s="99"/>
      <c r="D565" s="121"/>
      <c r="E565" s="99"/>
      <c r="F565" s="124"/>
      <c r="G565" s="121"/>
      <c r="H565" s="132" t="b">
        <f aca="false">FALSE()</f>
        <v>0</v>
      </c>
      <c r="I565" s="132" t="b">
        <f aca="false">FALSE()</f>
        <v>0</v>
      </c>
      <c r="J565" s="126"/>
      <c r="K565" s="99"/>
      <c r="L565" s="83"/>
      <c r="M565" s="103"/>
      <c r="N565" s="103"/>
      <c r="O565" s="103"/>
      <c r="P565" s="103"/>
      <c r="Q565" s="103"/>
      <c r="R565" s="83"/>
      <c r="S565" s="103"/>
      <c r="T565" s="103"/>
      <c r="U565" s="103"/>
    </row>
    <row r="566" customFormat="false" ht="22.5" hidden="false" customHeight="true" outlineLevel="0" collapsed="false">
      <c r="A566" s="110"/>
      <c r="B566" s="110"/>
      <c r="C566" s="110"/>
      <c r="D566" s="122"/>
      <c r="E566" s="110"/>
      <c r="F566" s="128"/>
      <c r="G566" s="122"/>
      <c r="H566" s="131" t="b">
        <f aca="false">FALSE()</f>
        <v>0</v>
      </c>
      <c r="I566" s="131" t="b">
        <f aca="false">FALSE()</f>
        <v>0</v>
      </c>
      <c r="J566" s="130"/>
      <c r="K566" s="110"/>
      <c r="L566" s="83"/>
      <c r="M566" s="103"/>
      <c r="N566" s="103"/>
      <c r="O566" s="103"/>
      <c r="P566" s="103"/>
      <c r="Q566" s="103"/>
      <c r="R566" s="83"/>
      <c r="S566" s="103"/>
      <c r="T566" s="103"/>
      <c r="U566" s="103"/>
    </row>
    <row r="567" customFormat="false" ht="22.5" hidden="false" customHeight="true" outlineLevel="0" collapsed="false">
      <c r="A567" s="99"/>
      <c r="B567" s="99"/>
      <c r="C567" s="99"/>
      <c r="D567" s="121"/>
      <c r="E567" s="99"/>
      <c r="F567" s="124"/>
      <c r="G567" s="121"/>
      <c r="H567" s="132" t="b">
        <f aca="false">FALSE()</f>
        <v>0</v>
      </c>
      <c r="I567" s="132" t="b">
        <f aca="false">FALSE()</f>
        <v>0</v>
      </c>
      <c r="J567" s="126"/>
      <c r="K567" s="99"/>
      <c r="L567" s="83"/>
      <c r="M567" s="103"/>
      <c r="N567" s="103"/>
      <c r="O567" s="103"/>
      <c r="P567" s="103"/>
      <c r="Q567" s="103"/>
      <c r="R567" s="83"/>
      <c r="S567" s="103"/>
      <c r="T567" s="103"/>
      <c r="U567" s="103"/>
    </row>
    <row r="568" customFormat="false" ht="22.5" hidden="false" customHeight="true" outlineLevel="0" collapsed="false">
      <c r="A568" s="110"/>
      <c r="B568" s="110"/>
      <c r="C568" s="110"/>
      <c r="D568" s="122"/>
      <c r="E568" s="110"/>
      <c r="F568" s="128"/>
      <c r="G568" s="122"/>
      <c r="H568" s="131" t="b">
        <f aca="false">FALSE()</f>
        <v>0</v>
      </c>
      <c r="I568" s="131" t="b">
        <f aca="false">FALSE()</f>
        <v>0</v>
      </c>
      <c r="J568" s="130"/>
      <c r="K568" s="110"/>
      <c r="L568" s="83"/>
      <c r="M568" s="103"/>
      <c r="N568" s="103"/>
      <c r="O568" s="103"/>
      <c r="P568" s="103"/>
      <c r="Q568" s="103"/>
      <c r="R568" s="83"/>
      <c r="S568" s="103"/>
      <c r="T568" s="103"/>
      <c r="U568" s="103"/>
    </row>
    <row r="569" customFormat="false" ht="22.5" hidden="false" customHeight="true" outlineLevel="0" collapsed="false">
      <c r="A569" s="99"/>
      <c r="B569" s="99"/>
      <c r="C569" s="99"/>
      <c r="D569" s="121"/>
      <c r="E569" s="99"/>
      <c r="F569" s="124"/>
      <c r="G569" s="121"/>
      <c r="H569" s="132" t="b">
        <f aca="false">FALSE()</f>
        <v>0</v>
      </c>
      <c r="I569" s="132" t="b">
        <f aca="false">FALSE()</f>
        <v>0</v>
      </c>
      <c r="J569" s="126"/>
      <c r="K569" s="99"/>
      <c r="L569" s="83"/>
      <c r="M569" s="103"/>
      <c r="N569" s="103"/>
      <c r="O569" s="103"/>
      <c r="P569" s="103"/>
      <c r="Q569" s="103"/>
      <c r="R569" s="83"/>
      <c r="S569" s="103"/>
      <c r="T569" s="103"/>
      <c r="U569" s="103"/>
    </row>
    <row r="570" customFormat="false" ht="22.5" hidden="false" customHeight="true" outlineLevel="0" collapsed="false">
      <c r="A570" s="110"/>
      <c r="B570" s="110"/>
      <c r="C570" s="110"/>
      <c r="D570" s="122"/>
      <c r="E570" s="110"/>
      <c r="F570" s="128"/>
      <c r="G570" s="122"/>
      <c r="H570" s="131" t="b">
        <f aca="false">FALSE()</f>
        <v>0</v>
      </c>
      <c r="I570" s="131" t="b">
        <f aca="false">FALSE()</f>
        <v>0</v>
      </c>
      <c r="J570" s="130"/>
      <c r="K570" s="110"/>
      <c r="L570" s="83"/>
      <c r="M570" s="103"/>
      <c r="N570" s="103"/>
      <c r="O570" s="103"/>
      <c r="P570" s="103"/>
      <c r="Q570" s="103"/>
      <c r="R570" s="83"/>
      <c r="S570" s="103"/>
      <c r="T570" s="103"/>
      <c r="U570" s="103"/>
    </row>
    <row r="571" customFormat="false" ht="22.5" hidden="false" customHeight="true" outlineLevel="0" collapsed="false">
      <c r="A571" s="99"/>
      <c r="B571" s="99"/>
      <c r="C571" s="99"/>
      <c r="D571" s="121"/>
      <c r="E571" s="99"/>
      <c r="F571" s="124"/>
      <c r="G571" s="121"/>
      <c r="H571" s="132" t="b">
        <f aca="false">FALSE()</f>
        <v>0</v>
      </c>
      <c r="I571" s="132" t="b">
        <f aca="false">FALSE()</f>
        <v>0</v>
      </c>
      <c r="J571" s="126"/>
      <c r="K571" s="99"/>
      <c r="L571" s="83"/>
      <c r="M571" s="103"/>
      <c r="N571" s="103"/>
      <c r="O571" s="103"/>
      <c r="P571" s="103"/>
      <c r="Q571" s="103"/>
      <c r="R571" s="83"/>
      <c r="S571" s="103"/>
      <c r="T571" s="103"/>
      <c r="U571" s="103"/>
    </row>
    <row r="572" customFormat="false" ht="22.5" hidden="false" customHeight="true" outlineLevel="0" collapsed="false">
      <c r="A572" s="110"/>
      <c r="B572" s="110"/>
      <c r="C572" s="110"/>
      <c r="D572" s="122"/>
      <c r="E572" s="110"/>
      <c r="F572" s="128"/>
      <c r="G572" s="122"/>
      <c r="H572" s="131" t="b">
        <f aca="false">FALSE()</f>
        <v>0</v>
      </c>
      <c r="I572" s="131" t="b">
        <f aca="false">FALSE()</f>
        <v>0</v>
      </c>
      <c r="J572" s="130"/>
      <c r="K572" s="110"/>
      <c r="L572" s="83"/>
      <c r="M572" s="103"/>
      <c r="N572" s="103"/>
      <c r="O572" s="103"/>
      <c r="P572" s="103"/>
      <c r="Q572" s="103"/>
      <c r="R572" s="83"/>
      <c r="S572" s="103"/>
      <c r="T572" s="103"/>
      <c r="U572" s="103"/>
    </row>
    <row r="573" customFormat="false" ht="22.5" hidden="false" customHeight="true" outlineLevel="0" collapsed="false">
      <c r="A573" s="99"/>
      <c r="B573" s="99"/>
      <c r="C573" s="99"/>
      <c r="D573" s="121"/>
      <c r="E573" s="99"/>
      <c r="F573" s="124"/>
      <c r="G573" s="121"/>
      <c r="H573" s="132" t="b">
        <f aca="false">FALSE()</f>
        <v>0</v>
      </c>
      <c r="I573" s="132" t="b">
        <f aca="false">FALSE()</f>
        <v>0</v>
      </c>
      <c r="J573" s="126"/>
      <c r="K573" s="99"/>
      <c r="L573" s="83"/>
      <c r="M573" s="103"/>
      <c r="N573" s="103"/>
      <c r="O573" s="103"/>
      <c r="P573" s="103"/>
      <c r="Q573" s="103"/>
      <c r="R573" s="83"/>
      <c r="S573" s="103"/>
      <c r="T573" s="103"/>
      <c r="U573" s="103"/>
    </row>
    <row r="574" customFormat="false" ht="22.5" hidden="false" customHeight="true" outlineLevel="0" collapsed="false">
      <c r="A574" s="110"/>
      <c r="B574" s="110"/>
      <c r="C574" s="110"/>
      <c r="D574" s="122"/>
      <c r="E574" s="110"/>
      <c r="F574" s="128"/>
      <c r="G574" s="122"/>
      <c r="H574" s="131" t="b">
        <f aca="false">FALSE()</f>
        <v>0</v>
      </c>
      <c r="I574" s="131" t="b">
        <f aca="false">FALSE()</f>
        <v>0</v>
      </c>
      <c r="J574" s="130"/>
      <c r="K574" s="110"/>
      <c r="L574" s="83"/>
      <c r="M574" s="103"/>
      <c r="N574" s="103"/>
      <c r="O574" s="103"/>
      <c r="P574" s="103"/>
      <c r="Q574" s="103"/>
      <c r="R574" s="83"/>
      <c r="S574" s="103"/>
      <c r="T574" s="103"/>
      <c r="U574" s="103"/>
    </row>
    <row r="575" customFormat="false" ht="22.5" hidden="false" customHeight="true" outlineLevel="0" collapsed="false">
      <c r="A575" s="99"/>
      <c r="B575" s="99"/>
      <c r="C575" s="99"/>
      <c r="D575" s="121"/>
      <c r="E575" s="99"/>
      <c r="F575" s="124"/>
      <c r="G575" s="121"/>
      <c r="H575" s="132" t="b">
        <f aca="false">FALSE()</f>
        <v>0</v>
      </c>
      <c r="I575" s="132" t="b">
        <f aca="false">FALSE()</f>
        <v>0</v>
      </c>
      <c r="J575" s="126"/>
      <c r="K575" s="99"/>
      <c r="L575" s="83"/>
      <c r="M575" s="103"/>
      <c r="N575" s="103"/>
      <c r="O575" s="103"/>
      <c r="P575" s="103"/>
      <c r="Q575" s="103"/>
      <c r="R575" s="83"/>
      <c r="S575" s="103"/>
      <c r="T575" s="103"/>
      <c r="U575" s="103"/>
    </row>
    <row r="576" customFormat="false" ht="22.5" hidden="false" customHeight="true" outlineLevel="0" collapsed="false">
      <c r="A576" s="110"/>
      <c r="B576" s="110"/>
      <c r="C576" s="110"/>
      <c r="D576" s="122"/>
      <c r="E576" s="110"/>
      <c r="F576" s="128"/>
      <c r="G576" s="122"/>
      <c r="H576" s="131" t="b">
        <f aca="false">FALSE()</f>
        <v>0</v>
      </c>
      <c r="I576" s="131" t="b">
        <f aca="false">FALSE()</f>
        <v>0</v>
      </c>
      <c r="J576" s="130"/>
      <c r="K576" s="110"/>
      <c r="L576" s="83"/>
      <c r="M576" s="103"/>
      <c r="N576" s="103"/>
      <c r="O576" s="103"/>
      <c r="P576" s="103"/>
      <c r="Q576" s="103"/>
      <c r="R576" s="83"/>
      <c r="S576" s="103"/>
      <c r="T576" s="103"/>
      <c r="U576" s="103"/>
    </row>
    <row r="577" customFormat="false" ht="22.5" hidden="false" customHeight="true" outlineLevel="0" collapsed="false">
      <c r="A577" s="99"/>
      <c r="B577" s="99"/>
      <c r="C577" s="99"/>
      <c r="D577" s="121"/>
      <c r="E577" s="99"/>
      <c r="F577" s="124"/>
      <c r="G577" s="121"/>
      <c r="H577" s="132" t="b">
        <f aca="false">FALSE()</f>
        <v>0</v>
      </c>
      <c r="I577" s="132" t="b">
        <f aca="false">FALSE()</f>
        <v>0</v>
      </c>
      <c r="J577" s="126"/>
      <c r="K577" s="99"/>
      <c r="L577" s="83"/>
      <c r="M577" s="103"/>
      <c r="N577" s="103"/>
      <c r="O577" s="103"/>
      <c r="P577" s="103"/>
      <c r="Q577" s="103"/>
      <c r="R577" s="83"/>
      <c r="S577" s="103"/>
      <c r="T577" s="103"/>
      <c r="U577" s="103"/>
    </row>
    <row r="578" customFormat="false" ht="22.5" hidden="false" customHeight="true" outlineLevel="0" collapsed="false">
      <c r="A578" s="110"/>
      <c r="B578" s="110"/>
      <c r="C578" s="110"/>
      <c r="D578" s="122"/>
      <c r="E578" s="110"/>
      <c r="F578" s="128"/>
      <c r="G578" s="122"/>
      <c r="H578" s="131" t="b">
        <f aca="false">FALSE()</f>
        <v>0</v>
      </c>
      <c r="I578" s="131" t="b">
        <f aca="false">FALSE()</f>
        <v>0</v>
      </c>
      <c r="J578" s="130"/>
      <c r="K578" s="110"/>
      <c r="L578" s="83"/>
      <c r="M578" s="103"/>
      <c r="N578" s="103"/>
      <c r="O578" s="103"/>
      <c r="P578" s="103"/>
      <c r="Q578" s="103"/>
      <c r="R578" s="83"/>
      <c r="S578" s="103"/>
      <c r="T578" s="103"/>
      <c r="U578" s="103"/>
    </row>
    <row r="579" customFormat="false" ht="22.5" hidden="false" customHeight="true" outlineLevel="0" collapsed="false">
      <c r="A579" s="99"/>
      <c r="B579" s="99"/>
      <c r="C579" s="99"/>
      <c r="D579" s="121"/>
      <c r="E579" s="99"/>
      <c r="F579" s="124"/>
      <c r="G579" s="121"/>
      <c r="H579" s="132" t="b">
        <f aca="false">FALSE()</f>
        <v>0</v>
      </c>
      <c r="I579" s="132" t="b">
        <f aca="false">FALSE()</f>
        <v>0</v>
      </c>
      <c r="J579" s="126"/>
      <c r="K579" s="99"/>
      <c r="L579" s="83"/>
      <c r="M579" s="103"/>
      <c r="N579" s="103"/>
      <c r="O579" s="103"/>
      <c r="P579" s="103"/>
      <c r="Q579" s="103"/>
      <c r="R579" s="83"/>
      <c r="S579" s="103"/>
      <c r="T579" s="103"/>
      <c r="U579" s="103"/>
    </row>
    <row r="580" customFormat="false" ht="22.5" hidden="false" customHeight="true" outlineLevel="0" collapsed="false">
      <c r="A580" s="110"/>
      <c r="B580" s="110"/>
      <c r="C580" s="110"/>
      <c r="D580" s="122"/>
      <c r="E580" s="110"/>
      <c r="F580" s="128"/>
      <c r="G580" s="122"/>
      <c r="H580" s="131" t="b">
        <f aca="false">FALSE()</f>
        <v>0</v>
      </c>
      <c r="I580" s="131" t="b">
        <f aca="false">FALSE()</f>
        <v>0</v>
      </c>
      <c r="J580" s="130"/>
      <c r="K580" s="110"/>
      <c r="L580" s="83"/>
      <c r="M580" s="103"/>
      <c r="N580" s="103"/>
      <c r="O580" s="103"/>
      <c r="P580" s="103"/>
      <c r="Q580" s="103"/>
      <c r="R580" s="83"/>
      <c r="S580" s="103"/>
      <c r="T580" s="103"/>
      <c r="U580" s="103"/>
    </row>
    <row r="581" customFormat="false" ht="22.5" hidden="false" customHeight="true" outlineLevel="0" collapsed="false">
      <c r="A581" s="99"/>
      <c r="B581" s="99"/>
      <c r="C581" s="99"/>
      <c r="D581" s="121"/>
      <c r="E581" s="99"/>
      <c r="F581" s="124"/>
      <c r="G581" s="121"/>
      <c r="H581" s="132" t="b">
        <f aca="false">FALSE()</f>
        <v>0</v>
      </c>
      <c r="I581" s="132" t="b">
        <f aca="false">FALSE()</f>
        <v>0</v>
      </c>
      <c r="J581" s="126"/>
      <c r="K581" s="99"/>
      <c r="L581" s="83"/>
      <c r="M581" s="103"/>
      <c r="N581" s="103"/>
      <c r="O581" s="103"/>
      <c r="P581" s="103"/>
      <c r="Q581" s="103"/>
      <c r="R581" s="83"/>
      <c r="S581" s="103"/>
      <c r="T581" s="103"/>
      <c r="U581" s="103"/>
    </row>
    <row r="582" customFormat="false" ht="22.5" hidden="false" customHeight="true" outlineLevel="0" collapsed="false">
      <c r="A582" s="110"/>
      <c r="B582" s="110"/>
      <c r="C582" s="110"/>
      <c r="D582" s="122"/>
      <c r="E582" s="110"/>
      <c r="F582" s="128"/>
      <c r="G582" s="122"/>
      <c r="H582" s="131" t="b">
        <f aca="false">FALSE()</f>
        <v>0</v>
      </c>
      <c r="I582" s="131" t="b">
        <f aca="false">FALSE()</f>
        <v>0</v>
      </c>
      <c r="J582" s="130"/>
      <c r="K582" s="110"/>
      <c r="L582" s="83"/>
      <c r="M582" s="103"/>
      <c r="N582" s="103"/>
      <c r="O582" s="103"/>
      <c r="P582" s="103"/>
      <c r="Q582" s="103"/>
      <c r="R582" s="83"/>
      <c r="S582" s="103"/>
      <c r="T582" s="103"/>
      <c r="U582" s="103"/>
    </row>
    <row r="583" customFormat="false" ht="22.5" hidden="false" customHeight="true" outlineLevel="0" collapsed="false">
      <c r="A583" s="99"/>
      <c r="B583" s="99"/>
      <c r="C583" s="99"/>
      <c r="D583" s="121"/>
      <c r="E583" s="99"/>
      <c r="F583" s="124"/>
      <c r="G583" s="121"/>
      <c r="H583" s="132" t="b">
        <f aca="false">FALSE()</f>
        <v>0</v>
      </c>
      <c r="I583" s="132" t="b">
        <f aca="false">FALSE()</f>
        <v>0</v>
      </c>
      <c r="J583" s="126"/>
      <c r="K583" s="99"/>
      <c r="L583" s="83"/>
      <c r="M583" s="103"/>
      <c r="N583" s="103"/>
      <c r="O583" s="103"/>
      <c r="P583" s="103"/>
      <c r="Q583" s="103"/>
      <c r="R583" s="83"/>
      <c r="S583" s="103"/>
      <c r="T583" s="103"/>
      <c r="U583" s="103"/>
    </row>
    <row r="584" customFormat="false" ht="22.5" hidden="false" customHeight="true" outlineLevel="0" collapsed="false">
      <c r="A584" s="110"/>
      <c r="B584" s="110"/>
      <c r="C584" s="110"/>
      <c r="D584" s="122"/>
      <c r="E584" s="110"/>
      <c r="F584" s="128"/>
      <c r="G584" s="122"/>
      <c r="H584" s="131" t="b">
        <f aca="false">FALSE()</f>
        <v>0</v>
      </c>
      <c r="I584" s="131" t="b">
        <f aca="false">FALSE()</f>
        <v>0</v>
      </c>
      <c r="J584" s="130"/>
      <c r="K584" s="110"/>
      <c r="L584" s="83"/>
      <c r="M584" s="103"/>
      <c r="N584" s="103"/>
      <c r="O584" s="103"/>
      <c r="P584" s="103"/>
      <c r="Q584" s="103"/>
      <c r="R584" s="83"/>
      <c r="S584" s="103"/>
      <c r="T584" s="103"/>
      <c r="U584" s="103"/>
    </row>
    <row r="585" customFormat="false" ht="22.5" hidden="false" customHeight="true" outlineLevel="0" collapsed="false">
      <c r="A585" s="99"/>
      <c r="B585" s="99"/>
      <c r="C585" s="99"/>
      <c r="D585" s="121"/>
      <c r="E585" s="99"/>
      <c r="F585" s="124"/>
      <c r="G585" s="121"/>
      <c r="H585" s="132" t="b">
        <f aca="false">FALSE()</f>
        <v>0</v>
      </c>
      <c r="I585" s="132" t="b">
        <f aca="false">FALSE()</f>
        <v>0</v>
      </c>
      <c r="J585" s="126"/>
      <c r="K585" s="99"/>
      <c r="L585" s="83"/>
      <c r="M585" s="103"/>
      <c r="N585" s="103"/>
      <c r="O585" s="103"/>
      <c r="P585" s="103"/>
      <c r="Q585" s="103"/>
      <c r="R585" s="83"/>
      <c r="S585" s="103"/>
      <c r="T585" s="103"/>
      <c r="U585" s="103"/>
    </row>
    <row r="586" customFormat="false" ht="22.5" hidden="false" customHeight="true" outlineLevel="0" collapsed="false">
      <c r="A586" s="110"/>
      <c r="B586" s="110"/>
      <c r="C586" s="110"/>
      <c r="D586" s="122"/>
      <c r="E586" s="110"/>
      <c r="F586" s="128"/>
      <c r="G586" s="122"/>
      <c r="H586" s="131" t="b">
        <f aca="false">FALSE()</f>
        <v>0</v>
      </c>
      <c r="I586" s="131" t="b">
        <f aca="false">FALSE()</f>
        <v>0</v>
      </c>
      <c r="J586" s="130"/>
      <c r="K586" s="110"/>
      <c r="L586" s="83"/>
      <c r="M586" s="103"/>
      <c r="N586" s="103"/>
      <c r="O586" s="103"/>
      <c r="P586" s="103"/>
      <c r="Q586" s="103"/>
      <c r="R586" s="83"/>
      <c r="S586" s="103"/>
      <c r="T586" s="103"/>
      <c r="U586" s="103"/>
    </row>
    <row r="587" customFormat="false" ht="22.5" hidden="false" customHeight="true" outlineLevel="0" collapsed="false">
      <c r="A587" s="99"/>
      <c r="B587" s="99"/>
      <c r="C587" s="99"/>
      <c r="D587" s="121"/>
      <c r="E587" s="99"/>
      <c r="F587" s="124"/>
      <c r="G587" s="121"/>
      <c r="H587" s="132" t="b">
        <f aca="false">FALSE()</f>
        <v>0</v>
      </c>
      <c r="I587" s="132" t="b">
        <f aca="false">FALSE()</f>
        <v>0</v>
      </c>
      <c r="J587" s="126"/>
      <c r="K587" s="99"/>
      <c r="L587" s="83"/>
      <c r="M587" s="103"/>
      <c r="N587" s="103"/>
      <c r="O587" s="103"/>
      <c r="P587" s="103"/>
      <c r="Q587" s="103"/>
      <c r="R587" s="83"/>
      <c r="S587" s="103"/>
      <c r="T587" s="103"/>
      <c r="U587" s="103"/>
    </row>
    <row r="588" customFormat="false" ht="22.5" hidden="false" customHeight="true" outlineLevel="0" collapsed="false">
      <c r="A588" s="110"/>
      <c r="B588" s="110"/>
      <c r="C588" s="110"/>
      <c r="D588" s="122"/>
      <c r="E588" s="110"/>
      <c r="F588" s="128"/>
      <c r="G588" s="122"/>
      <c r="H588" s="131" t="b">
        <f aca="false">FALSE()</f>
        <v>0</v>
      </c>
      <c r="I588" s="131" t="b">
        <f aca="false">FALSE()</f>
        <v>0</v>
      </c>
      <c r="J588" s="130"/>
      <c r="K588" s="110"/>
      <c r="L588" s="83"/>
      <c r="M588" s="103"/>
      <c r="N588" s="103"/>
      <c r="O588" s="103"/>
      <c r="P588" s="103"/>
      <c r="Q588" s="103"/>
      <c r="R588" s="83"/>
      <c r="S588" s="103"/>
      <c r="T588" s="103"/>
      <c r="U588" s="103"/>
    </row>
    <row r="589" customFormat="false" ht="22.5" hidden="false" customHeight="true" outlineLevel="0" collapsed="false">
      <c r="A589" s="99"/>
      <c r="B589" s="99"/>
      <c r="C589" s="99"/>
      <c r="D589" s="121"/>
      <c r="E589" s="99"/>
      <c r="F589" s="124"/>
      <c r="G589" s="121"/>
      <c r="H589" s="132" t="b">
        <f aca="false">FALSE()</f>
        <v>0</v>
      </c>
      <c r="I589" s="132" t="b">
        <f aca="false">FALSE()</f>
        <v>0</v>
      </c>
      <c r="J589" s="126"/>
      <c r="K589" s="99"/>
      <c r="L589" s="83"/>
      <c r="M589" s="103"/>
      <c r="N589" s="103"/>
      <c r="O589" s="103"/>
      <c r="P589" s="103"/>
      <c r="Q589" s="103"/>
      <c r="R589" s="83"/>
      <c r="S589" s="103"/>
      <c r="T589" s="103"/>
      <c r="U589" s="103"/>
    </row>
    <row r="590" customFormat="false" ht="22.5" hidden="false" customHeight="true" outlineLevel="0" collapsed="false">
      <c r="A590" s="110"/>
      <c r="B590" s="110"/>
      <c r="C590" s="110"/>
      <c r="D590" s="122"/>
      <c r="E590" s="110"/>
      <c r="F590" s="128"/>
      <c r="G590" s="122"/>
      <c r="H590" s="131" t="b">
        <f aca="false">FALSE()</f>
        <v>0</v>
      </c>
      <c r="I590" s="131" t="b">
        <f aca="false">FALSE()</f>
        <v>0</v>
      </c>
      <c r="J590" s="130"/>
      <c r="K590" s="110"/>
      <c r="L590" s="83"/>
      <c r="M590" s="103"/>
      <c r="N590" s="103"/>
      <c r="O590" s="103"/>
      <c r="P590" s="103"/>
      <c r="Q590" s="103"/>
      <c r="R590" s="83"/>
      <c r="S590" s="103"/>
      <c r="T590" s="103"/>
      <c r="U590" s="103"/>
    </row>
    <row r="591" customFormat="false" ht="22.5" hidden="false" customHeight="true" outlineLevel="0" collapsed="false">
      <c r="A591" s="99"/>
      <c r="B591" s="99"/>
      <c r="C591" s="99"/>
      <c r="D591" s="121"/>
      <c r="E591" s="99"/>
      <c r="F591" s="124"/>
      <c r="G591" s="121"/>
      <c r="H591" s="132" t="b">
        <f aca="false">FALSE()</f>
        <v>0</v>
      </c>
      <c r="I591" s="132" t="b">
        <f aca="false">FALSE()</f>
        <v>0</v>
      </c>
      <c r="J591" s="126"/>
      <c r="K591" s="99"/>
      <c r="L591" s="83"/>
      <c r="M591" s="103"/>
      <c r="N591" s="103"/>
      <c r="O591" s="103"/>
      <c r="P591" s="103"/>
      <c r="Q591" s="103"/>
      <c r="R591" s="83"/>
      <c r="S591" s="103"/>
      <c r="T591" s="103"/>
      <c r="U591" s="103"/>
    </row>
    <row r="592" customFormat="false" ht="22.5" hidden="false" customHeight="true" outlineLevel="0" collapsed="false">
      <c r="A592" s="110"/>
      <c r="B592" s="110"/>
      <c r="C592" s="110"/>
      <c r="D592" s="122"/>
      <c r="E592" s="110"/>
      <c r="F592" s="128"/>
      <c r="G592" s="122"/>
      <c r="H592" s="131" t="b">
        <f aca="false">FALSE()</f>
        <v>0</v>
      </c>
      <c r="I592" s="131" t="b">
        <f aca="false">FALSE()</f>
        <v>0</v>
      </c>
      <c r="J592" s="130"/>
      <c r="K592" s="110"/>
      <c r="L592" s="83"/>
      <c r="M592" s="103"/>
      <c r="N592" s="103"/>
      <c r="O592" s="103"/>
      <c r="P592" s="103"/>
      <c r="Q592" s="103"/>
      <c r="R592" s="83"/>
      <c r="S592" s="103"/>
      <c r="T592" s="103"/>
      <c r="U592" s="103"/>
    </row>
    <row r="593" customFormat="false" ht="22.5" hidden="false" customHeight="true" outlineLevel="0" collapsed="false">
      <c r="A593" s="99"/>
      <c r="B593" s="99"/>
      <c r="C593" s="99"/>
      <c r="D593" s="121"/>
      <c r="E593" s="99"/>
      <c r="F593" s="124"/>
      <c r="G593" s="121"/>
      <c r="H593" s="132" t="b">
        <f aca="false">FALSE()</f>
        <v>0</v>
      </c>
      <c r="I593" s="132" t="b">
        <f aca="false">FALSE()</f>
        <v>0</v>
      </c>
      <c r="J593" s="126"/>
      <c r="K593" s="99"/>
      <c r="L593" s="83"/>
      <c r="M593" s="103"/>
      <c r="N593" s="103"/>
      <c r="O593" s="103"/>
      <c r="P593" s="103"/>
      <c r="Q593" s="103"/>
      <c r="R593" s="83"/>
      <c r="S593" s="103"/>
      <c r="T593" s="103"/>
      <c r="U593" s="103"/>
    </row>
    <row r="594" customFormat="false" ht="22.5" hidden="false" customHeight="true" outlineLevel="0" collapsed="false">
      <c r="A594" s="110"/>
      <c r="B594" s="110"/>
      <c r="C594" s="110"/>
      <c r="D594" s="122"/>
      <c r="E594" s="110"/>
      <c r="F594" s="128"/>
      <c r="G594" s="122"/>
      <c r="H594" s="131" t="b">
        <f aca="false">FALSE()</f>
        <v>0</v>
      </c>
      <c r="I594" s="131" t="b">
        <f aca="false">FALSE()</f>
        <v>0</v>
      </c>
      <c r="J594" s="130"/>
      <c r="K594" s="110"/>
      <c r="L594" s="83"/>
      <c r="M594" s="103"/>
      <c r="N594" s="103"/>
      <c r="O594" s="103"/>
      <c r="P594" s="103"/>
      <c r="Q594" s="103"/>
      <c r="R594" s="83"/>
      <c r="S594" s="103"/>
      <c r="T594" s="103"/>
      <c r="U594" s="103"/>
    </row>
    <row r="595" customFormat="false" ht="22.5" hidden="false" customHeight="true" outlineLevel="0" collapsed="false">
      <c r="A595" s="99"/>
      <c r="B595" s="99"/>
      <c r="C595" s="99"/>
      <c r="D595" s="121"/>
      <c r="E595" s="99"/>
      <c r="F595" s="124"/>
      <c r="G595" s="121"/>
      <c r="H595" s="132" t="b">
        <f aca="false">FALSE()</f>
        <v>0</v>
      </c>
      <c r="I595" s="132" t="b">
        <f aca="false">FALSE()</f>
        <v>0</v>
      </c>
      <c r="J595" s="126"/>
      <c r="K595" s="99"/>
      <c r="L595" s="83"/>
      <c r="M595" s="103"/>
      <c r="N595" s="103"/>
      <c r="O595" s="103"/>
      <c r="P595" s="103"/>
      <c r="Q595" s="103"/>
      <c r="R595" s="83"/>
      <c r="S595" s="103"/>
      <c r="T595" s="103"/>
      <c r="U595" s="103"/>
    </row>
    <row r="596" customFormat="false" ht="22.5" hidden="false" customHeight="true" outlineLevel="0" collapsed="false">
      <c r="A596" s="110"/>
      <c r="B596" s="110"/>
      <c r="C596" s="110"/>
      <c r="D596" s="122"/>
      <c r="E596" s="110"/>
      <c r="F596" s="128"/>
      <c r="G596" s="122"/>
      <c r="H596" s="131" t="b">
        <f aca="false">FALSE()</f>
        <v>0</v>
      </c>
      <c r="I596" s="131" t="b">
        <f aca="false">FALSE()</f>
        <v>0</v>
      </c>
      <c r="J596" s="130"/>
      <c r="K596" s="110"/>
      <c r="L596" s="83"/>
      <c r="M596" s="103"/>
      <c r="N596" s="103"/>
      <c r="O596" s="103"/>
      <c r="P596" s="103"/>
      <c r="Q596" s="103"/>
      <c r="R596" s="83"/>
      <c r="S596" s="103"/>
      <c r="T596" s="103"/>
      <c r="U596" s="103"/>
    </row>
    <row r="597" customFormat="false" ht="22.5" hidden="false" customHeight="true" outlineLevel="0" collapsed="false">
      <c r="A597" s="99"/>
      <c r="B597" s="99"/>
      <c r="C597" s="99"/>
      <c r="D597" s="121"/>
      <c r="E597" s="99"/>
      <c r="F597" s="124"/>
      <c r="G597" s="121"/>
      <c r="H597" s="132" t="b">
        <f aca="false">FALSE()</f>
        <v>0</v>
      </c>
      <c r="I597" s="132" t="b">
        <f aca="false">FALSE()</f>
        <v>0</v>
      </c>
      <c r="J597" s="126"/>
      <c r="K597" s="99"/>
      <c r="L597" s="83"/>
      <c r="M597" s="103"/>
      <c r="N597" s="103"/>
      <c r="O597" s="103"/>
      <c r="P597" s="103"/>
      <c r="Q597" s="103"/>
      <c r="R597" s="83"/>
      <c r="S597" s="103"/>
      <c r="T597" s="103"/>
      <c r="U597" s="103"/>
    </row>
    <row r="598" customFormat="false" ht="22.5" hidden="false" customHeight="true" outlineLevel="0" collapsed="false">
      <c r="A598" s="110"/>
      <c r="B598" s="110"/>
      <c r="C598" s="110"/>
      <c r="D598" s="122"/>
      <c r="E598" s="110"/>
      <c r="F598" s="128"/>
      <c r="G598" s="122"/>
      <c r="H598" s="131" t="b">
        <f aca="false">FALSE()</f>
        <v>0</v>
      </c>
      <c r="I598" s="131" t="b">
        <f aca="false">FALSE()</f>
        <v>0</v>
      </c>
      <c r="J598" s="130"/>
      <c r="K598" s="110"/>
      <c r="L598" s="83"/>
      <c r="M598" s="103"/>
      <c r="N598" s="103"/>
      <c r="O598" s="103"/>
      <c r="P598" s="103"/>
      <c r="Q598" s="103"/>
      <c r="R598" s="83"/>
      <c r="S598" s="103"/>
      <c r="T598" s="103"/>
      <c r="U598" s="103"/>
    </row>
    <row r="599" customFormat="false" ht="22.5" hidden="false" customHeight="true" outlineLevel="0" collapsed="false">
      <c r="A599" s="99"/>
      <c r="B599" s="99"/>
      <c r="C599" s="99"/>
      <c r="D599" s="121"/>
      <c r="E599" s="99"/>
      <c r="F599" s="124"/>
      <c r="G599" s="121"/>
      <c r="H599" s="132" t="b">
        <f aca="false">FALSE()</f>
        <v>0</v>
      </c>
      <c r="I599" s="132" t="b">
        <f aca="false">FALSE()</f>
        <v>0</v>
      </c>
      <c r="J599" s="126"/>
      <c r="K599" s="99"/>
      <c r="L599" s="83"/>
      <c r="M599" s="103"/>
      <c r="N599" s="103"/>
      <c r="O599" s="103"/>
      <c r="P599" s="103"/>
      <c r="Q599" s="103"/>
      <c r="R599" s="83"/>
      <c r="S599" s="103"/>
      <c r="T599" s="103"/>
      <c r="U599" s="103"/>
    </row>
    <row r="600" customFormat="false" ht="22.5" hidden="false" customHeight="true" outlineLevel="0" collapsed="false">
      <c r="A600" s="110"/>
      <c r="B600" s="110"/>
      <c r="C600" s="110"/>
      <c r="D600" s="122"/>
      <c r="E600" s="110"/>
      <c r="F600" s="128"/>
      <c r="G600" s="122"/>
      <c r="H600" s="131" t="b">
        <f aca="false">FALSE()</f>
        <v>0</v>
      </c>
      <c r="I600" s="131" t="b">
        <f aca="false">FALSE()</f>
        <v>0</v>
      </c>
      <c r="J600" s="130"/>
      <c r="K600" s="110"/>
      <c r="L600" s="83"/>
      <c r="M600" s="103"/>
      <c r="N600" s="103"/>
      <c r="O600" s="103"/>
      <c r="P600" s="103"/>
      <c r="Q600" s="103"/>
      <c r="R600" s="83"/>
      <c r="S600" s="103"/>
      <c r="T600" s="103"/>
      <c r="U600" s="103"/>
    </row>
    <row r="601" customFormat="false" ht="22.5" hidden="false" customHeight="true" outlineLevel="0" collapsed="false">
      <c r="A601" s="99"/>
      <c r="B601" s="99"/>
      <c r="C601" s="99"/>
      <c r="D601" s="121"/>
      <c r="E601" s="99"/>
      <c r="F601" s="124"/>
      <c r="G601" s="121"/>
      <c r="H601" s="132" t="b">
        <f aca="false">FALSE()</f>
        <v>0</v>
      </c>
      <c r="I601" s="132" t="b">
        <f aca="false">FALSE()</f>
        <v>0</v>
      </c>
      <c r="J601" s="126"/>
      <c r="K601" s="99"/>
      <c r="L601" s="83"/>
      <c r="M601" s="103"/>
      <c r="N601" s="103"/>
      <c r="O601" s="103"/>
      <c r="P601" s="103"/>
      <c r="Q601" s="103"/>
      <c r="R601" s="83"/>
      <c r="S601" s="103"/>
      <c r="T601" s="103"/>
      <c r="U601" s="103"/>
    </row>
    <row r="602" customFormat="false" ht="22.5" hidden="false" customHeight="true" outlineLevel="0" collapsed="false">
      <c r="A602" s="110"/>
      <c r="B602" s="110"/>
      <c r="C602" s="110"/>
      <c r="D602" s="122"/>
      <c r="E602" s="110"/>
      <c r="F602" s="128"/>
      <c r="G602" s="122"/>
      <c r="H602" s="131" t="b">
        <f aca="false">FALSE()</f>
        <v>0</v>
      </c>
      <c r="I602" s="131" t="b">
        <f aca="false">FALSE()</f>
        <v>0</v>
      </c>
      <c r="J602" s="130"/>
      <c r="K602" s="110"/>
      <c r="L602" s="83"/>
      <c r="M602" s="103"/>
      <c r="N602" s="103"/>
      <c r="O602" s="103"/>
      <c r="P602" s="103"/>
      <c r="Q602" s="103"/>
      <c r="R602" s="83"/>
      <c r="S602" s="103"/>
      <c r="T602" s="103"/>
      <c r="U602" s="103"/>
    </row>
    <row r="603" customFormat="false" ht="22.5" hidden="false" customHeight="true" outlineLevel="0" collapsed="false">
      <c r="A603" s="99"/>
      <c r="B603" s="99"/>
      <c r="C603" s="99"/>
      <c r="D603" s="121"/>
      <c r="E603" s="99"/>
      <c r="F603" s="124"/>
      <c r="G603" s="121"/>
      <c r="H603" s="132" t="b">
        <f aca="false">FALSE()</f>
        <v>0</v>
      </c>
      <c r="I603" s="132" t="b">
        <f aca="false">FALSE()</f>
        <v>0</v>
      </c>
      <c r="J603" s="126"/>
      <c r="K603" s="99"/>
      <c r="L603" s="83"/>
      <c r="M603" s="103"/>
      <c r="N603" s="103"/>
      <c r="O603" s="103"/>
      <c r="P603" s="103"/>
      <c r="Q603" s="103"/>
      <c r="R603" s="83"/>
      <c r="S603" s="103"/>
      <c r="T603" s="103"/>
      <c r="U603" s="103"/>
    </row>
    <row r="604" customFormat="false" ht="22.5" hidden="false" customHeight="true" outlineLevel="0" collapsed="false">
      <c r="A604" s="110"/>
      <c r="B604" s="110"/>
      <c r="C604" s="110"/>
      <c r="D604" s="122"/>
      <c r="E604" s="110"/>
      <c r="F604" s="128"/>
      <c r="G604" s="122"/>
      <c r="H604" s="131" t="b">
        <f aca="false">FALSE()</f>
        <v>0</v>
      </c>
      <c r="I604" s="131" t="b">
        <f aca="false">FALSE()</f>
        <v>0</v>
      </c>
      <c r="J604" s="130"/>
      <c r="K604" s="110"/>
      <c r="L604" s="83"/>
      <c r="M604" s="103"/>
      <c r="N604" s="103"/>
      <c r="O604" s="103"/>
      <c r="P604" s="103"/>
      <c r="Q604" s="103"/>
      <c r="R604" s="83"/>
      <c r="S604" s="103"/>
      <c r="T604" s="103"/>
      <c r="U604" s="103"/>
    </row>
    <row r="605" customFormat="false" ht="22.5" hidden="false" customHeight="true" outlineLevel="0" collapsed="false">
      <c r="A605" s="99"/>
      <c r="B605" s="99"/>
      <c r="C605" s="99"/>
      <c r="D605" s="121"/>
      <c r="E605" s="99"/>
      <c r="F605" s="124"/>
      <c r="G605" s="121"/>
      <c r="H605" s="132" t="b">
        <f aca="false">FALSE()</f>
        <v>0</v>
      </c>
      <c r="I605" s="132" t="b">
        <f aca="false">FALSE()</f>
        <v>0</v>
      </c>
      <c r="J605" s="126"/>
      <c r="K605" s="99"/>
      <c r="L605" s="83"/>
      <c r="M605" s="103"/>
      <c r="N605" s="103"/>
      <c r="O605" s="103"/>
      <c r="P605" s="103"/>
      <c r="Q605" s="103"/>
      <c r="R605" s="83"/>
      <c r="S605" s="103"/>
      <c r="T605" s="103"/>
      <c r="U605" s="103"/>
    </row>
    <row r="606" customFormat="false" ht="22.5" hidden="false" customHeight="true" outlineLevel="0" collapsed="false">
      <c r="A606" s="110"/>
      <c r="B606" s="110"/>
      <c r="C606" s="110"/>
      <c r="D606" s="122"/>
      <c r="E606" s="110"/>
      <c r="F606" s="128"/>
      <c r="G606" s="122"/>
      <c r="H606" s="131" t="b">
        <f aca="false">FALSE()</f>
        <v>0</v>
      </c>
      <c r="I606" s="131" t="b">
        <f aca="false">FALSE()</f>
        <v>0</v>
      </c>
      <c r="J606" s="130"/>
      <c r="K606" s="110"/>
      <c r="L606" s="83"/>
      <c r="M606" s="103"/>
      <c r="N606" s="103"/>
      <c r="O606" s="103"/>
      <c r="P606" s="103"/>
      <c r="Q606" s="103"/>
      <c r="R606" s="83"/>
      <c r="S606" s="103"/>
      <c r="T606" s="103"/>
      <c r="U606" s="103"/>
    </row>
    <row r="607" customFormat="false" ht="22.5" hidden="false" customHeight="true" outlineLevel="0" collapsed="false">
      <c r="A607" s="99"/>
      <c r="B607" s="99"/>
      <c r="C607" s="99"/>
      <c r="D607" s="121"/>
      <c r="E607" s="99"/>
      <c r="F607" s="124"/>
      <c r="G607" s="121"/>
      <c r="H607" s="132" t="b">
        <f aca="false">FALSE()</f>
        <v>0</v>
      </c>
      <c r="I607" s="132" t="b">
        <f aca="false">FALSE()</f>
        <v>0</v>
      </c>
      <c r="J607" s="126"/>
      <c r="K607" s="99"/>
      <c r="L607" s="83"/>
      <c r="M607" s="103"/>
      <c r="N607" s="103"/>
      <c r="O607" s="103"/>
      <c r="P607" s="103"/>
      <c r="Q607" s="103"/>
      <c r="R607" s="83"/>
      <c r="S607" s="103"/>
      <c r="T607" s="103"/>
      <c r="U607" s="103"/>
    </row>
    <row r="608" customFormat="false" ht="22.5" hidden="false" customHeight="true" outlineLevel="0" collapsed="false">
      <c r="A608" s="110"/>
      <c r="B608" s="110"/>
      <c r="C608" s="110"/>
      <c r="D608" s="122"/>
      <c r="E608" s="110"/>
      <c r="F608" s="128"/>
      <c r="G608" s="122"/>
      <c r="H608" s="131" t="b">
        <f aca="false">FALSE()</f>
        <v>0</v>
      </c>
      <c r="I608" s="131" t="b">
        <f aca="false">FALSE()</f>
        <v>0</v>
      </c>
      <c r="J608" s="130"/>
      <c r="K608" s="110"/>
      <c r="L608" s="83"/>
      <c r="M608" s="103"/>
      <c r="N608" s="103"/>
      <c r="O608" s="103"/>
      <c r="P608" s="103"/>
      <c r="Q608" s="103"/>
      <c r="R608" s="83"/>
      <c r="S608" s="103"/>
      <c r="T608" s="103"/>
      <c r="U608" s="103"/>
    </row>
    <row r="609" customFormat="false" ht="22.5" hidden="false" customHeight="true" outlineLevel="0" collapsed="false">
      <c r="A609" s="99"/>
      <c r="B609" s="99"/>
      <c r="C609" s="99"/>
      <c r="D609" s="121"/>
      <c r="E609" s="99"/>
      <c r="F609" s="124"/>
      <c r="G609" s="121"/>
      <c r="H609" s="132" t="b">
        <f aca="false">FALSE()</f>
        <v>0</v>
      </c>
      <c r="I609" s="132" t="b">
        <f aca="false">FALSE()</f>
        <v>0</v>
      </c>
      <c r="J609" s="126"/>
      <c r="K609" s="99"/>
      <c r="L609" s="83"/>
      <c r="M609" s="103"/>
      <c r="N609" s="103"/>
      <c r="O609" s="103"/>
      <c r="P609" s="103"/>
      <c r="Q609" s="103"/>
      <c r="R609" s="83"/>
      <c r="S609" s="103"/>
      <c r="T609" s="103"/>
      <c r="U609" s="103"/>
    </row>
    <row r="610" customFormat="false" ht="22.5" hidden="false" customHeight="true" outlineLevel="0" collapsed="false">
      <c r="A610" s="110"/>
      <c r="B610" s="110"/>
      <c r="C610" s="110"/>
      <c r="D610" s="122"/>
      <c r="E610" s="110"/>
      <c r="F610" s="128"/>
      <c r="G610" s="122"/>
      <c r="H610" s="131" t="b">
        <f aca="false">FALSE()</f>
        <v>0</v>
      </c>
      <c r="I610" s="131" t="b">
        <f aca="false">FALSE()</f>
        <v>0</v>
      </c>
      <c r="J610" s="130"/>
      <c r="K610" s="110"/>
      <c r="L610" s="83"/>
      <c r="M610" s="103"/>
      <c r="N610" s="103"/>
      <c r="O610" s="103"/>
      <c r="P610" s="103"/>
      <c r="Q610" s="103"/>
      <c r="R610" s="83"/>
      <c r="S610" s="103"/>
      <c r="T610" s="103"/>
      <c r="U610" s="103"/>
    </row>
    <row r="611" customFormat="false" ht="22.5" hidden="false" customHeight="true" outlineLevel="0" collapsed="false">
      <c r="A611" s="99"/>
      <c r="B611" s="99"/>
      <c r="C611" s="99"/>
      <c r="D611" s="121"/>
      <c r="E611" s="99"/>
      <c r="F611" s="124"/>
      <c r="G611" s="121"/>
      <c r="H611" s="132" t="b">
        <f aca="false">FALSE()</f>
        <v>0</v>
      </c>
      <c r="I611" s="132" t="b">
        <f aca="false">FALSE()</f>
        <v>0</v>
      </c>
      <c r="J611" s="126"/>
      <c r="K611" s="99"/>
      <c r="L611" s="83"/>
      <c r="M611" s="103"/>
      <c r="N611" s="103"/>
      <c r="O611" s="103"/>
      <c r="P611" s="103"/>
      <c r="Q611" s="103"/>
      <c r="R611" s="83"/>
      <c r="S611" s="103"/>
      <c r="T611" s="103"/>
      <c r="U611" s="103"/>
    </row>
    <row r="612" customFormat="false" ht="22.5" hidden="false" customHeight="true" outlineLevel="0" collapsed="false">
      <c r="A612" s="110"/>
      <c r="B612" s="110"/>
      <c r="C612" s="110"/>
      <c r="D612" s="122"/>
      <c r="E612" s="110"/>
      <c r="F612" s="128"/>
      <c r="G612" s="122"/>
      <c r="H612" s="131" t="b">
        <f aca="false">FALSE()</f>
        <v>0</v>
      </c>
      <c r="I612" s="131" t="b">
        <f aca="false">FALSE()</f>
        <v>0</v>
      </c>
      <c r="J612" s="130"/>
      <c r="K612" s="110"/>
      <c r="L612" s="83"/>
      <c r="M612" s="103"/>
      <c r="N612" s="103"/>
      <c r="O612" s="103"/>
      <c r="P612" s="103"/>
      <c r="Q612" s="103"/>
      <c r="R612" s="83"/>
      <c r="S612" s="103"/>
      <c r="T612" s="103"/>
      <c r="U612" s="103"/>
    </row>
    <row r="613" customFormat="false" ht="22.5" hidden="false" customHeight="true" outlineLevel="0" collapsed="false">
      <c r="A613" s="99"/>
      <c r="B613" s="99"/>
      <c r="C613" s="99"/>
      <c r="D613" s="121"/>
      <c r="E613" s="99"/>
      <c r="F613" s="124"/>
      <c r="G613" s="121"/>
      <c r="H613" s="132" t="b">
        <f aca="false">FALSE()</f>
        <v>0</v>
      </c>
      <c r="I613" s="132" t="b">
        <f aca="false">FALSE()</f>
        <v>0</v>
      </c>
      <c r="J613" s="126"/>
      <c r="K613" s="99"/>
      <c r="L613" s="83"/>
      <c r="M613" s="103"/>
      <c r="N613" s="103"/>
      <c r="O613" s="103"/>
      <c r="P613" s="103"/>
      <c r="Q613" s="103"/>
      <c r="R613" s="83"/>
      <c r="S613" s="103"/>
      <c r="T613" s="103"/>
      <c r="U613" s="103"/>
    </row>
    <row r="614" customFormat="false" ht="22.5" hidden="false" customHeight="true" outlineLevel="0" collapsed="false">
      <c r="A614" s="110"/>
      <c r="B614" s="110"/>
      <c r="C614" s="110"/>
      <c r="D614" s="122"/>
      <c r="E614" s="110"/>
      <c r="F614" s="128"/>
      <c r="G614" s="122"/>
      <c r="H614" s="131" t="b">
        <f aca="false">FALSE()</f>
        <v>0</v>
      </c>
      <c r="I614" s="131" t="b">
        <f aca="false">FALSE()</f>
        <v>0</v>
      </c>
      <c r="J614" s="130"/>
      <c r="K614" s="110"/>
      <c r="L614" s="83"/>
      <c r="M614" s="103"/>
      <c r="N614" s="103"/>
      <c r="O614" s="103"/>
      <c r="P614" s="103"/>
      <c r="Q614" s="103"/>
      <c r="R614" s="83"/>
      <c r="S614" s="103"/>
      <c r="T614" s="103"/>
      <c r="U614" s="103"/>
    </row>
    <row r="615" customFormat="false" ht="22.5" hidden="false" customHeight="true" outlineLevel="0" collapsed="false">
      <c r="A615" s="99"/>
      <c r="B615" s="99"/>
      <c r="C615" s="99"/>
      <c r="D615" s="121"/>
      <c r="E615" s="99"/>
      <c r="F615" s="124"/>
      <c r="G615" s="121"/>
      <c r="H615" s="132" t="b">
        <f aca="false">FALSE()</f>
        <v>0</v>
      </c>
      <c r="I615" s="132" t="b">
        <f aca="false">FALSE()</f>
        <v>0</v>
      </c>
      <c r="J615" s="126"/>
      <c r="K615" s="99"/>
      <c r="L615" s="83"/>
      <c r="M615" s="103"/>
      <c r="N615" s="103"/>
      <c r="O615" s="103"/>
      <c r="P615" s="103"/>
      <c r="Q615" s="103"/>
      <c r="R615" s="83"/>
      <c r="S615" s="103"/>
      <c r="T615" s="103"/>
      <c r="U615" s="103"/>
    </row>
    <row r="616" customFormat="false" ht="22.5" hidden="false" customHeight="true" outlineLevel="0" collapsed="false">
      <c r="A616" s="110"/>
      <c r="B616" s="110"/>
      <c r="C616" s="110"/>
      <c r="D616" s="122"/>
      <c r="E616" s="110"/>
      <c r="F616" s="128"/>
      <c r="G616" s="122"/>
      <c r="H616" s="131" t="b">
        <f aca="false">FALSE()</f>
        <v>0</v>
      </c>
      <c r="I616" s="131" t="b">
        <f aca="false">FALSE()</f>
        <v>0</v>
      </c>
      <c r="J616" s="130"/>
      <c r="K616" s="110"/>
      <c r="L616" s="83"/>
      <c r="M616" s="103"/>
      <c r="N616" s="103"/>
      <c r="O616" s="103"/>
      <c r="P616" s="103"/>
      <c r="Q616" s="103"/>
      <c r="R616" s="83"/>
      <c r="S616" s="103"/>
      <c r="T616" s="103"/>
      <c r="U616" s="103"/>
    </row>
    <row r="617" customFormat="false" ht="22.5" hidden="false" customHeight="true" outlineLevel="0" collapsed="false">
      <c r="A617" s="99"/>
      <c r="B617" s="99"/>
      <c r="C617" s="99"/>
      <c r="D617" s="121"/>
      <c r="E617" s="99"/>
      <c r="F617" s="124"/>
      <c r="G617" s="121"/>
      <c r="H617" s="132" t="b">
        <f aca="false">FALSE()</f>
        <v>0</v>
      </c>
      <c r="I617" s="132" t="b">
        <f aca="false">FALSE()</f>
        <v>0</v>
      </c>
      <c r="J617" s="126"/>
      <c r="K617" s="99"/>
      <c r="L617" s="83"/>
      <c r="M617" s="103"/>
      <c r="N617" s="103"/>
      <c r="O617" s="103"/>
      <c r="P617" s="103"/>
      <c r="Q617" s="103"/>
      <c r="R617" s="83"/>
      <c r="S617" s="103"/>
      <c r="T617" s="103"/>
      <c r="U617" s="103"/>
    </row>
    <row r="618" customFormat="false" ht="22.5" hidden="false" customHeight="true" outlineLevel="0" collapsed="false">
      <c r="A618" s="110"/>
      <c r="B618" s="110"/>
      <c r="C618" s="110"/>
      <c r="D618" s="122"/>
      <c r="E618" s="110"/>
      <c r="F618" s="128"/>
      <c r="G618" s="122"/>
      <c r="H618" s="131" t="b">
        <f aca="false">FALSE()</f>
        <v>0</v>
      </c>
      <c r="I618" s="131" t="b">
        <f aca="false">FALSE()</f>
        <v>0</v>
      </c>
      <c r="J618" s="130"/>
      <c r="K618" s="110"/>
      <c r="L618" s="83"/>
      <c r="M618" s="103"/>
      <c r="N618" s="103"/>
      <c r="O618" s="103"/>
      <c r="P618" s="103"/>
      <c r="Q618" s="103"/>
      <c r="R618" s="83"/>
      <c r="S618" s="103"/>
      <c r="T618" s="103"/>
      <c r="U618" s="103"/>
    </row>
    <row r="619" customFormat="false" ht="22.5" hidden="false" customHeight="true" outlineLevel="0" collapsed="false">
      <c r="A619" s="99"/>
      <c r="B619" s="99"/>
      <c r="C619" s="99"/>
      <c r="D619" s="121"/>
      <c r="E619" s="99"/>
      <c r="F619" s="124"/>
      <c r="G619" s="121"/>
      <c r="H619" s="132" t="b">
        <f aca="false">FALSE()</f>
        <v>0</v>
      </c>
      <c r="I619" s="132" t="b">
        <f aca="false">FALSE()</f>
        <v>0</v>
      </c>
      <c r="J619" s="126"/>
      <c r="K619" s="99"/>
      <c r="L619" s="83"/>
      <c r="M619" s="103"/>
      <c r="N619" s="103"/>
      <c r="O619" s="103"/>
      <c r="P619" s="103"/>
      <c r="Q619" s="103"/>
      <c r="R619" s="83"/>
      <c r="S619" s="103"/>
      <c r="T619" s="103"/>
      <c r="U619" s="103"/>
    </row>
    <row r="620" customFormat="false" ht="22.5" hidden="false" customHeight="true" outlineLevel="0" collapsed="false">
      <c r="A620" s="110"/>
      <c r="B620" s="110"/>
      <c r="C620" s="110"/>
      <c r="D620" s="122"/>
      <c r="E620" s="110"/>
      <c r="F620" s="128"/>
      <c r="G620" s="122"/>
      <c r="H620" s="131" t="b">
        <f aca="false">FALSE()</f>
        <v>0</v>
      </c>
      <c r="I620" s="131" t="b">
        <f aca="false">FALSE()</f>
        <v>0</v>
      </c>
      <c r="J620" s="130"/>
      <c r="K620" s="110"/>
      <c r="L620" s="83"/>
      <c r="M620" s="103"/>
      <c r="N620" s="103"/>
      <c r="O620" s="103"/>
      <c r="P620" s="103"/>
      <c r="Q620" s="103"/>
      <c r="R620" s="83"/>
      <c r="S620" s="103"/>
      <c r="T620" s="103"/>
      <c r="U620" s="103"/>
    </row>
    <row r="621" customFormat="false" ht="22.5" hidden="false" customHeight="true" outlineLevel="0" collapsed="false">
      <c r="A621" s="99"/>
      <c r="B621" s="99"/>
      <c r="C621" s="99"/>
      <c r="D621" s="121"/>
      <c r="E621" s="99"/>
      <c r="F621" s="124"/>
      <c r="G621" s="121"/>
      <c r="H621" s="132" t="b">
        <f aca="false">FALSE()</f>
        <v>0</v>
      </c>
      <c r="I621" s="132" t="b">
        <f aca="false">FALSE()</f>
        <v>0</v>
      </c>
      <c r="J621" s="126"/>
      <c r="K621" s="99"/>
      <c r="L621" s="83"/>
      <c r="M621" s="103"/>
      <c r="N621" s="103"/>
      <c r="O621" s="103"/>
      <c r="P621" s="103"/>
      <c r="Q621" s="103"/>
      <c r="R621" s="83"/>
      <c r="S621" s="103"/>
      <c r="T621" s="103"/>
      <c r="U621" s="103"/>
    </row>
    <row r="622" customFormat="false" ht="22.5" hidden="false" customHeight="true" outlineLevel="0" collapsed="false">
      <c r="A622" s="110"/>
      <c r="B622" s="110"/>
      <c r="C622" s="110"/>
      <c r="D622" s="122"/>
      <c r="E622" s="110"/>
      <c r="F622" s="128"/>
      <c r="G622" s="122"/>
      <c r="H622" s="131" t="b">
        <f aca="false">FALSE()</f>
        <v>0</v>
      </c>
      <c r="I622" s="131" t="b">
        <f aca="false">FALSE()</f>
        <v>0</v>
      </c>
      <c r="J622" s="130"/>
      <c r="K622" s="110"/>
      <c r="L622" s="83"/>
      <c r="M622" s="103"/>
      <c r="N622" s="103"/>
      <c r="O622" s="103"/>
      <c r="P622" s="103"/>
      <c r="Q622" s="103"/>
      <c r="R622" s="83"/>
      <c r="S622" s="103"/>
      <c r="T622" s="103"/>
      <c r="U622" s="103"/>
    </row>
    <row r="623" customFormat="false" ht="22.5" hidden="false" customHeight="true" outlineLevel="0" collapsed="false">
      <c r="A623" s="99"/>
      <c r="B623" s="99"/>
      <c r="C623" s="99"/>
      <c r="D623" s="121"/>
      <c r="E623" s="99"/>
      <c r="F623" s="124"/>
      <c r="G623" s="121"/>
      <c r="H623" s="132" t="b">
        <f aca="false">FALSE()</f>
        <v>0</v>
      </c>
      <c r="I623" s="132" t="b">
        <f aca="false">FALSE()</f>
        <v>0</v>
      </c>
      <c r="J623" s="126"/>
      <c r="K623" s="99"/>
      <c r="L623" s="83"/>
      <c r="M623" s="103"/>
      <c r="N623" s="103"/>
      <c r="O623" s="103"/>
      <c r="P623" s="103"/>
      <c r="Q623" s="103"/>
      <c r="R623" s="83"/>
      <c r="S623" s="103"/>
      <c r="T623" s="103"/>
      <c r="U623" s="103"/>
    </row>
    <row r="624" customFormat="false" ht="22.5" hidden="false" customHeight="true" outlineLevel="0" collapsed="false">
      <c r="A624" s="110"/>
      <c r="B624" s="110"/>
      <c r="C624" s="110"/>
      <c r="D624" s="122"/>
      <c r="E624" s="110"/>
      <c r="F624" s="128"/>
      <c r="G624" s="122"/>
      <c r="H624" s="131" t="b">
        <f aca="false">FALSE()</f>
        <v>0</v>
      </c>
      <c r="I624" s="131" t="b">
        <f aca="false">FALSE()</f>
        <v>0</v>
      </c>
      <c r="J624" s="130"/>
      <c r="K624" s="110"/>
      <c r="L624" s="83"/>
      <c r="M624" s="103"/>
      <c r="N624" s="103"/>
      <c r="O624" s="103"/>
      <c r="P624" s="103"/>
      <c r="Q624" s="103"/>
      <c r="R624" s="83"/>
      <c r="S624" s="103"/>
      <c r="T624" s="103"/>
      <c r="U624" s="103"/>
    </row>
    <row r="625" customFormat="false" ht="22.5" hidden="false" customHeight="true" outlineLevel="0" collapsed="false">
      <c r="A625" s="99"/>
      <c r="B625" s="99"/>
      <c r="C625" s="99"/>
      <c r="D625" s="121"/>
      <c r="E625" s="99"/>
      <c r="F625" s="124"/>
      <c r="G625" s="121"/>
      <c r="H625" s="132" t="b">
        <f aca="false">FALSE()</f>
        <v>0</v>
      </c>
      <c r="I625" s="132" t="b">
        <f aca="false">FALSE()</f>
        <v>0</v>
      </c>
      <c r="J625" s="126"/>
      <c r="K625" s="99"/>
      <c r="L625" s="83"/>
      <c r="M625" s="103"/>
      <c r="N625" s="103"/>
      <c r="O625" s="103"/>
      <c r="P625" s="103"/>
      <c r="Q625" s="103"/>
      <c r="R625" s="83"/>
      <c r="S625" s="103"/>
      <c r="T625" s="103"/>
      <c r="U625" s="103"/>
    </row>
    <row r="626" customFormat="false" ht="22.5" hidden="false" customHeight="true" outlineLevel="0" collapsed="false">
      <c r="A626" s="110"/>
      <c r="B626" s="110"/>
      <c r="C626" s="110"/>
      <c r="D626" s="122"/>
      <c r="E626" s="110"/>
      <c r="F626" s="128"/>
      <c r="G626" s="122"/>
      <c r="H626" s="131" t="b">
        <f aca="false">FALSE()</f>
        <v>0</v>
      </c>
      <c r="I626" s="131" t="b">
        <f aca="false">FALSE()</f>
        <v>0</v>
      </c>
      <c r="J626" s="130"/>
      <c r="K626" s="110"/>
      <c r="L626" s="83"/>
      <c r="M626" s="103"/>
      <c r="N626" s="103"/>
      <c r="O626" s="103"/>
      <c r="P626" s="103"/>
      <c r="Q626" s="103"/>
      <c r="R626" s="83"/>
      <c r="S626" s="103"/>
      <c r="T626" s="103"/>
      <c r="U626" s="103"/>
    </row>
    <row r="627" customFormat="false" ht="22.5" hidden="false" customHeight="true" outlineLevel="0" collapsed="false">
      <c r="A627" s="99"/>
      <c r="B627" s="99"/>
      <c r="C627" s="99"/>
      <c r="D627" s="121"/>
      <c r="E627" s="99"/>
      <c r="F627" s="124"/>
      <c r="G627" s="121"/>
      <c r="H627" s="132" t="b">
        <f aca="false">FALSE()</f>
        <v>0</v>
      </c>
      <c r="I627" s="132" t="b">
        <f aca="false">FALSE()</f>
        <v>0</v>
      </c>
      <c r="J627" s="126"/>
      <c r="K627" s="99"/>
      <c r="L627" s="83"/>
      <c r="M627" s="103"/>
      <c r="N627" s="103"/>
      <c r="O627" s="103"/>
      <c r="P627" s="103"/>
      <c r="Q627" s="103"/>
      <c r="R627" s="83"/>
      <c r="S627" s="103"/>
      <c r="T627" s="103"/>
      <c r="U627" s="103"/>
    </row>
    <row r="628" customFormat="false" ht="22.5" hidden="false" customHeight="true" outlineLevel="0" collapsed="false">
      <c r="A628" s="110"/>
      <c r="B628" s="110"/>
      <c r="C628" s="110"/>
      <c r="D628" s="122"/>
      <c r="E628" s="110"/>
      <c r="F628" s="128"/>
      <c r="G628" s="122"/>
      <c r="H628" s="131" t="b">
        <f aca="false">FALSE()</f>
        <v>0</v>
      </c>
      <c r="I628" s="131" t="b">
        <f aca="false">FALSE()</f>
        <v>0</v>
      </c>
      <c r="J628" s="130"/>
      <c r="K628" s="110"/>
      <c r="L628" s="83"/>
      <c r="M628" s="103"/>
      <c r="N628" s="103"/>
      <c r="O628" s="103"/>
      <c r="P628" s="103"/>
      <c r="Q628" s="103"/>
      <c r="R628" s="83"/>
      <c r="S628" s="103"/>
      <c r="T628" s="103"/>
      <c r="U628" s="103"/>
    </row>
    <row r="629" customFormat="false" ht="22.5" hidden="false" customHeight="true" outlineLevel="0" collapsed="false">
      <c r="A629" s="99"/>
      <c r="B629" s="99"/>
      <c r="C629" s="99"/>
      <c r="D629" s="121"/>
      <c r="E629" s="99"/>
      <c r="F629" s="124"/>
      <c r="G629" s="121"/>
      <c r="H629" s="132" t="b">
        <f aca="false">FALSE()</f>
        <v>0</v>
      </c>
      <c r="I629" s="132" t="b">
        <f aca="false">FALSE()</f>
        <v>0</v>
      </c>
      <c r="J629" s="126"/>
      <c r="K629" s="99"/>
      <c r="L629" s="83"/>
      <c r="M629" s="103"/>
      <c r="N629" s="103"/>
      <c r="O629" s="103"/>
      <c r="P629" s="103"/>
      <c r="Q629" s="103"/>
      <c r="R629" s="83"/>
      <c r="S629" s="103"/>
      <c r="T629" s="103"/>
      <c r="U629" s="103"/>
    </row>
    <row r="630" customFormat="false" ht="22.5" hidden="false" customHeight="true" outlineLevel="0" collapsed="false">
      <c r="A630" s="110"/>
      <c r="B630" s="110"/>
      <c r="C630" s="110"/>
      <c r="D630" s="122"/>
      <c r="E630" s="110"/>
      <c r="F630" s="128"/>
      <c r="G630" s="122"/>
      <c r="H630" s="131" t="b">
        <f aca="false">FALSE()</f>
        <v>0</v>
      </c>
      <c r="I630" s="131" t="b">
        <f aca="false">FALSE()</f>
        <v>0</v>
      </c>
      <c r="J630" s="130"/>
      <c r="K630" s="110"/>
      <c r="L630" s="83"/>
      <c r="M630" s="103"/>
      <c r="N630" s="103"/>
      <c r="O630" s="103"/>
      <c r="P630" s="103"/>
      <c r="Q630" s="103"/>
      <c r="R630" s="83"/>
      <c r="S630" s="103"/>
      <c r="T630" s="103"/>
      <c r="U630" s="103"/>
    </row>
    <row r="631" customFormat="false" ht="22.5" hidden="false" customHeight="true" outlineLevel="0" collapsed="false">
      <c r="A631" s="99"/>
      <c r="B631" s="99"/>
      <c r="C631" s="99"/>
      <c r="D631" s="121"/>
      <c r="E631" s="99"/>
      <c r="F631" s="124"/>
      <c r="G631" s="121"/>
      <c r="H631" s="132" t="b">
        <f aca="false">FALSE()</f>
        <v>0</v>
      </c>
      <c r="I631" s="132" t="b">
        <f aca="false">FALSE()</f>
        <v>0</v>
      </c>
      <c r="J631" s="126"/>
      <c r="K631" s="99"/>
      <c r="L631" s="83"/>
      <c r="M631" s="103"/>
      <c r="N631" s="103"/>
      <c r="O631" s="103"/>
      <c r="P631" s="103"/>
      <c r="Q631" s="103"/>
      <c r="R631" s="83"/>
      <c r="S631" s="103"/>
      <c r="T631" s="103"/>
      <c r="U631" s="103"/>
    </row>
    <row r="632" customFormat="false" ht="22.5" hidden="false" customHeight="true" outlineLevel="0" collapsed="false">
      <c r="A632" s="110"/>
      <c r="B632" s="110"/>
      <c r="C632" s="110"/>
      <c r="D632" s="122"/>
      <c r="E632" s="110"/>
      <c r="F632" s="128"/>
      <c r="G632" s="122"/>
      <c r="H632" s="131" t="b">
        <f aca="false">FALSE()</f>
        <v>0</v>
      </c>
      <c r="I632" s="131" t="b">
        <f aca="false">FALSE()</f>
        <v>0</v>
      </c>
      <c r="J632" s="130"/>
      <c r="K632" s="110"/>
      <c r="L632" s="83"/>
      <c r="M632" s="103"/>
      <c r="N632" s="103"/>
      <c r="O632" s="103"/>
      <c r="P632" s="103"/>
      <c r="Q632" s="103"/>
      <c r="R632" s="83"/>
      <c r="S632" s="103"/>
      <c r="T632" s="103"/>
      <c r="U632" s="103"/>
    </row>
    <row r="633" customFormat="false" ht="22.5" hidden="false" customHeight="true" outlineLevel="0" collapsed="false">
      <c r="A633" s="99"/>
      <c r="B633" s="99"/>
      <c r="C633" s="99"/>
      <c r="D633" s="121"/>
      <c r="E633" s="99"/>
      <c r="F633" s="124"/>
      <c r="G633" s="121"/>
      <c r="H633" s="132" t="b">
        <f aca="false">FALSE()</f>
        <v>0</v>
      </c>
      <c r="I633" s="132" t="b">
        <f aca="false">FALSE()</f>
        <v>0</v>
      </c>
      <c r="J633" s="126"/>
      <c r="K633" s="99"/>
      <c r="L633" s="83"/>
      <c r="M633" s="103"/>
      <c r="N633" s="103"/>
      <c r="O633" s="103"/>
      <c r="P633" s="103"/>
      <c r="Q633" s="103"/>
      <c r="R633" s="83"/>
      <c r="S633" s="103"/>
      <c r="T633" s="103"/>
      <c r="U633" s="103"/>
    </row>
    <row r="634" customFormat="false" ht="22.5" hidden="false" customHeight="true" outlineLevel="0" collapsed="false">
      <c r="A634" s="110"/>
      <c r="B634" s="110"/>
      <c r="C634" s="110"/>
      <c r="D634" s="122"/>
      <c r="E634" s="110"/>
      <c r="F634" s="128"/>
      <c r="G634" s="122"/>
      <c r="H634" s="131" t="b">
        <f aca="false">FALSE()</f>
        <v>0</v>
      </c>
      <c r="I634" s="131" t="b">
        <f aca="false">FALSE()</f>
        <v>0</v>
      </c>
      <c r="J634" s="130"/>
      <c r="K634" s="110"/>
      <c r="L634" s="83"/>
      <c r="M634" s="103"/>
      <c r="N634" s="103"/>
      <c r="O634" s="103"/>
      <c r="P634" s="103"/>
      <c r="Q634" s="103"/>
      <c r="R634" s="83"/>
      <c r="S634" s="103"/>
      <c r="T634" s="103"/>
      <c r="U634" s="103"/>
    </row>
    <row r="635" customFormat="false" ht="22.5" hidden="false" customHeight="true" outlineLevel="0" collapsed="false">
      <c r="A635" s="99"/>
      <c r="B635" s="99"/>
      <c r="C635" s="99"/>
      <c r="D635" s="121"/>
      <c r="E635" s="99"/>
      <c r="F635" s="124"/>
      <c r="G635" s="121"/>
      <c r="H635" s="132" t="b">
        <f aca="false">FALSE()</f>
        <v>0</v>
      </c>
      <c r="I635" s="132" t="b">
        <f aca="false">FALSE()</f>
        <v>0</v>
      </c>
      <c r="J635" s="126"/>
      <c r="K635" s="99"/>
      <c r="L635" s="83"/>
      <c r="M635" s="103"/>
      <c r="N635" s="103"/>
      <c r="O635" s="103"/>
      <c r="P635" s="103"/>
      <c r="Q635" s="103"/>
      <c r="R635" s="83"/>
      <c r="S635" s="103"/>
      <c r="T635" s="103"/>
      <c r="U635" s="103"/>
    </row>
    <row r="636" customFormat="false" ht="22.5" hidden="false" customHeight="true" outlineLevel="0" collapsed="false">
      <c r="A636" s="110"/>
      <c r="B636" s="110"/>
      <c r="C636" s="110"/>
      <c r="D636" s="122"/>
      <c r="E636" s="110"/>
      <c r="F636" s="128"/>
      <c r="G636" s="122"/>
      <c r="H636" s="131" t="b">
        <f aca="false">FALSE()</f>
        <v>0</v>
      </c>
      <c r="I636" s="131" t="b">
        <f aca="false">FALSE()</f>
        <v>0</v>
      </c>
      <c r="J636" s="130"/>
      <c r="K636" s="110"/>
      <c r="L636" s="83"/>
      <c r="M636" s="103"/>
      <c r="N636" s="103"/>
      <c r="O636" s="103"/>
      <c r="P636" s="103"/>
      <c r="Q636" s="103"/>
      <c r="R636" s="83"/>
      <c r="S636" s="103"/>
      <c r="T636" s="103"/>
      <c r="U636" s="103"/>
    </row>
    <row r="637" customFormat="false" ht="22.5" hidden="false" customHeight="true" outlineLevel="0" collapsed="false">
      <c r="A637" s="99"/>
      <c r="B637" s="99"/>
      <c r="C637" s="99"/>
      <c r="D637" s="121"/>
      <c r="E637" s="99"/>
      <c r="F637" s="124"/>
      <c r="G637" s="121"/>
      <c r="H637" s="132" t="b">
        <f aca="false">FALSE()</f>
        <v>0</v>
      </c>
      <c r="I637" s="132" t="b">
        <f aca="false">FALSE()</f>
        <v>0</v>
      </c>
      <c r="J637" s="126"/>
      <c r="K637" s="99"/>
      <c r="L637" s="83"/>
      <c r="M637" s="103"/>
      <c r="N637" s="103"/>
      <c r="O637" s="103"/>
      <c r="P637" s="103"/>
      <c r="Q637" s="103"/>
      <c r="R637" s="83"/>
      <c r="S637" s="103"/>
      <c r="T637" s="103"/>
      <c r="U637" s="103"/>
    </row>
    <row r="638" customFormat="false" ht="22.5" hidden="false" customHeight="true" outlineLevel="0" collapsed="false">
      <c r="A638" s="110"/>
      <c r="B638" s="110"/>
      <c r="C638" s="110"/>
      <c r="D638" s="122"/>
      <c r="E638" s="110"/>
      <c r="F638" s="128"/>
      <c r="G638" s="122"/>
      <c r="H638" s="131" t="b">
        <f aca="false">FALSE()</f>
        <v>0</v>
      </c>
      <c r="I638" s="131" t="b">
        <f aca="false">FALSE()</f>
        <v>0</v>
      </c>
      <c r="J638" s="130"/>
      <c r="K638" s="110"/>
      <c r="L638" s="83"/>
      <c r="M638" s="103"/>
      <c r="N638" s="103"/>
      <c r="O638" s="103"/>
      <c r="P638" s="103"/>
      <c r="Q638" s="103"/>
      <c r="R638" s="83"/>
      <c r="S638" s="103"/>
      <c r="T638" s="103"/>
      <c r="U638" s="103"/>
    </row>
    <row r="639" customFormat="false" ht="22.5" hidden="false" customHeight="true" outlineLevel="0" collapsed="false">
      <c r="A639" s="99"/>
      <c r="B639" s="99"/>
      <c r="C639" s="99"/>
      <c r="D639" s="121"/>
      <c r="E639" s="99"/>
      <c r="F639" s="124"/>
      <c r="G639" s="121"/>
      <c r="H639" s="132" t="b">
        <f aca="false">FALSE()</f>
        <v>0</v>
      </c>
      <c r="I639" s="132" t="b">
        <f aca="false">FALSE()</f>
        <v>0</v>
      </c>
      <c r="J639" s="126"/>
      <c r="K639" s="99"/>
      <c r="L639" s="83"/>
      <c r="M639" s="103"/>
      <c r="N639" s="103"/>
      <c r="O639" s="103"/>
      <c r="P639" s="103"/>
      <c r="Q639" s="103"/>
      <c r="R639" s="83"/>
      <c r="S639" s="103"/>
      <c r="T639" s="103"/>
      <c r="U639" s="103"/>
    </row>
    <row r="640" customFormat="false" ht="22.5" hidden="false" customHeight="true" outlineLevel="0" collapsed="false">
      <c r="A640" s="110"/>
      <c r="B640" s="110"/>
      <c r="C640" s="110"/>
      <c r="D640" s="122"/>
      <c r="E640" s="110"/>
      <c r="F640" s="128"/>
      <c r="G640" s="122"/>
      <c r="H640" s="131" t="b">
        <f aca="false">FALSE()</f>
        <v>0</v>
      </c>
      <c r="I640" s="131" t="b">
        <f aca="false">FALSE()</f>
        <v>0</v>
      </c>
      <c r="J640" s="130"/>
      <c r="K640" s="110"/>
      <c r="L640" s="83"/>
      <c r="M640" s="103"/>
      <c r="N640" s="103"/>
      <c r="O640" s="103"/>
      <c r="P640" s="103"/>
      <c r="Q640" s="103"/>
      <c r="R640" s="83"/>
      <c r="S640" s="103"/>
      <c r="T640" s="103"/>
      <c r="U640" s="103"/>
    </row>
    <row r="641" customFormat="false" ht="22.5" hidden="false" customHeight="true" outlineLevel="0" collapsed="false">
      <c r="A641" s="99"/>
      <c r="B641" s="99"/>
      <c r="C641" s="99"/>
      <c r="D641" s="121"/>
      <c r="E641" s="99"/>
      <c r="F641" s="124"/>
      <c r="G641" s="121"/>
      <c r="H641" s="132" t="b">
        <f aca="false">FALSE()</f>
        <v>0</v>
      </c>
      <c r="I641" s="132" t="b">
        <f aca="false">FALSE()</f>
        <v>0</v>
      </c>
      <c r="J641" s="126"/>
      <c r="K641" s="99"/>
      <c r="L641" s="83"/>
      <c r="M641" s="103"/>
      <c r="N641" s="103"/>
      <c r="O641" s="103"/>
      <c r="P641" s="103"/>
      <c r="Q641" s="103"/>
      <c r="R641" s="83"/>
      <c r="S641" s="103"/>
      <c r="T641" s="103"/>
      <c r="U641" s="103"/>
    </row>
    <row r="642" customFormat="false" ht="22.5" hidden="false" customHeight="true" outlineLevel="0" collapsed="false">
      <c r="A642" s="110"/>
      <c r="B642" s="110"/>
      <c r="C642" s="110"/>
      <c r="D642" s="122"/>
      <c r="E642" s="110"/>
      <c r="F642" s="128"/>
      <c r="G642" s="122"/>
      <c r="H642" s="131" t="b">
        <f aca="false">FALSE()</f>
        <v>0</v>
      </c>
      <c r="I642" s="131" t="b">
        <f aca="false">FALSE()</f>
        <v>0</v>
      </c>
      <c r="J642" s="130"/>
      <c r="K642" s="110"/>
      <c r="L642" s="83"/>
      <c r="M642" s="103"/>
      <c r="N642" s="103"/>
      <c r="O642" s="103"/>
      <c r="P642" s="103"/>
      <c r="Q642" s="103"/>
      <c r="R642" s="83"/>
      <c r="S642" s="103"/>
      <c r="T642" s="103"/>
      <c r="U642" s="103"/>
    </row>
    <row r="643" customFormat="false" ht="22.5" hidden="false" customHeight="true" outlineLevel="0" collapsed="false">
      <c r="A643" s="99"/>
      <c r="B643" s="99"/>
      <c r="C643" s="99"/>
      <c r="D643" s="121"/>
      <c r="E643" s="99"/>
      <c r="F643" s="124"/>
      <c r="G643" s="121"/>
      <c r="H643" s="132" t="b">
        <f aca="false">FALSE()</f>
        <v>0</v>
      </c>
      <c r="I643" s="132" t="b">
        <f aca="false">FALSE()</f>
        <v>0</v>
      </c>
      <c r="J643" s="126"/>
      <c r="K643" s="99"/>
      <c r="L643" s="83"/>
      <c r="M643" s="103"/>
      <c r="N643" s="103"/>
      <c r="O643" s="103"/>
      <c r="P643" s="103"/>
      <c r="Q643" s="103"/>
      <c r="R643" s="83"/>
      <c r="S643" s="103"/>
      <c r="T643" s="103"/>
      <c r="U643" s="103"/>
    </row>
    <row r="644" customFormat="false" ht="22.5" hidden="false" customHeight="true" outlineLevel="0" collapsed="false">
      <c r="A644" s="110"/>
      <c r="B644" s="110"/>
      <c r="C644" s="110"/>
      <c r="D644" s="122"/>
      <c r="E644" s="110"/>
      <c r="F644" s="128"/>
      <c r="G644" s="122"/>
      <c r="H644" s="131" t="b">
        <f aca="false">FALSE()</f>
        <v>0</v>
      </c>
      <c r="I644" s="131" t="b">
        <f aca="false">FALSE()</f>
        <v>0</v>
      </c>
      <c r="J644" s="130"/>
      <c r="K644" s="110"/>
      <c r="L644" s="83"/>
      <c r="M644" s="103"/>
      <c r="N644" s="103"/>
      <c r="O644" s="103"/>
      <c r="P644" s="103"/>
      <c r="Q644" s="103"/>
      <c r="R644" s="83"/>
      <c r="S644" s="103"/>
      <c r="T644" s="103"/>
      <c r="U644" s="103"/>
    </row>
    <row r="645" customFormat="false" ht="22.5" hidden="false" customHeight="true" outlineLevel="0" collapsed="false">
      <c r="A645" s="99"/>
      <c r="B645" s="99"/>
      <c r="C645" s="99"/>
      <c r="D645" s="121"/>
      <c r="E645" s="99"/>
      <c r="F645" s="124"/>
      <c r="G645" s="121"/>
      <c r="H645" s="132" t="b">
        <f aca="false">FALSE()</f>
        <v>0</v>
      </c>
      <c r="I645" s="132" t="b">
        <f aca="false">FALSE()</f>
        <v>0</v>
      </c>
      <c r="J645" s="126"/>
      <c r="K645" s="99"/>
      <c r="L645" s="83"/>
      <c r="M645" s="103"/>
      <c r="N645" s="103"/>
      <c r="O645" s="103"/>
      <c r="P645" s="103"/>
      <c r="Q645" s="103"/>
      <c r="R645" s="83"/>
      <c r="S645" s="103"/>
      <c r="T645" s="103"/>
      <c r="U645" s="103"/>
    </row>
    <row r="646" customFormat="false" ht="22.5" hidden="false" customHeight="true" outlineLevel="0" collapsed="false">
      <c r="A646" s="110"/>
      <c r="B646" s="110"/>
      <c r="C646" s="110"/>
      <c r="D646" s="122"/>
      <c r="E646" s="110"/>
      <c r="F646" s="128"/>
      <c r="G646" s="122"/>
      <c r="H646" s="131" t="b">
        <f aca="false">FALSE()</f>
        <v>0</v>
      </c>
      <c r="I646" s="131" t="b">
        <f aca="false">FALSE()</f>
        <v>0</v>
      </c>
      <c r="J646" s="130"/>
      <c r="K646" s="110"/>
      <c r="L646" s="83"/>
      <c r="M646" s="103"/>
      <c r="N646" s="103"/>
      <c r="O646" s="103"/>
      <c r="P646" s="103"/>
      <c r="Q646" s="103"/>
      <c r="R646" s="83"/>
      <c r="S646" s="103"/>
      <c r="T646" s="103"/>
      <c r="U646" s="103"/>
    </row>
    <row r="647" customFormat="false" ht="22.5" hidden="false" customHeight="true" outlineLevel="0" collapsed="false">
      <c r="A647" s="99"/>
      <c r="B647" s="99"/>
      <c r="C647" s="99"/>
      <c r="D647" s="121"/>
      <c r="E647" s="99"/>
      <c r="F647" s="124"/>
      <c r="G647" s="121"/>
      <c r="H647" s="132" t="b">
        <f aca="false">FALSE()</f>
        <v>0</v>
      </c>
      <c r="I647" s="132" t="b">
        <f aca="false">FALSE()</f>
        <v>0</v>
      </c>
      <c r="J647" s="126"/>
      <c r="K647" s="99"/>
      <c r="L647" s="83"/>
      <c r="M647" s="103"/>
      <c r="N647" s="103"/>
      <c r="O647" s="103"/>
      <c r="P647" s="103"/>
      <c r="Q647" s="103"/>
      <c r="R647" s="83"/>
      <c r="S647" s="103"/>
      <c r="T647" s="103"/>
      <c r="U647" s="103"/>
    </row>
    <row r="648" customFormat="false" ht="22.5" hidden="false" customHeight="true" outlineLevel="0" collapsed="false">
      <c r="A648" s="110"/>
      <c r="B648" s="110"/>
      <c r="C648" s="110"/>
      <c r="D648" s="122"/>
      <c r="E648" s="110"/>
      <c r="F648" s="128"/>
      <c r="G648" s="122"/>
      <c r="H648" s="131" t="b">
        <f aca="false">FALSE()</f>
        <v>0</v>
      </c>
      <c r="I648" s="131" t="b">
        <f aca="false">FALSE()</f>
        <v>0</v>
      </c>
      <c r="J648" s="130"/>
      <c r="K648" s="110"/>
      <c r="L648" s="83"/>
      <c r="M648" s="103"/>
      <c r="N648" s="103"/>
      <c r="O648" s="103"/>
      <c r="P648" s="103"/>
      <c r="Q648" s="103"/>
      <c r="R648" s="83"/>
      <c r="S648" s="103"/>
      <c r="T648" s="103"/>
      <c r="U648" s="103"/>
    </row>
    <row r="649" customFormat="false" ht="22.5" hidden="false" customHeight="true" outlineLevel="0" collapsed="false">
      <c r="A649" s="99"/>
      <c r="B649" s="99"/>
      <c r="C649" s="99"/>
      <c r="D649" s="121"/>
      <c r="E649" s="99"/>
      <c r="F649" s="124"/>
      <c r="G649" s="121"/>
      <c r="H649" s="132" t="b">
        <f aca="false">FALSE()</f>
        <v>0</v>
      </c>
      <c r="I649" s="132" t="b">
        <f aca="false">FALSE()</f>
        <v>0</v>
      </c>
      <c r="J649" s="126"/>
      <c r="K649" s="99"/>
      <c r="L649" s="83"/>
      <c r="M649" s="103"/>
      <c r="N649" s="103"/>
      <c r="O649" s="103"/>
      <c r="P649" s="103"/>
      <c r="Q649" s="103"/>
      <c r="R649" s="83"/>
      <c r="S649" s="103"/>
      <c r="T649" s="103"/>
      <c r="U649" s="103"/>
    </row>
    <row r="650" customFormat="false" ht="22.5" hidden="false" customHeight="true" outlineLevel="0" collapsed="false">
      <c r="A650" s="110"/>
      <c r="B650" s="110"/>
      <c r="C650" s="110"/>
      <c r="D650" s="122"/>
      <c r="E650" s="110"/>
      <c r="F650" s="128"/>
      <c r="G650" s="122"/>
      <c r="H650" s="131" t="b">
        <f aca="false">FALSE()</f>
        <v>0</v>
      </c>
      <c r="I650" s="131" t="b">
        <f aca="false">FALSE()</f>
        <v>0</v>
      </c>
      <c r="J650" s="130"/>
      <c r="K650" s="110"/>
      <c r="L650" s="83"/>
      <c r="M650" s="103"/>
      <c r="N650" s="103"/>
      <c r="O650" s="103"/>
      <c r="P650" s="103"/>
      <c r="Q650" s="103"/>
      <c r="R650" s="83"/>
      <c r="S650" s="103"/>
      <c r="T650" s="103"/>
      <c r="U650" s="103"/>
    </row>
    <row r="651" customFormat="false" ht="22.5" hidden="false" customHeight="true" outlineLevel="0" collapsed="false">
      <c r="A651" s="99"/>
      <c r="B651" s="99"/>
      <c r="C651" s="99"/>
      <c r="D651" s="121"/>
      <c r="E651" s="99"/>
      <c r="F651" s="124"/>
      <c r="G651" s="121"/>
      <c r="H651" s="132" t="b">
        <f aca="false">FALSE()</f>
        <v>0</v>
      </c>
      <c r="I651" s="132" t="b">
        <f aca="false">FALSE()</f>
        <v>0</v>
      </c>
      <c r="J651" s="126"/>
      <c r="K651" s="99"/>
      <c r="L651" s="83"/>
      <c r="M651" s="103"/>
      <c r="N651" s="103"/>
      <c r="O651" s="103"/>
      <c r="P651" s="103"/>
      <c r="Q651" s="103"/>
      <c r="R651" s="83"/>
      <c r="S651" s="103"/>
      <c r="T651" s="103"/>
      <c r="U651" s="103"/>
    </row>
    <row r="652" customFormat="false" ht="22.5" hidden="false" customHeight="true" outlineLevel="0" collapsed="false">
      <c r="A652" s="110"/>
      <c r="B652" s="110"/>
      <c r="C652" s="110"/>
      <c r="D652" s="122"/>
      <c r="E652" s="110"/>
      <c r="F652" s="128"/>
      <c r="G652" s="122"/>
      <c r="H652" s="131" t="b">
        <f aca="false">FALSE()</f>
        <v>0</v>
      </c>
      <c r="I652" s="131" t="b">
        <f aca="false">FALSE()</f>
        <v>0</v>
      </c>
      <c r="J652" s="130"/>
      <c r="K652" s="110"/>
      <c r="L652" s="83"/>
      <c r="M652" s="103"/>
      <c r="N652" s="103"/>
      <c r="O652" s="103"/>
      <c r="P652" s="103"/>
      <c r="Q652" s="103"/>
      <c r="R652" s="83"/>
      <c r="S652" s="103"/>
      <c r="T652" s="103"/>
      <c r="U652" s="103"/>
    </row>
    <row r="653" customFormat="false" ht="22.5" hidden="false" customHeight="true" outlineLevel="0" collapsed="false">
      <c r="A653" s="99"/>
      <c r="B653" s="99"/>
      <c r="C653" s="99"/>
      <c r="D653" s="121"/>
      <c r="E653" s="99"/>
      <c r="F653" s="124"/>
      <c r="G653" s="121"/>
      <c r="H653" s="132" t="b">
        <f aca="false">FALSE()</f>
        <v>0</v>
      </c>
      <c r="I653" s="132" t="b">
        <f aca="false">FALSE()</f>
        <v>0</v>
      </c>
      <c r="J653" s="126"/>
      <c r="K653" s="99"/>
      <c r="L653" s="83"/>
      <c r="M653" s="103"/>
      <c r="N653" s="103"/>
      <c r="O653" s="103"/>
      <c r="P653" s="103"/>
      <c r="Q653" s="103"/>
      <c r="R653" s="83"/>
      <c r="S653" s="103"/>
      <c r="T653" s="103"/>
      <c r="U653" s="103"/>
    </row>
    <row r="654" customFormat="false" ht="22.5" hidden="false" customHeight="true" outlineLevel="0" collapsed="false">
      <c r="A654" s="110"/>
      <c r="B654" s="110"/>
      <c r="C654" s="110"/>
      <c r="D654" s="122"/>
      <c r="E654" s="110"/>
      <c r="F654" s="128"/>
      <c r="G654" s="122"/>
      <c r="H654" s="131" t="b">
        <f aca="false">FALSE()</f>
        <v>0</v>
      </c>
      <c r="I654" s="131" t="b">
        <f aca="false">FALSE()</f>
        <v>0</v>
      </c>
      <c r="J654" s="130"/>
      <c r="K654" s="110"/>
      <c r="L654" s="83"/>
      <c r="M654" s="103"/>
      <c r="N654" s="103"/>
      <c r="O654" s="103"/>
      <c r="P654" s="103"/>
      <c r="Q654" s="103"/>
      <c r="R654" s="83"/>
      <c r="S654" s="103"/>
      <c r="T654" s="103"/>
      <c r="U654" s="103"/>
    </row>
    <row r="655" customFormat="false" ht="22.5" hidden="false" customHeight="true" outlineLevel="0" collapsed="false">
      <c r="A655" s="99"/>
      <c r="B655" s="99"/>
      <c r="C655" s="99"/>
      <c r="D655" s="121"/>
      <c r="E655" s="99"/>
      <c r="F655" s="124"/>
      <c r="G655" s="121"/>
      <c r="H655" s="132" t="b">
        <f aca="false">FALSE()</f>
        <v>0</v>
      </c>
      <c r="I655" s="132" t="b">
        <f aca="false">FALSE()</f>
        <v>0</v>
      </c>
      <c r="J655" s="126"/>
      <c r="K655" s="99"/>
      <c r="L655" s="83"/>
      <c r="M655" s="103"/>
      <c r="N655" s="103"/>
      <c r="O655" s="103"/>
      <c r="P655" s="103"/>
      <c r="Q655" s="103"/>
      <c r="R655" s="83"/>
      <c r="S655" s="103"/>
      <c r="T655" s="103"/>
      <c r="U655" s="103"/>
    </row>
    <row r="656" customFormat="false" ht="22.5" hidden="false" customHeight="true" outlineLevel="0" collapsed="false">
      <c r="A656" s="110"/>
      <c r="B656" s="110"/>
      <c r="C656" s="110"/>
      <c r="D656" s="122"/>
      <c r="E656" s="110"/>
      <c r="F656" s="128"/>
      <c r="G656" s="122"/>
      <c r="H656" s="131" t="b">
        <f aca="false">FALSE()</f>
        <v>0</v>
      </c>
      <c r="I656" s="131" t="b">
        <f aca="false">FALSE()</f>
        <v>0</v>
      </c>
      <c r="J656" s="130"/>
      <c r="K656" s="110"/>
      <c r="L656" s="83"/>
      <c r="M656" s="103"/>
      <c r="N656" s="103"/>
      <c r="O656" s="103"/>
      <c r="P656" s="103"/>
      <c r="Q656" s="103"/>
      <c r="R656" s="83"/>
      <c r="S656" s="103"/>
      <c r="T656" s="103"/>
      <c r="U656" s="103"/>
    </row>
    <row r="657" customFormat="false" ht="22.5" hidden="false" customHeight="true" outlineLevel="0" collapsed="false">
      <c r="A657" s="99"/>
      <c r="B657" s="99"/>
      <c r="C657" s="99"/>
      <c r="D657" s="121"/>
      <c r="E657" s="99"/>
      <c r="F657" s="124"/>
      <c r="G657" s="121"/>
      <c r="H657" s="132" t="b">
        <f aca="false">FALSE()</f>
        <v>0</v>
      </c>
      <c r="I657" s="132" t="b">
        <f aca="false">FALSE()</f>
        <v>0</v>
      </c>
      <c r="J657" s="126"/>
      <c r="K657" s="99"/>
      <c r="L657" s="83"/>
      <c r="M657" s="103"/>
      <c r="N657" s="103"/>
      <c r="O657" s="103"/>
      <c r="P657" s="103"/>
      <c r="Q657" s="103"/>
      <c r="R657" s="83"/>
      <c r="S657" s="103"/>
      <c r="T657" s="103"/>
      <c r="U657" s="103"/>
    </row>
    <row r="658" customFormat="false" ht="22.5" hidden="false" customHeight="true" outlineLevel="0" collapsed="false">
      <c r="A658" s="110"/>
      <c r="B658" s="110"/>
      <c r="C658" s="110"/>
      <c r="D658" s="122"/>
      <c r="E658" s="110"/>
      <c r="F658" s="128"/>
      <c r="G658" s="122"/>
      <c r="H658" s="131" t="b">
        <f aca="false">FALSE()</f>
        <v>0</v>
      </c>
      <c r="I658" s="131" t="b">
        <f aca="false">FALSE()</f>
        <v>0</v>
      </c>
      <c r="J658" s="130"/>
      <c r="K658" s="110"/>
      <c r="L658" s="83"/>
      <c r="M658" s="103"/>
      <c r="N658" s="103"/>
      <c r="O658" s="103"/>
      <c r="P658" s="103"/>
      <c r="Q658" s="103"/>
      <c r="R658" s="83"/>
      <c r="S658" s="103"/>
      <c r="T658" s="103"/>
      <c r="U658" s="103"/>
    </row>
    <row r="659" customFormat="false" ht="22.5" hidden="false" customHeight="true" outlineLevel="0" collapsed="false">
      <c r="A659" s="99"/>
      <c r="B659" s="99"/>
      <c r="C659" s="99"/>
      <c r="D659" s="121"/>
      <c r="E659" s="99"/>
      <c r="F659" s="124"/>
      <c r="G659" s="121"/>
      <c r="H659" s="132" t="b">
        <f aca="false">FALSE()</f>
        <v>0</v>
      </c>
      <c r="I659" s="132" t="b">
        <f aca="false">FALSE()</f>
        <v>0</v>
      </c>
      <c r="J659" s="126"/>
      <c r="K659" s="99"/>
      <c r="L659" s="83"/>
      <c r="M659" s="103"/>
      <c r="N659" s="103"/>
      <c r="O659" s="103"/>
      <c r="P659" s="103"/>
      <c r="Q659" s="103"/>
      <c r="R659" s="83"/>
      <c r="S659" s="103"/>
      <c r="T659" s="103"/>
      <c r="U659" s="103"/>
    </row>
    <row r="660" customFormat="false" ht="22.5" hidden="false" customHeight="true" outlineLevel="0" collapsed="false">
      <c r="A660" s="110"/>
      <c r="B660" s="110"/>
      <c r="C660" s="110"/>
      <c r="D660" s="122"/>
      <c r="E660" s="110"/>
      <c r="F660" s="128"/>
      <c r="G660" s="122"/>
      <c r="H660" s="131" t="b">
        <f aca="false">FALSE()</f>
        <v>0</v>
      </c>
      <c r="I660" s="131" t="b">
        <f aca="false">FALSE()</f>
        <v>0</v>
      </c>
      <c r="J660" s="130"/>
      <c r="K660" s="110"/>
      <c r="L660" s="83"/>
      <c r="M660" s="103"/>
      <c r="N660" s="103"/>
      <c r="O660" s="103"/>
      <c r="P660" s="103"/>
      <c r="Q660" s="103"/>
      <c r="R660" s="83"/>
      <c r="S660" s="103"/>
      <c r="T660" s="103"/>
      <c r="U660" s="103"/>
    </row>
    <row r="661" customFormat="false" ht="22.5" hidden="false" customHeight="true" outlineLevel="0" collapsed="false">
      <c r="A661" s="99"/>
      <c r="B661" s="99"/>
      <c r="C661" s="99"/>
      <c r="D661" s="121"/>
      <c r="E661" s="99"/>
      <c r="F661" s="124"/>
      <c r="G661" s="121"/>
      <c r="H661" s="132" t="b">
        <f aca="false">FALSE()</f>
        <v>0</v>
      </c>
      <c r="I661" s="132" t="b">
        <f aca="false">FALSE()</f>
        <v>0</v>
      </c>
      <c r="J661" s="126"/>
      <c r="K661" s="99"/>
      <c r="L661" s="83"/>
      <c r="M661" s="103"/>
      <c r="N661" s="103"/>
      <c r="O661" s="103"/>
      <c r="P661" s="103"/>
      <c r="Q661" s="103"/>
      <c r="R661" s="83"/>
      <c r="S661" s="103"/>
      <c r="T661" s="103"/>
      <c r="U661" s="103"/>
    </row>
    <row r="662" customFormat="false" ht="22.5" hidden="false" customHeight="true" outlineLevel="0" collapsed="false">
      <c r="A662" s="110"/>
      <c r="B662" s="110"/>
      <c r="C662" s="110"/>
      <c r="D662" s="122"/>
      <c r="E662" s="110"/>
      <c r="F662" s="128"/>
      <c r="G662" s="122"/>
      <c r="H662" s="131" t="b">
        <f aca="false">FALSE()</f>
        <v>0</v>
      </c>
      <c r="I662" s="131" t="b">
        <f aca="false">FALSE()</f>
        <v>0</v>
      </c>
      <c r="J662" s="130"/>
      <c r="K662" s="110"/>
      <c r="L662" s="83"/>
      <c r="M662" s="103"/>
      <c r="N662" s="103"/>
      <c r="O662" s="103"/>
      <c r="P662" s="103"/>
      <c r="Q662" s="103"/>
      <c r="R662" s="83"/>
      <c r="S662" s="103"/>
      <c r="T662" s="103"/>
      <c r="U662" s="103"/>
    </row>
    <row r="663" customFormat="false" ht="22.5" hidden="false" customHeight="true" outlineLevel="0" collapsed="false">
      <c r="A663" s="99"/>
      <c r="B663" s="99"/>
      <c r="C663" s="99"/>
      <c r="D663" s="121"/>
      <c r="E663" s="99"/>
      <c r="F663" s="124"/>
      <c r="G663" s="121"/>
      <c r="H663" s="132" t="b">
        <f aca="false">FALSE()</f>
        <v>0</v>
      </c>
      <c r="I663" s="132" t="b">
        <f aca="false">FALSE()</f>
        <v>0</v>
      </c>
      <c r="J663" s="126"/>
      <c r="K663" s="99"/>
      <c r="L663" s="83"/>
      <c r="M663" s="103"/>
      <c r="N663" s="103"/>
      <c r="O663" s="103"/>
      <c r="P663" s="103"/>
      <c r="Q663" s="103"/>
      <c r="R663" s="83"/>
      <c r="S663" s="103"/>
      <c r="T663" s="103"/>
      <c r="U663" s="103"/>
    </row>
    <row r="664" customFormat="false" ht="22.5" hidden="false" customHeight="true" outlineLevel="0" collapsed="false">
      <c r="A664" s="110"/>
      <c r="B664" s="110"/>
      <c r="C664" s="110"/>
      <c r="D664" s="122"/>
      <c r="E664" s="110"/>
      <c r="F664" s="128"/>
      <c r="G664" s="122"/>
      <c r="H664" s="131" t="b">
        <f aca="false">FALSE()</f>
        <v>0</v>
      </c>
      <c r="I664" s="131" t="b">
        <f aca="false">FALSE()</f>
        <v>0</v>
      </c>
      <c r="J664" s="130"/>
      <c r="K664" s="110"/>
      <c r="L664" s="83"/>
      <c r="M664" s="103"/>
      <c r="N664" s="103"/>
      <c r="O664" s="103"/>
      <c r="P664" s="103"/>
      <c r="Q664" s="103"/>
      <c r="R664" s="83"/>
      <c r="S664" s="103"/>
      <c r="T664" s="103"/>
      <c r="U664" s="103"/>
    </row>
    <row r="665" customFormat="false" ht="22.5" hidden="false" customHeight="true" outlineLevel="0" collapsed="false">
      <c r="A665" s="99"/>
      <c r="B665" s="99"/>
      <c r="C665" s="99"/>
      <c r="D665" s="121"/>
      <c r="E665" s="99"/>
      <c r="F665" s="124"/>
      <c r="G665" s="121"/>
      <c r="H665" s="132" t="b">
        <f aca="false">FALSE()</f>
        <v>0</v>
      </c>
      <c r="I665" s="132" t="b">
        <f aca="false">FALSE()</f>
        <v>0</v>
      </c>
      <c r="J665" s="126"/>
      <c r="K665" s="99"/>
      <c r="L665" s="83"/>
      <c r="M665" s="103"/>
      <c r="N665" s="103"/>
      <c r="O665" s="103"/>
      <c r="P665" s="103"/>
      <c r="Q665" s="103"/>
      <c r="R665" s="83"/>
      <c r="S665" s="103"/>
      <c r="T665" s="103"/>
      <c r="U665" s="103"/>
    </row>
    <row r="666" customFormat="false" ht="22.5" hidden="false" customHeight="true" outlineLevel="0" collapsed="false">
      <c r="A666" s="110"/>
      <c r="B666" s="110"/>
      <c r="C666" s="110"/>
      <c r="D666" s="122"/>
      <c r="E666" s="110"/>
      <c r="F666" s="128"/>
      <c r="G666" s="122"/>
      <c r="H666" s="131" t="b">
        <f aca="false">FALSE()</f>
        <v>0</v>
      </c>
      <c r="I666" s="131" t="b">
        <f aca="false">FALSE()</f>
        <v>0</v>
      </c>
      <c r="J666" s="130"/>
      <c r="K666" s="110"/>
      <c r="L666" s="83"/>
      <c r="M666" s="103"/>
      <c r="N666" s="103"/>
      <c r="O666" s="103"/>
      <c r="P666" s="103"/>
      <c r="Q666" s="103"/>
      <c r="R666" s="83"/>
      <c r="S666" s="103"/>
      <c r="T666" s="103"/>
      <c r="U666" s="103"/>
    </row>
    <row r="667" customFormat="false" ht="22.5" hidden="false" customHeight="true" outlineLevel="0" collapsed="false">
      <c r="A667" s="99"/>
      <c r="B667" s="99"/>
      <c r="C667" s="99"/>
      <c r="D667" s="121"/>
      <c r="E667" s="99"/>
      <c r="F667" s="124"/>
      <c r="G667" s="121"/>
      <c r="H667" s="132" t="b">
        <f aca="false">FALSE()</f>
        <v>0</v>
      </c>
      <c r="I667" s="132" t="b">
        <f aca="false">FALSE()</f>
        <v>0</v>
      </c>
      <c r="J667" s="126"/>
      <c r="K667" s="99"/>
      <c r="L667" s="83"/>
      <c r="M667" s="103"/>
      <c r="N667" s="103"/>
      <c r="O667" s="103"/>
      <c r="P667" s="103"/>
      <c r="Q667" s="103"/>
      <c r="R667" s="83"/>
      <c r="S667" s="103"/>
      <c r="T667" s="103"/>
      <c r="U667" s="103"/>
    </row>
    <row r="668" customFormat="false" ht="22.5" hidden="false" customHeight="true" outlineLevel="0" collapsed="false">
      <c r="A668" s="110"/>
      <c r="B668" s="110"/>
      <c r="C668" s="110"/>
      <c r="D668" s="122"/>
      <c r="E668" s="110"/>
      <c r="F668" s="128"/>
      <c r="G668" s="122"/>
      <c r="H668" s="131" t="b">
        <f aca="false">FALSE()</f>
        <v>0</v>
      </c>
      <c r="I668" s="131" t="b">
        <f aca="false">FALSE()</f>
        <v>0</v>
      </c>
      <c r="J668" s="130"/>
      <c r="K668" s="110"/>
      <c r="L668" s="83"/>
      <c r="M668" s="103"/>
      <c r="N668" s="103"/>
      <c r="O668" s="103"/>
      <c r="P668" s="103"/>
      <c r="Q668" s="103"/>
      <c r="R668" s="83"/>
      <c r="S668" s="103"/>
      <c r="T668" s="103"/>
      <c r="U668" s="103"/>
    </row>
    <row r="669" customFormat="false" ht="22.5" hidden="false" customHeight="true" outlineLevel="0" collapsed="false">
      <c r="A669" s="99"/>
      <c r="B669" s="99"/>
      <c r="C669" s="99"/>
      <c r="D669" s="121"/>
      <c r="E669" s="99"/>
      <c r="F669" s="124"/>
      <c r="G669" s="121"/>
      <c r="H669" s="132" t="b">
        <f aca="false">FALSE()</f>
        <v>0</v>
      </c>
      <c r="I669" s="132" t="b">
        <f aca="false">FALSE()</f>
        <v>0</v>
      </c>
      <c r="J669" s="126"/>
      <c r="K669" s="99"/>
      <c r="L669" s="83"/>
      <c r="M669" s="103"/>
      <c r="N669" s="103"/>
      <c r="O669" s="103"/>
      <c r="P669" s="103"/>
      <c r="Q669" s="103"/>
      <c r="R669" s="83"/>
      <c r="S669" s="103"/>
      <c r="T669" s="103"/>
      <c r="U669" s="103"/>
    </row>
    <row r="670" customFormat="false" ht="22.5" hidden="false" customHeight="true" outlineLevel="0" collapsed="false">
      <c r="A670" s="110"/>
      <c r="B670" s="110"/>
      <c r="C670" s="110"/>
      <c r="D670" s="122"/>
      <c r="E670" s="110"/>
      <c r="F670" s="128"/>
      <c r="G670" s="122"/>
      <c r="H670" s="131" t="b">
        <f aca="false">FALSE()</f>
        <v>0</v>
      </c>
      <c r="I670" s="131" t="b">
        <f aca="false">FALSE()</f>
        <v>0</v>
      </c>
      <c r="J670" s="130"/>
      <c r="K670" s="110"/>
      <c r="L670" s="83"/>
      <c r="M670" s="103"/>
      <c r="N670" s="103"/>
      <c r="O670" s="103"/>
      <c r="P670" s="103"/>
      <c r="Q670" s="103"/>
      <c r="R670" s="83"/>
      <c r="S670" s="103"/>
      <c r="T670" s="103"/>
      <c r="U670" s="103"/>
    </row>
    <row r="671" customFormat="false" ht="22.5" hidden="false" customHeight="true" outlineLevel="0" collapsed="false">
      <c r="A671" s="99"/>
      <c r="B671" s="99"/>
      <c r="C671" s="99"/>
      <c r="D671" s="121"/>
      <c r="E671" s="99"/>
      <c r="F671" s="124"/>
      <c r="G671" s="121"/>
      <c r="H671" s="132" t="b">
        <f aca="false">FALSE()</f>
        <v>0</v>
      </c>
      <c r="I671" s="132" t="b">
        <f aca="false">FALSE()</f>
        <v>0</v>
      </c>
      <c r="J671" s="126"/>
      <c r="K671" s="99"/>
      <c r="L671" s="83"/>
      <c r="M671" s="103"/>
      <c r="N671" s="103"/>
      <c r="O671" s="103"/>
      <c r="P671" s="103"/>
      <c r="Q671" s="103"/>
      <c r="R671" s="83"/>
      <c r="S671" s="103"/>
      <c r="T671" s="103"/>
      <c r="U671" s="103"/>
    </row>
    <row r="672" customFormat="false" ht="22.5" hidden="false" customHeight="true" outlineLevel="0" collapsed="false">
      <c r="A672" s="110"/>
      <c r="B672" s="110"/>
      <c r="C672" s="110"/>
      <c r="D672" s="122"/>
      <c r="E672" s="110"/>
      <c r="F672" s="128"/>
      <c r="G672" s="122"/>
      <c r="H672" s="131" t="b">
        <f aca="false">FALSE()</f>
        <v>0</v>
      </c>
      <c r="I672" s="131" t="b">
        <f aca="false">FALSE()</f>
        <v>0</v>
      </c>
      <c r="J672" s="130"/>
      <c r="K672" s="110"/>
      <c r="L672" s="83"/>
      <c r="M672" s="103"/>
      <c r="N672" s="103"/>
      <c r="O672" s="103"/>
      <c r="P672" s="103"/>
      <c r="Q672" s="103"/>
      <c r="R672" s="83"/>
      <c r="S672" s="103"/>
      <c r="T672" s="103"/>
      <c r="U672" s="103"/>
    </row>
    <row r="673" customFormat="false" ht="22.5" hidden="false" customHeight="true" outlineLevel="0" collapsed="false">
      <c r="A673" s="99"/>
      <c r="B673" s="99"/>
      <c r="C673" s="99"/>
      <c r="D673" s="121"/>
      <c r="E673" s="99"/>
      <c r="F673" s="124"/>
      <c r="G673" s="121"/>
      <c r="H673" s="132" t="b">
        <f aca="false">FALSE()</f>
        <v>0</v>
      </c>
      <c r="I673" s="132" t="b">
        <f aca="false">FALSE()</f>
        <v>0</v>
      </c>
      <c r="J673" s="126"/>
      <c r="K673" s="99"/>
      <c r="L673" s="83"/>
      <c r="M673" s="103"/>
      <c r="N673" s="103"/>
      <c r="O673" s="103"/>
      <c r="P673" s="103"/>
      <c r="Q673" s="103"/>
      <c r="R673" s="83"/>
      <c r="S673" s="103"/>
      <c r="T673" s="103"/>
      <c r="U673" s="103"/>
    </row>
    <row r="674" customFormat="false" ht="22.5" hidden="false" customHeight="true" outlineLevel="0" collapsed="false">
      <c r="A674" s="110"/>
      <c r="B674" s="110"/>
      <c r="C674" s="110"/>
      <c r="D674" s="122"/>
      <c r="E674" s="110"/>
      <c r="F674" s="128"/>
      <c r="G674" s="122"/>
      <c r="H674" s="131" t="b">
        <f aca="false">FALSE()</f>
        <v>0</v>
      </c>
      <c r="I674" s="131" t="b">
        <f aca="false">FALSE()</f>
        <v>0</v>
      </c>
      <c r="J674" s="130"/>
      <c r="K674" s="110"/>
      <c r="L674" s="83"/>
      <c r="M674" s="103"/>
      <c r="N674" s="103"/>
      <c r="O674" s="103"/>
      <c r="P674" s="103"/>
      <c r="Q674" s="103"/>
      <c r="R674" s="83"/>
      <c r="S674" s="103"/>
      <c r="T674" s="103"/>
      <c r="U674" s="103"/>
    </row>
    <row r="675" customFormat="false" ht="22.5" hidden="false" customHeight="true" outlineLevel="0" collapsed="false">
      <c r="A675" s="99"/>
      <c r="B675" s="99"/>
      <c r="C675" s="99"/>
      <c r="D675" s="121"/>
      <c r="E675" s="99"/>
      <c r="F675" s="124"/>
      <c r="G675" s="121"/>
      <c r="H675" s="132" t="b">
        <f aca="false">FALSE()</f>
        <v>0</v>
      </c>
      <c r="I675" s="132" t="b">
        <f aca="false">FALSE()</f>
        <v>0</v>
      </c>
      <c r="J675" s="126"/>
      <c r="K675" s="99"/>
      <c r="L675" s="83"/>
      <c r="M675" s="103"/>
      <c r="N675" s="103"/>
      <c r="O675" s="103"/>
      <c r="P675" s="103"/>
      <c r="Q675" s="103"/>
      <c r="R675" s="83"/>
      <c r="S675" s="103"/>
      <c r="T675" s="103"/>
      <c r="U675" s="103"/>
    </row>
    <row r="676" customFormat="false" ht="22.5" hidden="false" customHeight="true" outlineLevel="0" collapsed="false">
      <c r="A676" s="110"/>
      <c r="B676" s="110"/>
      <c r="C676" s="110"/>
      <c r="D676" s="122"/>
      <c r="E676" s="110"/>
      <c r="F676" s="128"/>
      <c r="G676" s="122"/>
      <c r="H676" s="131" t="b">
        <f aca="false">FALSE()</f>
        <v>0</v>
      </c>
      <c r="I676" s="131" t="b">
        <f aca="false">FALSE()</f>
        <v>0</v>
      </c>
      <c r="J676" s="130"/>
      <c r="K676" s="110"/>
      <c r="L676" s="83"/>
      <c r="M676" s="103"/>
      <c r="N676" s="103"/>
      <c r="O676" s="103"/>
      <c r="P676" s="103"/>
      <c r="Q676" s="103"/>
      <c r="R676" s="83"/>
      <c r="S676" s="103"/>
      <c r="T676" s="103"/>
      <c r="U676" s="103"/>
    </row>
    <row r="677" customFormat="false" ht="22.5" hidden="false" customHeight="true" outlineLevel="0" collapsed="false">
      <c r="A677" s="99"/>
      <c r="B677" s="99"/>
      <c r="C677" s="99"/>
      <c r="D677" s="121"/>
      <c r="E677" s="99"/>
      <c r="F677" s="124"/>
      <c r="G677" s="121"/>
      <c r="H677" s="132" t="b">
        <f aca="false">FALSE()</f>
        <v>0</v>
      </c>
      <c r="I677" s="132" t="b">
        <f aca="false">FALSE()</f>
        <v>0</v>
      </c>
      <c r="J677" s="126"/>
      <c r="K677" s="99"/>
      <c r="L677" s="83"/>
      <c r="M677" s="103"/>
      <c r="N677" s="103"/>
      <c r="O677" s="103"/>
      <c r="P677" s="103"/>
      <c r="Q677" s="103"/>
      <c r="R677" s="83"/>
      <c r="S677" s="103"/>
      <c r="T677" s="103"/>
      <c r="U677" s="103"/>
    </row>
    <row r="678" customFormat="false" ht="22.5" hidden="false" customHeight="true" outlineLevel="0" collapsed="false">
      <c r="A678" s="110"/>
      <c r="B678" s="110"/>
      <c r="C678" s="110"/>
      <c r="D678" s="122"/>
      <c r="E678" s="110"/>
      <c r="F678" s="128"/>
      <c r="G678" s="122"/>
      <c r="H678" s="131" t="b">
        <f aca="false">FALSE()</f>
        <v>0</v>
      </c>
      <c r="I678" s="131" t="b">
        <f aca="false">FALSE()</f>
        <v>0</v>
      </c>
      <c r="J678" s="130"/>
      <c r="K678" s="110"/>
      <c r="L678" s="83"/>
      <c r="M678" s="103"/>
      <c r="N678" s="103"/>
      <c r="O678" s="103"/>
      <c r="P678" s="103"/>
      <c r="Q678" s="103"/>
      <c r="R678" s="83"/>
      <c r="S678" s="103"/>
      <c r="T678" s="103"/>
      <c r="U678" s="103"/>
    </row>
    <row r="679" customFormat="false" ht="22.5" hidden="false" customHeight="true" outlineLevel="0" collapsed="false">
      <c r="A679" s="99"/>
      <c r="B679" s="99"/>
      <c r="C679" s="99"/>
      <c r="D679" s="121"/>
      <c r="E679" s="99"/>
      <c r="F679" s="124"/>
      <c r="G679" s="121"/>
      <c r="H679" s="132" t="b">
        <f aca="false">FALSE()</f>
        <v>0</v>
      </c>
      <c r="I679" s="132" t="b">
        <f aca="false">FALSE()</f>
        <v>0</v>
      </c>
      <c r="J679" s="126"/>
      <c r="K679" s="99"/>
      <c r="L679" s="83"/>
      <c r="M679" s="103"/>
      <c r="N679" s="103"/>
      <c r="O679" s="103"/>
      <c r="P679" s="103"/>
      <c r="Q679" s="103"/>
      <c r="R679" s="83"/>
      <c r="S679" s="103"/>
      <c r="T679" s="103"/>
      <c r="U679" s="103"/>
    </row>
    <row r="680" customFormat="false" ht="22.5" hidden="false" customHeight="true" outlineLevel="0" collapsed="false">
      <c r="A680" s="110"/>
      <c r="B680" s="110"/>
      <c r="C680" s="110"/>
      <c r="D680" s="122"/>
      <c r="E680" s="110"/>
      <c r="F680" s="128"/>
      <c r="G680" s="122"/>
      <c r="H680" s="131" t="b">
        <f aca="false">FALSE()</f>
        <v>0</v>
      </c>
      <c r="I680" s="131" t="b">
        <f aca="false">FALSE()</f>
        <v>0</v>
      </c>
      <c r="J680" s="130"/>
      <c r="K680" s="110"/>
      <c r="L680" s="83"/>
      <c r="M680" s="103"/>
      <c r="N680" s="103"/>
      <c r="O680" s="103"/>
      <c r="P680" s="103"/>
      <c r="Q680" s="103"/>
      <c r="R680" s="83"/>
      <c r="S680" s="103"/>
      <c r="T680" s="103"/>
      <c r="U680" s="103"/>
    </row>
    <row r="681" customFormat="false" ht="22.5" hidden="false" customHeight="true" outlineLevel="0" collapsed="false">
      <c r="A681" s="99"/>
      <c r="B681" s="99"/>
      <c r="C681" s="99"/>
      <c r="D681" s="121"/>
      <c r="E681" s="99"/>
      <c r="F681" s="124"/>
      <c r="G681" s="121"/>
      <c r="H681" s="132" t="b">
        <f aca="false">FALSE()</f>
        <v>0</v>
      </c>
      <c r="I681" s="132" t="b">
        <f aca="false">FALSE()</f>
        <v>0</v>
      </c>
      <c r="J681" s="126"/>
      <c r="K681" s="99"/>
      <c r="L681" s="83"/>
      <c r="M681" s="103"/>
      <c r="N681" s="103"/>
      <c r="O681" s="103"/>
      <c r="P681" s="103"/>
      <c r="Q681" s="103"/>
      <c r="R681" s="83"/>
      <c r="S681" s="103"/>
      <c r="T681" s="103"/>
      <c r="U681" s="103"/>
    </row>
    <row r="682" customFormat="false" ht="22.5" hidden="false" customHeight="true" outlineLevel="0" collapsed="false">
      <c r="A682" s="110"/>
      <c r="B682" s="110"/>
      <c r="C682" s="110"/>
      <c r="D682" s="122"/>
      <c r="E682" s="110"/>
      <c r="F682" s="128"/>
      <c r="G682" s="122"/>
      <c r="H682" s="131" t="b">
        <f aca="false">FALSE()</f>
        <v>0</v>
      </c>
      <c r="I682" s="131" t="b">
        <f aca="false">FALSE()</f>
        <v>0</v>
      </c>
      <c r="J682" s="130"/>
      <c r="K682" s="110"/>
      <c r="L682" s="83"/>
      <c r="M682" s="103"/>
      <c r="N682" s="103"/>
      <c r="O682" s="103"/>
      <c r="P682" s="103"/>
      <c r="Q682" s="103"/>
      <c r="R682" s="83"/>
      <c r="S682" s="103"/>
      <c r="T682" s="103"/>
      <c r="U682" s="103"/>
    </row>
    <row r="683" customFormat="false" ht="22.5" hidden="false" customHeight="true" outlineLevel="0" collapsed="false">
      <c r="A683" s="99"/>
      <c r="B683" s="99"/>
      <c r="C683" s="99"/>
      <c r="D683" s="121"/>
      <c r="E683" s="99"/>
      <c r="F683" s="124"/>
      <c r="G683" s="121"/>
      <c r="H683" s="132" t="b">
        <f aca="false">FALSE()</f>
        <v>0</v>
      </c>
      <c r="I683" s="132" t="b">
        <f aca="false">FALSE()</f>
        <v>0</v>
      </c>
      <c r="J683" s="126"/>
      <c r="K683" s="99"/>
      <c r="L683" s="83"/>
      <c r="M683" s="103"/>
      <c r="N683" s="103"/>
      <c r="O683" s="103"/>
      <c r="P683" s="103"/>
      <c r="Q683" s="103"/>
      <c r="R683" s="83"/>
      <c r="S683" s="103"/>
      <c r="T683" s="103"/>
      <c r="U683" s="103"/>
    </row>
    <row r="684" customFormat="false" ht="22.5" hidden="false" customHeight="true" outlineLevel="0" collapsed="false">
      <c r="A684" s="110"/>
      <c r="B684" s="110"/>
      <c r="C684" s="110"/>
      <c r="D684" s="122"/>
      <c r="E684" s="110"/>
      <c r="F684" s="128"/>
      <c r="G684" s="122"/>
      <c r="H684" s="131" t="b">
        <f aca="false">FALSE()</f>
        <v>0</v>
      </c>
      <c r="I684" s="131" t="b">
        <f aca="false">FALSE()</f>
        <v>0</v>
      </c>
      <c r="J684" s="130"/>
      <c r="K684" s="110"/>
      <c r="L684" s="83"/>
      <c r="M684" s="103"/>
      <c r="N684" s="103"/>
      <c r="O684" s="103"/>
      <c r="P684" s="103"/>
      <c r="Q684" s="103"/>
      <c r="R684" s="83"/>
      <c r="S684" s="103"/>
      <c r="T684" s="103"/>
      <c r="U684" s="103"/>
    </row>
    <row r="685" customFormat="false" ht="22.5" hidden="false" customHeight="true" outlineLevel="0" collapsed="false">
      <c r="A685" s="99"/>
      <c r="B685" s="99"/>
      <c r="C685" s="99"/>
      <c r="D685" s="121"/>
      <c r="E685" s="99"/>
      <c r="F685" s="124"/>
      <c r="G685" s="121"/>
      <c r="H685" s="132" t="b">
        <f aca="false">FALSE()</f>
        <v>0</v>
      </c>
      <c r="I685" s="132" t="b">
        <f aca="false">FALSE()</f>
        <v>0</v>
      </c>
      <c r="J685" s="126"/>
      <c r="K685" s="99"/>
      <c r="L685" s="83"/>
      <c r="M685" s="103"/>
      <c r="N685" s="103"/>
      <c r="O685" s="103"/>
      <c r="P685" s="103"/>
      <c r="Q685" s="103"/>
      <c r="R685" s="83"/>
      <c r="S685" s="103"/>
      <c r="T685" s="103"/>
      <c r="U685" s="103"/>
    </row>
    <row r="686" customFormat="false" ht="22.5" hidden="false" customHeight="true" outlineLevel="0" collapsed="false">
      <c r="A686" s="110"/>
      <c r="B686" s="110"/>
      <c r="C686" s="110"/>
      <c r="D686" s="122"/>
      <c r="E686" s="110"/>
      <c r="F686" s="128"/>
      <c r="G686" s="122"/>
      <c r="H686" s="131" t="b">
        <f aca="false">FALSE()</f>
        <v>0</v>
      </c>
      <c r="I686" s="131" t="b">
        <f aca="false">FALSE()</f>
        <v>0</v>
      </c>
      <c r="J686" s="130"/>
      <c r="K686" s="110"/>
      <c r="L686" s="83"/>
      <c r="M686" s="103"/>
      <c r="N686" s="103"/>
      <c r="O686" s="103"/>
      <c r="P686" s="103"/>
      <c r="Q686" s="103"/>
      <c r="R686" s="83"/>
      <c r="S686" s="103"/>
      <c r="T686" s="103"/>
      <c r="U686" s="103"/>
    </row>
    <row r="687" customFormat="false" ht="22.5" hidden="false" customHeight="true" outlineLevel="0" collapsed="false">
      <c r="A687" s="99"/>
      <c r="B687" s="99"/>
      <c r="C687" s="99"/>
      <c r="D687" s="121"/>
      <c r="E687" s="99"/>
      <c r="F687" s="124"/>
      <c r="G687" s="121"/>
      <c r="H687" s="132" t="b">
        <f aca="false">FALSE()</f>
        <v>0</v>
      </c>
      <c r="I687" s="132" t="b">
        <f aca="false">FALSE()</f>
        <v>0</v>
      </c>
      <c r="J687" s="126"/>
      <c r="K687" s="99"/>
      <c r="L687" s="83"/>
      <c r="M687" s="103"/>
      <c r="N687" s="103"/>
      <c r="O687" s="103"/>
      <c r="P687" s="103"/>
      <c r="Q687" s="103"/>
      <c r="R687" s="83"/>
      <c r="S687" s="103"/>
      <c r="T687" s="103"/>
      <c r="U687" s="103"/>
    </row>
    <row r="688" customFormat="false" ht="22.5" hidden="false" customHeight="true" outlineLevel="0" collapsed="false">
      <c r="A688" s="110"/>
      <c r="B688" s="110"/>
      <c r="C688" s="110"/>
      <c r="D688" s="122"/>
      <c r="E688" s="110"/>
      <c r="F688" s="128"/>
      <c r="G688" s="122"/>
      <c r="H688" s="131" t="b">
        <f aca="false">FALSE()</f>
        <v>0</v>
      </c>
      <c r="I688" s="131" t="b">
        <f aca="false">FALSE()</f>
        <v>0</v>
      </c>
      <c r="J688" s="130"/>
      <c r="K688" s="110"/>
      <c r="L688" s="83"/>
      <c r="M688" s="103"/>
      <c r="N688" s="103"/>
      <c r="O688" s="103"/>
      <c r="P688" s="103"/>
      <c r="Q688" s="103"/>
      <c r="R688" s="83"/>
      <c r="S688" s="103"/>
      <c r="T688" s="103"/>
      <c r="U688" s="103"/>
    </row>
    <row r="689" customFormat="false" ht="22.5" hidden="false" customHeight="true" outlineLevel="0" collapsed="false">
      <c r="A689" s="99"/>
      <c r="B689" s="99"/>
      <c r="C689" s="99"/>
      <c r="D689" s="121"/>
      <c r="E689" s="99"/>
      <c r="F689" s="124"/>
      <c r="G689" s="121"/>
      <c r="H689" s="132" t="b">
        <f aca="false">FALSE()</f>
        <v>0</v>
      </c>
      <c r="I689" s="132" t="b">
        <f aca="false">FALSE()</f>
        <v>0</v>
      </c>
      <c r="J689" s="126"/>
      <c r="K689" s="99"/>
      <c r="L689" s="83"/>
      <c r="M689" s="103"/>
      <c r="N689" s="103"/>
      <c r="O689" s="103"/>
      <c r="P689" s="103"/>
      <c r="Q689" s="103"/>
      <c r="R689" s="83"/>
      <c r="S689" s="103"/>
      <c r="T689" s="103"/>
      <c r="U689" s="103"/>
    </row>
    <row r="690" customFormat="false" ht="22.5" hidden="false" customHeight="true" outlineLevel="0" collapsed="false">
      <c r="A690" s="110"/>
      <c r="B690" s="110"/>
      <c r="C690" s="110"/>
      <c r="D690" s="122"/>
      <c r="E690" s="110"/>
      <c r="F690" s="128"/>
      <c r="G690" s="122"/>
      <c r="H690" s="131" t="b">
        <f aca="false">FALSE()</f>
        <v>0</v>
      </c>
      <c r="I690" s="131" t="b">
        <f aca="false">FALSE()</f>
        <v>0</v>
      </c>
      <c r="J690" s="130"/>
      <c r="K690" s="110"/>
      <c r="L690" s="83"/>
      <c r="M690" s="103"/>
      <c r="N690" s="103"/>
      <c r="O690" s="103"/>
      <c r="P690" s="103"/>
      <c r="Q690" s="103"/>
      <c r="R690" s="83"/>
      <c r="S690" s="103"/>
      <c r="T690" s="103"/>
      <c r="U690" s="103"/>
    </row>
    <row r="691" customFormat="false" ht="22.5" hidden="false" customHeight="true" outlineLevel="0" collapsed="false">
      <c r="A691" s="99"/>
      <c r="B691" s="99"/>
      <c r="C691" s="99"/>
      <c r="D691" s="121"/>
      <c r="E691" s="99"/>
      <c r="F691" s="124"/>
      <c r="G691" s="121"/>
      <c r="H691" s="132" t="b">
        <f aca="false">FALSE()</f>
        <v>0</v>
      </c>
      <c r="I691" s="132" t="b">
        <f aca="false">FALSE()</f>
        <v>0</v>
      </c>
      <c r="J691" s="126"/>
      <c r="K691" s="99"/>
      <c r="L691" s="83"/>
      <c r="M691" s="103"/>
      <c r="N691" s="103"/>
      <c r="O691" s="103"/>
      <c r="P691" s="103"/>
      <c r="Q691" s="103"/>
      <c r="R691" s="83"/>
      <c r="S691" s="103"/>
      <c r="T691" s="103"/>
      <c r="U691" s="103"/>
    </row>
    <row r="692" customFormat="false" ht="22.5" hidden="false" customHeight="true" outlineLevel="0" collapsed="false">
      <c r="A692" s="110"/>
      <c r="B692" s="110"/>
      <c r="C692" s="110"/>
      <c r="D692" s="122"/>
      <c r="E692" s="110"/>
      <c r="F692" s="128"/>
      <c r="G692" s="122"/>
      <c r="H692" s="131" t="b">
        <f aca="false">FALSE()</f>
        <v>0</v>
      </c>
      <c r="I692" s="131" t="b">
        <f aca="false">FALSE()</f>
        <v>0</v>
      </c>
      <c r="J692" s="130"/>
      <c r="K692" s="110"/>
      <c r="L692" s="83"/>
      <c r="M692" s="103"/>
      <c r="N692" s="103"/>
      <c r="O692" s="103"/>
      <c r="P692" s="103"/>
      <c r="Q692" s="103"/>
      <c r="R692" s="83"/>
      <c r="S692" s="103"/>
      <c r="T692" s="103"/>
      <c r="U692" s="103"/>
    </row>
    <row r="693" customFormat="false" ht="22.5" hidden="false" customHeight="true" outlineLevel="0" collapsed="false">
      <c r="A693" s="99"/>
      <c r="B693" s="99"/>
      <c r="C693" s="99"/>
      <c r="D693" s="121"/>
      <c r="E693" s="99"/>
      <c r="F693" s="124"/>
      <c r="G693" s="121"/>
      <c r="H693" s="132" t="b">
        <f aca="false">FALSE()</f>
        <v>0</v>
      </c>
      <c r="I693" s="132" t="b">
        <f aca="false">FALSE()</f>
        <v>0</v>
      </c>
      <c r="J693" s="126"/>
      <c r="K693" s="99"/>
      <c r="L693" s="83"/>
      <c r="M693" s="103"/>
      <c r="N693" s="103"/>
      <c r="O693" s="103"/>
      <c r="P693" s="103"/>
      <c r="Q693" s="103"/>
      <c r="R693" s="83"/>
      <c r="S693" s="103"/>
      <c r="T693" s="103"/>
      <c r="U693" s="103"/>
    </row>
    <row r="694" customFormat="false" ht="22.5" hidden="false" customHeight="true" outlineLevel="0" collapsed="false">
      <c r="A694" s="110"/>
      <c r="B694" s="110"/>
      <c r="C694" s="110"/>
      <c r="D694" s="122"/>
      <c r="E694" s="110"/>
      <c r="F694" s="128"/>
      <c r="G694" s="122"/>
      <c r="H694" s="131" t="b">
        <f aca="false">FALSE()</f>
        <v>0</v>
      </c>
      <c r="I694" s="131" t="b">
        <f aca="false">FALSE()</f>
        <v>0</v>
      </c>
      <c r="J694" s="130"/>
      <c r="K694" s="110"/>
      <c r="L694" s="83"/>
      <c r="M694" s="103"/>
      <c r="N694" s="103"/>
      <c r="O694" s="103"/>
      <c r="P694" s="103"/>
      <c r="Q694" s="103"/>
      <c r="R694" s="83"/>
      <c r="S694" s="103"/>
      <c r="T694" s="103"/>
      <c r="U694" s="103"/>
    </row>
    <row r="695" customFormat="false" ht="22.5" hidden="false" customHeight="true" outlineLevel="0" collapsed="false">
      <c r="A695" s="99"/>
      <c r="B695" s="99"/>
      <c r="C695" s="99"/>
      <c r="D695" s="121"/>
      <c r="E695" s="99"/>
      <c r="F695" s="124"/>
      <c r="G695" s="121"/>
      <c r="H695" s="132" t="b">
        <f aca="false">FALSE()</f>
        <v>0</v>
      </c>
      <c r="I695" s="132" t="b">
        <f aca="false">FALSE()</f>
        <v>0</v>
      </c>
      <c r="J695" s="126"/>
      <c r="K695" s="99"/>
      <c r="L695" s="83"/>
      <c r="M695" s="103"/>
      <c r="N695" s="103"/>
      <c r="O695" s="103"/>
      <c r="P695" s="103"/>
      <c r="Q695" s="103"/>
      <c r="R695" s="83"/>
      <c r="S695" s="103"/>
      <c r="T695" s="103"/>
      <c r="U695" s="103"/>
    </row>
    <row r="696" customFormat="false" ht="22.5" hidden="false" customHeight="true" outlineLevel="0" collapsed="false">
      <c r="A696" s="110"/>
      <c r="B696" s="110"/>
      <c r="C696" s="110"/>
      <c r="D696" s="122"/>
      <c r="E696" s="110"/>
      <c r="F696" s="128"/>
      <c r="G696" s="122"/>
      <c r="H696" s="131" t="b">
        <f aca="false">FALSE()</f>
        <v>0</v>
      </c>
      <c r="I696" s="131" t="b">
        <f aca="false">FALSE()</f>
        <v>0</v>
      </c>
      <c r="J696" s="130"/>
      <c r="K696" s="110"/>
      <c r="L696" s="83"/>
      <c r="M696" s="103"/>
      <c r="N696" s="103"/>
      <c r="O696" s="103"/>
      <c r="P696" s="103"/>
      <c r="Q696" s="103"/>
      <c r="R696" s="83"/>
      <c r="S696" s="103"/>
      <c r="T696" s="103"/>
      <c r="U696" s="103"/>
    </row>
    <row r="697" customFormat="false" ht="22.5" hidden="false" customHeight="true" outlineLevel="0" collapsed="false">
      <c r="A697" s="99"/>
      <c r="B697" s="99"/>
      <c r="C697" s="99"/>
      <c r="D697" s="121"/>
      <c r="E697" s="99"/>
      <c r="F697" s="124"/>
      <c r="G697" s="121"/>
      <c r="H697" s="132" t="b">
        <f aca="false">FALSE()</f>
        <v>0</v>
      </c>
      <c r="I697" s="132" t="b">
        <f aca="false">FALSE()</f>
        <v>0</v>
      </c>
      <c r="J697" s="126"/>
      <c r="K697" s="99"/>
      <c r="L697" s="83"/>
      <c r="M697" s="103"/>
      <c r="N697" s="103"/>
      <c r="O697" s="103"/>
      <c r="P697" s="103"/>
      <c r="Q697" s="103"/>
      <c r="R697" s="83"/>
      <c r="S697" s="103"/>
      <c r="T697" s="103"/>
      <c r="U697" s="103"/>
    </row>
    <row r="698" customFormat="false" ht="22.5" hidden="false" customHeight="true" outlineLevel="0" collapsed="false">
      <c r="A698" s="110"/>
      <c r="B698" s="110"/>
      <c r="C698" s="110"/>
      <c r="D698" s="122"/>
      <c r="E698" s="110"/>
      <c r="F698" s="128"/>
      <c r="G698" s="122"/>
      <c r="H698" s="131" t="b">
        <f aca="false">FALSE()</f>
        <v>0</v>
      </c>
      <c r="I698" s="131" t="b">
        <f aca="false">FALSE()</f>
        <v>0</v>
      </c>
      <c r="J698" s="130"/>
      <c r="K698" s="110"/>
      <c r="L698" s="83"/>
      <c r="M698" s="103"/>
      <c r="N698" s="103"/>
      <c r="O698" s="103"/>
      <c r="P698" s="103"/>
      <c r="Q698" s="103"/>
      <c r="R698" s="83"/>
      <c r="S698" s="103"/>
      <c r="T698" s="103"/>
      <c r="U698" s="103"/>
    </row>
    <row r="699" customFormat="false" ht="22.5" hidden="false" customHeight="true" outlineLevel="0" collapsed="false">
      <c r="A699" s="99"/>
      <c r="B699" s="99"/>
      <c r="C699" s="99"/>
      <c r="D699" s="121"/>
      <c r="E699" s="99"/>
      <c r="F699" s="124"/>
      <c r="G699" s="121"/>
      <c r="H699" s="132" t="b">
        <f aca="false">FALSE()</f>
        <v>0</v>
      </c>
      <c r="I699" s="132" t="b">
        <f aca="false">FALSE()</f>
        <v>0</v>
      </c>
      <c r="J699" s="126"/>
      <c r="K699" s="99"/>
      <c r="L699" s="83"/>
      <c r="M699" s="103"/>
      <c r="N699" s="103"/>
      <c r="O699" s="103"/>
      <c r="P699" s="103"/>
      <c r="Q699" s="103"/>
      <c r="R699" s="83"/>
      <c r="S699" s="103"/>
      <c r="T699" s="103"/>
      <c r="U699" s="103"/>
    </row>
    <row r="700" customFormat="false" ht="22.5" hidden="false" customHeight="true" outlineLevel="0" collapsed="false">
      <c r="A700" s="110"/>
      <c r="B700" s="110"/>
      <c r="C700" s="110"/>
      <c r="D700" s="122"/>
      <c r="E700" s="110"/>
      <c r="F700" s="128"/>
      <c r="G700" s="122"/>
      <c r="H700" s="131" t="b">
        <f aca="false">FALSE()</f>
        <v>0</v>
      </c>
      <c r="I700" s="131" t="b">
        <f aca="false">FALSE()</f>
        <v>0</v>
      </c>
      <c r="J700" s="130"/>
      <c r="K700" s="110"/>
      <c r="L700" s="83"/>
      <c r="M700" s="103"/>
      <c r="N700" s="103"/>
      <c r="O700" s="103"/>
      <c r="P700" s="103"/>
      <c r="Q700" s="103"/>
      <c r="R700" s="83"/>
      <c r="S700" s="103"/>
      <c r="T700" s="103"/>
      <c r="U700" s="103"/>
    </row>
    <row r="701" customFormat="false" ht="22.5" hidden="false" customHeight="true" outlineLevel="0" collapsed="false">
      <c r="A701" s="99"/>
      <c r="B701" s="99"/>
      <c r="C701" s="99"/>
      <c r="D701" s="121"/>
      <c r="E701" s="99"/>
      <c r="F701" s="124"/>
      <c r="G701" s="121"/>
      <c r="H701" s="132" t="b">
        <f aca="false">FALSE()</f>
        <v>0</v>
      </c>
      <c r="I701" s="132" t="b">
        <f aca="false">FALSE()</f>
        <v>0</v>
      </c>
      <c r="J701" s="126"/>
      <c r="K701" s="99"/>
      <c r="L701" s="83"/>
      <c r="M701" s="103"/>
      <c r="N701" s="103"/>
      <c r="O701" s="103"/>
      <c r="P701" s="103"/>
      <c r="Q701" s="103"/>
      <c r="R701" s="83"/>
      <c r="S701" s="103"/>
      <c r="T701" s="103"/>
      <c r="U701" s="103"/>
    </row>
    <row r="702" customFormat="false" ht="22.5" hidden="false" customHeight="true" outlineLevel="0" collapsed="false">
      <c r="A702" s="110"/>
      <c r="B702" s="110"/>
      <c r="C702" s="110"/>
      <c r="D702" s="122"/>
      <c r="E702" s="110"/>
      <c r="F702" s="128"/>
      <c r="G702" s="122"/>
      <c r="H702" s="131" t="b">
        <f aca="false">FALSE()</f>
        <v>0</v>
      </c>
      <c r="I702" s="131" t="b">
        <f aca="false">FALSE()</f>
        <v>0</v>
      </c>
      <c r="J702" s="130"/>
      <c r="K702" s="110"/>
      <c r="L702" s="83"/>
      <c r="M702" s="103"/>
      <c r="N702" s="103"/>
      <c r="O702" s="103"/>
      <c r="P702" s="103"/>
      <c r="Q702" s="103"/>
      <c r="R702" s="83"/>
      <c r="S702" s="103"/>
      <c r="T702" s="103"/>
      <c r="U702" s="103"/>
    </row>
    <row r="703" customFormat="false" ht="22.5" hidden="false" customHeight="true" outlineLevel="0" collapsed="false">
      <c r="A703" s="99"/>
      <c r="B703" s="99"/>
      <c r="C703" s="99"/>
      <c r="D703" s="121"/>
      <c r="E703" s="99"/>
      <c r="F703" s="124"/>
      <c r="G703" s="121"/>
      <c r="H703" s="132" t="b">
        <f aca="false">FALSE()</f>
        <v>0</v>
      </c>
      <c r="I703" s="132" t="b">
        <f aca="false">FALSE()</f>
        <v>0</v>
      </c>
      <c r="J703" s="126"/>
      <c r="K703" s="99"/>
      <c r="L703" s="83"/>
      <c r="M703" s="103"/>
      <c r="N703" s="103"/>
      <c r="O703" s="103"/>
      <c r="P703" s="103"/>
      <c r="Q703" s="103"/>
      <c r="R703" s="83"/>
      <c r="S703" s="103"/>
      <c r="T703" s="103"/>
      <c r="U703" s="103"/>
    </row>
    <row r="704" customFormat="false" ht="22.5" hidden="false" customHeight="true" outlineLevel="0" collapsed="false">
      <c r="A704" s="110"/>
      <c r="B704" s="110"/>
      <c r="C704" s="110"/>
      <c r="D704" s="122"/>
      <c r="E704" s="110"/>
      <c r="F704" s="128"/>
      <c r="G704" s="122"/>
      <c r="H704" s="131" t="b">
        <f aca="false">FALSE()</f>
        <v>0</v>
      </c>
      <c r="I704" s="131" t="b">
        <f aca="false">FALSE()</f>
        <v>0</v>
      </c>
      <c r="J704" s="130"/>
      <c r="K704" s="110"/>
      <c r="L704" s="83"/>
      <c r="M704" s="103"/>
      <c r="N704" s="103"/>
      <c r="O704" s="103"/>
      <c r="P704" s="103"/>
      <c r="Q704" s="103"/>
      <c r="R704" s="83"/>
      <c r="S704" s="103"/>
      <c r="T704" s="103"/>
      <c r="U704" s="103"/>
    </row>
    <row r="705" customFormat="false" ht="22.5" hidden="false" customHeight="true" outlineLevel="0" collapsed="false">
      <c r="A705" s="99"/>
      <c r="B705" s="99"/>
      <c r="C705" s="99"/>
      <c r="D705" s="121"/>
      <c r="E705" s="99"/>
      <c r="F705" s="124"/>
      <c r="G705" s="121"/>
      <c r="H705" s="132" t="b">
        <f aca="false">FALSE()</f>
        <v>0</v>
      </c>
      <c r="I705" s="132" t="b">
        <f aca="false">FALSE()</f>
        <v>0</v>
      </c>
      <c r="J705" s="126"/>
      <c r="K705" s="99"/>
      <c r="L705" s="83"/>
      <c r="M705" s="103"/>
      <c r="N705" s="103"/>
      <c r="O705" s="103"/>
      <c r="P705" s="103"/>
      <c r="Q705" s="103"/>
      <c r="R705" s="83"/>
      <c r="S705" s="103"/>
      <c r="T705" s="103"/>
      <c r="U705" s="103"/>
    </row>
    <row r="706" customFormat="false" ht="22.5" hidden="false" customHeight="true" outlineLevel="0" collapsed="false">
      <c r="A706" s="110"/>
      <c r="B706" s="110"/>
      <c r="C706" s="110"/>
      <c r="D706" s="122"/>
      <c r="E706" s="110"/>
      <c r="F706" s="128"/>
      <c r="G706" s="122"/>
      <c r="H706" s="131" t="b">
        <f aca="false">FALSE()</f>
        <v>0</v>
      </c>
      <c r="I706" s="131" t="b">
        <f aca="false">FALSE()</f>
        <v>0</v>
      </c>
      <c r="J706" s="130"/>
      <c r="K706" s="110"/>
      <c r="L706" s="83"/>
      <c r="M706" s="103"/>
      <c r="N706" s="103"/>
      <c r="O706" s="103"/>
      <c r="P706" s="103"/>
      <c r="Q706" s="103"/>
      <c r="R706" s="83"/>
      <c r="S706" s="103"/>
      <c r="T706" s="103"/>
      <c r="U706" s="103"/>
    </row>
    <row r="707" customFormat="false" ht="22.5" hidden="false" customHeight="true" outlineLevel="0" collapsed="false">
      <c r="A707" s="99"/>
      <c r="B707" s="99"/>
      <c r="C707" s="99"/>
      <c r="D707" s="121"/>
      <c r="E707" s="99"/>
      <c r="F707" s="124"/>
      <c r="G707" s="121"/>
      <c r="H707" s="132" t="b">
        <f aca="false">FALSE()</f>
        <v>0</v>
      </c>
      <c r="I707" s="132" t="b">
        <f aca="false">FALSE()</f>
        <v>0</v>
      </c>
      <c r="J707" s="126"/>
      <c r="K707" s="99"/>
      <c r="L707" s="83"/>
      <c r="M707" s="103"/>
      <c r="N707" s="103"/>
      <c r="O707" s="103"/>
      <c r="P707" s="103"/>
      <c r="Q707" s="103"/>
      <c r="R707" s="83"/>
      <c r="S707" s="103"/>
      <c r="T707" s="103"/>
      <c r="U707" s="103"/>
    </row>
    <row r="708" customFormat="false" ht="22.5" hidden="false" customHeight="true" outlineLevel="0" collapsed="false">
      <c r="A708" s="110"/>
      <c r="B708" s="110"/>
      <c r="C708" s="110"/>
      <c r="D708" s="122"/>
      <c r="E708" s="110"/>
      <c r="F708" s="128"/>
      <c r="G708" s="122"/>
      <c r="H708" s="131" t="b">
        <f aca="false">FALSE()</f>
        <v>0</v>
      </c>
      <c r="I708" s="131" t="b">
        <f aca="false">FALSE()</f>
        <v>0</v>
      </c>
      <c r="J708" s="130"/>
      <c r="K708" s="110"/>
      <c r="L708" s="83"/>
      <c r="M708" s="103"/>
      <c r="N708" s="103"/>
      <c r="O708" s="103"/>
      <c r="P708" s="103"/>
      <c r="Q708" s="103"/>
      <c r="R708" s="83"/>
      <c r="S708" s="103"/>
      <c r="T708" s="103"/>
      <c r="U708" s="103"/>
    </row>
    <row r="709" customFormat="false" ht="22.5" hidden="false" customHeight="true" outlineLevel="0" collapsed="false">
      <c r="A709" s="99"/>
      <c r="B709" s="99"/>
      <c r="C709" s="99"/>
      <c r="D709" s="121"/>
      <c r="E709" s="99"/>
      <c r="F709" s="124"/>
      <c r="G709" s="121"/>
      <c r="H709" s="132" t="b">
        <f aca="false">FALSE()</f>
        <v>0</v>
      </c>
      <c r="I709" s="132" t="b">
        <f aca="false">FALSE()</f>
        <v>0</v>
      </c>
      <c r="J709" s="126"/>
      <c r="K709" s="99"/>
      <c r="L709" s="83"/>
      <c r="M709" s="103"/>
      <c r="N709" s="103"/>
      <c r="O709" s="103"/>
      <c r="P709" s="103"/>
      <c r="Q709" s="103"/>
      <c r="R709" s="83"/>
      <c r="S709" s="103"/>
      <c r="T709" s="103"/>
      <c r="U709" s="103"/>
    </row>
    <row r="710" customFormat="false" ht="22.5" hidden="false" customHeight="true" outlineLevel="0" collapsed="false">
      <c r="A710" s="110"/>
      <c r="B710" s="110"/>
      <c r="C710" s="110"/>
      <c r="D710" s="122"/>
      <c r="E710" s="110"/>
      <c r="F710" s="128"/>
      <c r="G710" s="122"/>
      <c r="H710" s="131" t="b">
        <f aca="false">FALSE()</f>
        <v>0</v>
      </c>
      <c r="I710" s="131" t="b">
        <f aca="false">FALSE()</f>
        <v>0</v>
      </c>
      <c r="J710" s="130"/>
      <c r="K710" s="110"/>
      <c r="L710" s="83"/>
      <c r="M710" s="103"/>
      <c r="N710" s="103"/>
      <c r="O710" s="103"/>
      <c r="P710" s="103"/>
      <c r="Q710" s="103"/>
      <c r="R710" s="83"/>
      <c r="S710" s="103"/>
      <c r="T710" s="103"/>
      <c r="U710" s="103"/>
    </row>
    <row r="711" customFormat="false" ht="22.5" hidden="false" customHeight="true" outlineLevel="0" collapsed="false">
      <c r="A711" s="99"/>
      <c r="B711" s="99"/>
      <c r="C711" s="99"/>
      <c r="D711" s="121"/>
      <c r="E711" s="99"/>
      <c r="F711" s="124"/>
      <c r="G711" s="121"/>
      <c r="H711" s="132" t="b">
        <f aca="false">FALSE()</f>
        <v>0</v>
      </c>
      <c r="I711" s="132" t="b">
        <f aca="false">FALSE()</f>
        <v>0</v>
      </c>
      <c r="J711" s="126"/>
      <c r="K711" s="99"/>
      <c r="L711" s="83"/>
      <c r="M711" s="103"/>
      <c r="N711" s="103"/>
      <c r="O711" s="103"/>
      <c r="P711" s="103"/>
      <c r="Q711" s="103"/>
      <c r="R711" s="83"/>
      <c r="S711" s="103"/>
      <c r="T711" s="103"/>
      <c r="U711" s="103"/>
    </row>
    <row r="712" customFormat="false" ht="22.5" hidden="false" customHeight="true" outlineLevel="0" collapsed="false">
      <c r="A712" s="110"/>
      <c r="B712" s="110"/>
      <c r="C712" s="110"/>
      <c r="D712" s="122"/>
      <c r="E712" s="110"/>
      <c r="F712" s="128"/>
      <c r="G712" s="122"/>
      <c r="H712" s="131" t="b">
        <f aca="false">FALSE()</f>
        <v>0</v>
      </c>
      <c r="I712" s="131" t="b">
        <f aca="false">FALSE()</f>
        <v>0</v>
      </c>
      <c r="J712" s="130"/>
      <c r="K712" s="110"/>
      <c r="L712" s="83"/>
      <c r="M712" s="103"/>
      <c r="N712" s="103"/>
      <c r="O712" s="103"/>
      <c r="P712" s="103"/>
      <c r="Q712" s="103"/>
      <c r="R712" s="83"/>
      <c r="S712" s="103"/>
      <c r="T712" s="103"/>
      <c r="U712" s="103"/>
    </row>
    <row r="713" customFormat="false" ht="22.5" hidden="false" customHeight="true" outlineLevel="0" collapsed="false">
      <c r="A713" s="99"/>
      <c r="B713" s="99"/>
      <c r="C713" s="99"/>
      <c r="D713" s="121"/>
      <c r="E713" s="99"/>
      <c r="F713" s="124"/>
      <c r="G713" s="121"/>
      <c r="H713" s="132" t="b">
        <f aca="false">FALSE()</f>
        <v>0</v>
      </c>
      <c r="I713" s="132" t="b">
        <f aca="false">FALSE()</f>
        <v>0</v>
      </c>
      <c r="J713" s="126"/>
      <c r="K713" s="99"/>
      <c r="L713" s="83"/>
      <c r="M713" s="103"/>
      <c r="N713" s="103"/>
      <c r="O713" s="103"/>
      <c r="P713" s="103"/>
      <c r="Q713" s="103"/>
      <c r="R713" s="83"/>
      <c r="S713" s="103"/>
      <c r="T713" s="103"/>
      <c r="U713" s="103"/>
    </row>
    <row r="714" customFormat="false" ht="22.5" hidden="false" customHeight="true" outlineLevel="0" collapsed="false">
      <c r="A714" s="110"/>
      <c r="B714" s="110"/>
      <c r="C714" s="110"/>
      <c r="D714" s="122"/>
      <c r="E714" s="110"/>
      <c r="F714" s="128"/>
      <c r="G714" s="122"/>
      <c r="H714" s="131" t="b">
        <f aca="false">FALSE()</f>
        <v>0</v>
      </c>
      <c r="I714" s="131" t="b">
        <f aca="false">FALSE()</f>
        <v>0</v>
      </c>
      <c r="J714" s="130"/>
      <c r="K714" s="110"/>
      <c r="L714" s="83"/>
      <c r="M714" s="103"/>
      <c r="N714" s="103"/>
      <c r="O714" s="103"/>
      <c r="P714" s="103"/>
      <c r="Q714" s="103"/>
      <c r="R714" s="83"/>
      <c r="S714" s="103"/>
      <c r="T714" s="103"/>
      <c r="U714" s="103"/>
    </row>
    <row r="715" customFormat="false" ht="22.5" hidden="false" customHeight="true" outlineLevel="0" collapsed="false">
      <c r="A715" s="99"/>
      <c r="B715" s="99"/>
      <c r="C715" s="99"/>
      <c r="D715" s="121"/>
      <c r="E715" s="99"/>
      <c r="F715" s="124"/>
      <c r="G715" s="121"/>
      <c r="H715" s="132" t="b">
        <f aca="false">FALSE()</f>
        <v>0</v>
      </c>
      <c r="I715" s="132" t="b">
        <f aca="false">FALSE()</f>
        <v>0</v>
      </c>
      <c r="J715" s="126"/>
      <c r="K715" s="99"/>
      <c r="L715" s="83"/>
      <c r="M715" s="103"/>
      <c r="N715" s="103"/>
      <c r="O715" s="103"/>
      <c r="P715" s="103"/>
      <c r="Q715" s="103"/>
      <c r="R715" s="83"/>
      <c r="S715" s="103"/>
      <c r="T715" s="103"/>
      <c r="U715" s="103"/>
    </row>
    <row r="716" customFormat="false" ht="22.5" hidden="false" customHeight="true" outlineLevel="0" collapsed="false">
      <c r="A716" s="110"/>
      <c r="B716" s="110"/>
      <c r="C716" s="110"/>
      <c r="D716" s="122"/>
      <c r="E716" s="110"/>
      <c r="F716" s="128"/>
      <c r="G716" s="122"/>
      <c r="H716" s="131" t="b">
        <f aca="false">FALSE()</f>
        <v>0</v>
      </c>
      <c r="I716" s="131" t="b">
        <f aca="false">FALSE()</f>
        <v>0</v>
      </c>
      <c r="J716" s="130"/>
      <c r="K716" s="110"/>
      <c r="L716" s="83"/>
      <c r="M716" s="103"/>
      <c r="N716" s="103"/>
      <c r="O716" s="103"/>
      <c r="P716" s="103"/>
      <c r="Q716" s="103"/>
      <c r="R716" s="83"/>
      <c r="S716" s="103"/>
      <c r="T716" s="103"/>
      <c r="U716" s="103"/>
    </row>
    <row r="717" customFormat="false" ht="22.5" hidden="false" customHeight="true" outlineLevel="0" collapsed="false">
      <c r="A717" s="99"/>
      <c r="B717" s="99"/>
      <c r="C717" s="99"/>
      <c r="D717" s="121"/>
      <c r="E717" s="99"/>
      <c r="F717" s="124"/>
      <c r="G717" s="121"/>
      <c r="H717" s="132" t="b">
        <f aca="false">FALSE()</f>
        <v>0</v>
      </c>
      <c r="I717" s="132" t="b">
        <f aca="false">FALSE()</f>
        <v>0</v>
      </c>
      <c r="J717" s="126"/>
      <c r="K717" s="99"/>
      <c r="L717" s="83"/>
      <c r="M717" s="103"/>
      <c r="N717" s="103"/>
      <c r="O717" s="103"/>
      <c r="P717" s="103"/>
      <c r="Q717" s="103"/>
      <c r="R717" s="83"/>
      <c r="S717" s="103"/>
      <c r="T717" s="103"/>
      <c r="U717" s="103"/>
    </row>
    <row r="718" customFormat="false" ht="22.5" hidden="false" customHeight="true" outlineLevel="0" collapsed="false">
      <c r="A718" s="110"/>
      <c r="B718" s="110"/>
      <c r="C718" s="110"/>
      <c r="D718" s="122"/>
      <c r="E718" s="110"/>
      <c r="F718" s="128"/>
      <c r="G718" s="122"/>
      <c r="H718" s="131" t="b">
        <f aca="false">FALSE()</f>
        <v>0</v>
      </c>
      <c r="I718" s="131" t="b">
        <f aca="false">FALSE()</f>
        <v>0</v>
      </c>
      <c r="J718" s="130"/>
      <c r="K718" s="110"/>
      <c r="L718" s="83"/>
      <c r="M718" s="103"/>
      <c r="N718" s="103"/>
      <c r="O718" s="103"/>
      <c r="P718" s="103"/>
      <c r="Q718" s="103"/>
      <c r="R718" s="83"/>
      <c r="S718" s="103"/>
      <c r="T718" s="103"/>
      <c r="U718" s="103"/>
    </row>
    <row r="719" customFormat="false" ht="22.5" hidden="false" customHeight="true" outlineLevel="0" collapsed="false">
      <c r="A719" s="99"/>
      <c r="B719" s="99"/>
      <c r="C719" s="99"/>
      <c r="D719" s="121"/>
      <c r="E719" s="99"/>
      <c r="F719" s="124"/>
      <c r="G719" s="121"/>
      <c r="H719" s="132" t="b">
        <f aca="false">FALSE()</f>
        <v>0</v>
      </c>
      <c r="I719" s="132" t="b">
        <f aca="false">FALSE()</f>
        <v>0</v>
      </c>
      <c r="J719" s="126"/>
      <c r="K719" s="99"/>
      <c r="L719" s="83"/>
      <c r="M719" s="103"/>
      <c r="N719" s="103"/>
      <c r="O719" s="103"/>
      <c r="P719" s="103"/>
      <c r="Q719" s="103"/>
      <c r="R719" s="83"/>
      <c r="S719" s="103"/>
      <c r="T719" s="103"/>
      <c r="U719" s="103"/>
    </row>
    <row r="720" customFormat="false" ht="22.5" hidden="false" customHeight="true" outlineLevel="0" collapsed="false">
      <c r="A720" s="110"/>
      <c r="B720" s="110"/>
      <c r="C720" s="110"/>
      <c r="D720" s="122"/>
      <c r="E720" s="110"/>
      <c r="F720" s="128"/>
      <c r="G720" s="122"/>
      <c r="H720" s="131" t="b">
        <f aca="false">FALSE()</f>
        <v>0</v>
      </c>
      <c r="I720" s="131" t="b">
        <f aca="false">FALSE()</f>
        <v>0</v>
      </c>
      <c r="J720" s="130"/>
      <c r="K720" s="110"/>
      <c r="L720" s="83"/>
      <c r="M720" s="103"/>
      <c r="N720" s="103"/>
      <c r="O720" s="103"/>
      <c r="P720" s="103"/>
      <c r="Q720" s="103"/>
      <c r="R720" s="83"/>
      <c r="S720" s="103"/>
      <c r="T720" s="103"/>
      <c r="U720" s="103"/>
    </row>
    <row r="721" customFormat="false" ht="22.5" hidden="false" customHeight="true" outlineLevel="0" collapsed="false">
      <c r="A721" s="99"/>
      <c r="B721" s="99"/>
      <c r="C721" s="99"/>
      <c r="D721" s="121"/>
      <c r="E721" s="99"/>
      <c r="F721" s="124"/>
      <c r="G721" s="121"/>
      <c r="H721" s="132" t="b">
        <f aca="false">FALSE()</f>
        <v>0</v>
      </c>
      <c r="I721" s="132" t="b">
        <f aca="false">FALSE()</f>
        <v>0</v>
      </c>
      <c r="J721" s="126"/>
      <c r="K721" s="99"/>
      <c r="L721" s="83"/>
      <c r="M721" s="103"/>
      <c r="N721" s="103"/>
      <c r="O721" s="103"/>
      <c r="P721" s="103"/>
      <c r="Q721" s="103"/>
      <c r="R721" s="83"/>
      <c r="S721" s="103"/>
      <c r="T721" s="103"/>
      <c r="U721" s="103"/>
    </row>
    <row r="722" customFormat="false" ht="22.5" hidden="false" customHeight="true" outlineLevel="0" collapsed="false">
      <c r="A722" s="110"/>
      <c r="B722" s="110"/>
      <c r="C722" s="110"/>
      <c r="D722" s="122"/>
      <c r="E722" s="110"/>
      <c r="F722" s="128"/>
      <c r="G722" s="122"/>
      <c r="H722" s="131" t="b">
        <f aca="false">FALSE()</f>
        <v>0</v>
      </c>
      <c r="I722" s="131" t="b">
        <f aca="false">FALSE()</f>
        <v>0</v>
      </c>
      <c r="J722" s="130"/>
      <c r="K722" s="110"/>
      <c r="L722" s="83"/>
      <c r="M722" s="103"/>
      <c r="N722" s="103"/>
      <c r="O722" s="103"/>
      <c r="P722" s="103"/>
      <c r="Q722" s="103"/>
      <c r="R722" s="83"/>
      <c r="S722" s="103"/>
      <c r="T722" s="103"/>
      <c r="U722" s="103"/>
    </row>
    <row r="723" customFormat="false" ht="22.5" hidden="false" customHeight="true" outlineLevel="0" collapsed="false">
      <c r="A723" s="99"/>
      <c r="B723" s="99"/>
      <c r="C723" s="99"/>
      <c r="D723" s="121"/>
      <c r="E723" s="99"/>
      <c r="F723" s="124"/>
      <c r="G723" s="121"/>
      <c r="H723" s="132" t="b">
        <f aca="false">FALSE()</f>
        <v>0</v>
      </c>
      <c r="I723" s="132" t="b">
        <f aca="false">FALSE()</f>
        <v>0</v>
      </c>
      <c r="J723" s="126"/>
      <c r="K723" s="99"/>
      <c r="L723" s="83"/>
      <c r="M723" s="103"/>
      <c r="N723" s="103"/>
      <c r="O723" s="103"/>
      <c r="P723" s="103"/>
      <c r="Q723" s="103"/>
      <c r="R723" s="83"/>
      <c r="S723" s="103"/>
      <c r="T723" s="103"/>
      <c r="U723" s="103"/>
    </row>
    <row r="724" customFormat="false" ht="22.5" hidden="false" customHeight="true" outlineLevel="0" collapsed="false">
      <c r="A724" s="110"/>
      <c r="B724" s="110"/>
      <c r="C724" s="110"/>
      <c r="D724" s="122"/>
      <c r="E724" s="110"/>
      <c r="F724" s="128"/>
      <c r="G724" s="122"/>
      <c r="H724" s="131" t="b">
        <f aca="false">FALSE()</f>
        <v>0</v>
      </c>
      <c r="I724" s="131" t="b">
        <f aca="false">FALSE()</f>
        <v>0</v>
      </c>
      <c r="J724" s="130"/>
      <c r="K724" s="110"/>
      <c r="L724" s="83"/>
      <c r="M724" s="103"/>
      <c r="N724" s="103"/>
      <c r="O724" s="103"/>
      <c r="P724" s="103"/>
      <c r="Q724" s="103"/>
      <c r="R724" s="83"/>
      <c r="S724" s="103"/>
      <c r="T724" s="103"/>
      <c r="U724" s="103"/>
    </row>
    <row r="725" customFormat="false" ht="22.5" hidden="false" customHeight="true" outlineLevel="0" collapsed="false">
      <c r="A725" s="99"/>
      <c r="B725" s="99"/>
      <c r="C725" s="99"/>
      <c r="D725" s="121"/>
      <c r="E725" s="99"/>
      <c r="F725" s="124"/>
      <c r="G725" s="121"/>
      <c r="H725" s="132" t="b">
        <f aca="false">FALSE()</f>
        <v>0</v>
      </c>
      <c r="I725" s="132" t="b">
        <f aca="false">FALSE()</f>
        <v>0</v>
      </c>
      <c r="J725" s="126"/>
      <c r="K725" s="99"/>
      <c r="L725" s="83"/>
      <c r="M725" s="103"/>
      <c r="N725" s="103"/>
      <c r="O725" s="103"/>
      <c r="P725" s="103"/>
      <c r="Q725" s="103"/>
      <c r="R725" s="83"/>
      <c r="S725" s="103"/>
      <c r="T725" s="103"/>
      <c r="U725" s="103"/>
    </row>
    <row r="726" customFormat="false" ht="22.5" hidden="false" customHeight="true" outlineLevel="0" collapsed="false">
      <c r="A726" s="110"/>
      <c r="B726" s="110"/>
      <c r="C726" s="110"/>
      <c r="D726" s="122"/>
      <c r="E726" s="110"/>
      <c r="F726" s="128"/>
      <c r="G726" s="122"/>
      <c r="H726" s="131" t="b">
        <f aca="false">FALSE()</f>
        <v>0</v>
      </c>
      <c r="I726" s="131" t="b">
        <f aca="false">FALSE()</f>
        <v>0</v>
      </c>
      <c r="J726" s="130"/>
      <c r="K726" s="110"/>
      <c r="L726" s="83"/>
      <c r="M726" s="103"/>
      <c r="N726" s="103"/>
      <c r="O726" s="103"/>
      <c r="P726" s="103"/>
      <c r="Q726" s="103"/>
      <c r="R726" s="83"/>
      <c r="S726" s="103"/>
      <c r="T726" s="103"/>
      <c r="U726" s="103"/>
    </row>
    <row r="727" customFormat="false" ht="22.5" hidden="false" customHeight="true" outlineLevel="0" collapsed="false">
      <c r="A727" s="99"/>
      <c r="B727" s="99"/>
      <c r="C727" s="99"/>
      <c r="D727" s="121"/>
      <c r="E727" s="99"/>
      <c r="F727" s="124"/>
      <c r="G727" s="121"/>
      <c r="H727" s="132" t="b">
        <f aca="false">FALSE()</f>
        <v>0</v>
      </c>
      <c r="I727" s="132" t="b">
        <f aca="false">FALSE()</f>
        <v>0</v>
      </c>
      <c r="J727" s="126"/>
      <c r="K727" s="99"/>
      <c r="L727" s="83"/>
      <c r="M727" s="103"/>
      <c r="N727" s="103"/>
      <c r="O727" s="103"/>
      <c r="P727" s="103"/>
      <c r="Q727" s="103"/>
      <c r="R727" s="83"/>
      <c r="S727" s="103"/>
      <c r="T727" s="103"/>
      <c r="U727" s="103"/>
    </row>
    <row r="728" customFormat="false" ht="22.5" hidden="false" customHeight="true" outlineLevel="0" collapsed="false">
      <c r="A728" s="110"/>
      <c r="B728" s="110"/>
      <c r="C728" s="110"/>
      <c r="D728" s="122"/>
      <c r="E728" s="110"/>
      <c r="F728" s="128"/>
      <c r="G728" s="122"/>
      <c r="H728" s="131" t="b">
        <f aca="false">FALSE()</f>
        <v>0</v>
      </c>
      <c r="I728" s="131" t="b">
        <f aca="false">FALSE()</f>
        <v>0</v>
      </c>
      <c r="J728" s="130"/>
      <c r="K728" s="110"/>
      <c r="L728" s="83"/>
      <c r="M728" s="103"/>
      <c r="N728" s="103"/>
      <c r="O728" s="103"/>
      <c r="P728" s="103"/>
      <c r="Q728" s="103"/>
      <c r="R728" s="83"/>
      <c r="S728" s="103"/>
      <c r="T728" s="103"/>
      <c r="U728" s="103"/>
    </row>
    <row r="729" customFormat="false" ht="22.5" hidden="false" customHeight="true" outlineLevel="0" collapsed="false">
      <c r="A729" s="99"/>
      <c r="B729" s="99"/>
      <c r="C729" s="99"/>
      <c r="D729" s="121"/>
      <c r="E729" s="99"/>
      <c r="F729" s="124"/>
      <c r="G729" s="121"/>
      <c r="H729" s="132" t="b">
        <f aca="false">FALSE()</f>
        <v>0</v>
      </c>
      <c r="I729" s="132" t="b">
        <f aca="false">FALSE()</f>
        <v>0</v>
      </c>
      <c r="J729" s="126"/>
      <c r="K729" s="99"/>
      <c r="L729" s="83"/>
      <c r="M729" s="103"/>
      <c r="N729" s="103"/>
      <c r="O729" s="103"/>
      <c r="P729" s="103"/>
      <c r="Q729" s="103"/>
      <c r="R729" s="83"/>
      <c r="S729" s="103"/>
      <c r="T729" s="103"/>
      <c r="U729" s="103"/>
    </row>
    <row r="730" customFormat="false" ht="22.5" hidden="false" customHeight="true" outlineLevel="0" collapsed="false">
      <c r="A730" s="110"/>
      <c r="B730" s="110"/>
      <c r="C730" s="110"/>
      <c r="D730" s="122"/>
      <c r="E730" s="110"/>
      <c r="F730" s="128"/>
      <c r="G730" s="122"/>
      <c r="H730" s="131" t="b">
        <f aca="false">FALSE()</f>
        <v>0</v>
      </c>
      <c r="I730" s="131" t="b">
        <f aca="false">FALSE()</f>
        <v>0</v>
      </c>
      <c r="J730" s="130"/>
      <c r="K730" s="110"/>
      <c r="L730" s="83"/>
      <c r="M730" s="103"/>
      <c r="N730" s="103"/>
      <c r="O730" s="103"/>
      <c r="P730" s="103"/>
      <c r="Q730" s="103"/>
      <c r="R730" s="83"/>
      <c r="S730" s="103"/>
      <c r="T730" s="103"/>
      <c r="U730" s="103"/>
    </row>
    <row r="731" customFormat="false" ht="22.5" hidden="false" customHeight="true" outlineLevel="0" collapsed="false">
      <c r="A731" s="99"/>
      <c r="B731" s="99"/>
      <c r="C731" s="99"/>
      <c r="D731" s="121"/>
      <c r="E731" s="99"/>
      <c r="F731" s="124"/>
      <c r="G731" s="121"/>
      <c r="H731" s="132" t="b">
        <f aca="false">FALSE()</f>
        <v>0</v>
      </c>
      <c r="I731" s="132" t="b">
        <f aca="false">FALSE()</f>
        <v>0</v>
      </c>
      <c r="J731" s="126"/>
      <c r="K731" s="99"/>
      <c r="L731" s="83"/>
      <c r="M731" s="103"/>
      <c r="N731" s="103"/>
      <c r="O731" s="103"/>
      <c r="P731" s="103"/>
      <c r="Q731" s="103"/>
      <c r="R731" s="83"/>
      <c r="S731" s="103"/>
      <c r="T731" s="103"/>
      <c r="U731" s="103"/>
    </row>
    <row r="732" customFormat="false" ht="22.5" hidden="false" customHeight="true" outlineLevel="0" collapsed="false">
      <c r="A732" s="110"/>
      <c r="B732" s="110"/>
      <c r="C732" s="110"/>
      <c r="D732" s="122"/>
      <c r="E732" s="110"/>
      <c r="F732" s="128"/>
      <c r="G732" s="122"/>
      <c r="H732" s="131" t="b">
        <f aca="false">FALSE()</f>
        <v>0</v>
      </c>
      <c r="I732" s="131" t="b">
        <f aca="false">FALSE()</f>
        <v>0</v>
      </c>
      <c r="J732" s="130"/>
      <c r="K732" s="110"/>
      <c r="L732" s="83"/>
      <c r="M732" s="103"/>
      <c r="N732" s="103"/>
      <c r="O732" s="103"/>
      <c r="P732" s="103"/>
      <c r="Q732" s="103"/>
      <c r="R732" s="83"/>
      <c r="S732" s="103"/>
      <c r="T732" s="103"/>
      <c r="U732" s="103"/>
    </row>
    <row r="733" customFormat="false" ht="22.5" hidden="false" customHeight="true" outlineLevel="0" collapsed="false">
      <c r="A733" s="99"/>
      <c r="B733" s="99"/>
      <c r="C733" s="99"/>
      <c r="D733" s="121"/>
      <c r="E733" s="99"/>
      <c r="F733" s="124"/>
      <c r="G733" s="121"/>
      <c r="H733" s="132" t="b">
        <f aca="false">FALSE()</f>
        <v>0</v>
      </c>
      <c r="I733" s="132" t="b">
        <f aca="false">FALSE()</f>
        <v>0</v>
      </c>
      <c r="J733" s="126"/>
      <c r="K733" s="99"/>
      <c r="L733" s="83"/>
      <c r="M733" s="103"/>
      <c r="N733" s="103"/>
      <c r="O733" s="103"/>
      <c r="P733" s="103"/>
      <c r="Q733" s="103"/>
      <c r="R733" s="83"/>
      <c r="S733" s="103"/>
      <c r="T733" s="103"/>
      <c r="U733" s="103"/>
    </row>
    <row r="734" customFormat="false" ht="22.5" hidden="false" customHeight="true" outlineLevel="0" collapsed="false">
      <c r="A734" s="110"/>
      <c r="B734" s="110"/>
      <c r="C734" s="110"/>
      <c r="D734" s="122"/>
      <c r="E734" s="110"/>
      <c r="F734" s="128"/>
      <c r="G734" s="122"/>
      <c r="H734" s="131" t="b">
        <f aca="false">FALSE()</f>
        <v>0</v>
      </c>
      <c r="I734" s="131" t="b">
        <f aca="false">FALSE()</f>
        <v>0</v>
      </c>
      <c r="J734" s="130"/>
      <c r="K734" s="110"/>
      <c r="L734" s="83"/>
      <c r="M734" s="103"/>
      <c r="N734" s="103"/>
      <c r="O734" s="103"/>
      <c r="P734" s="103"/>
      <c r="Q734" s="103"/>
      <c r="R734" s="83"/>
      <c r="S734" s="103"/>
      <c r="T734" s="103"/>
      <c r="U734" s="103"/>
    </row>
    <row r="735" customFormat="false" ht="22.5" hidden="false" customHeight="true" outlineLevel="0" collapsed="false">
      <c r="A735" s="99"/>
      <c r="B735" s="99"/>
      <c r="C735" s="99"/>
      <c r="D735" s="121"/>
      <c r="E735" s="99"/>
      <c r="F735" s="124"/>
      <c r="G735" s="121"/>
      <c r="H735" s="132" t="b">
        <f aca="false">FALSE()</f>
        <v>0</v>
      </c>
      <c r="I735" s="132" t="b">
        <f aca="false">FALSE()</f>
        <v>0</v>
      </c>
      <c r="J735" s="126"/>
      <c r="K735" s="99"/>
      <c r="L735" s="83"/>
      <c r="M735" s="103"/>
      <c r="N735" s="103"/>
      <c r="O735" s="103"/>
      <c r="P735" s="103"/>
      <c r="Q735" s="103"/>
      <c r="R735" s="83"/>
      <c r="S735" s="103"/>
      <c r="T735" s="103"/>
      <c r="U735" s="103"/>
    </row>
    <row r="736" customFormat="false" ht="22.5" hidden="false" customHeight="true" outlineLevel="0" collapsed="false">
      <c r="A736" s="110"/>
      <c r="B736" s="110"/>
      <c r="C736" s="110"/>
      <c r="D736" s="122"/>
      <c r="E736" s="110"/>
      <c r="F736" s="128"/>
      <c r="G736" s="122"/>
      <c r="H736" s="131" t="b">
        <f aca="false">FALSE()</f>
        <v>0</v>
      </c>
      <c r="I736" s="131" t="b">
        <f aca="false">FALSE()</f>
        <v>0</v>
      </c>
      <c r="J736" s="130"/>
      <c r="K736" s="110"/>
      <c r="L736" s="83"/>
      <c r="M736" s="103"/>
      <c r="N736" s="103"/>
      <c r="O736" s="103"/>
      <c r="P736" s="103"/>
      <c r="Q736" s="103"/>
      <c r="R736" s="83"/>
      <c r="S736" s="103"/>
      <c r="T736" s="103"/>
      <c r="U736" s="103"/>
    </row>
    <row r="737" customFormat="false" ht="22.5" hidden="false" customHeight="true" outlineLevel="0" collapsed="false">
      <c r="A737" s="99"/>
      <c r="B737" s="99"/>
      <c r="C737" s="99"/>
      <c r="D737" s="121"/>
      <c r="E737" s="99"/>
      <c r="F737" s="124"/>
      <c r="G737" s="121"/>
      <c r="H737" s="132" t="b">
        <f aca="false">FALSE()</f>
        <v>0</v>
      </c>
      <c r="I737" s="132" t="b">
        <f aca="false">FALSE()</f>
        <v>0</v>
      </c>
      <c r="J737" s="126"/>
      <c r="K737" s="99"/>
      <c r="L737" s="83"/>
      <c r="M737" s="103"/>
      <c r="N737" s="103"/>
      <c r="O737" s="103"/>
      <c r="P737" s="103"/>
      <c r="Q737" s="103"/>
      <c r="R737" s="83"/>
      <c r="S737" s="103"/>
      <c r="T737" s="103"/>
      <c r="U737" s="103"/>
    </row>
    <row r="738" customFormat="false" ht="22.5" hidden="false" customHeight="true" outlineLevel="0" collapsed="false">
      <c r="A738" s="110"/>
      <c r="B738" s="110"/>
      <c r="C738" s="110"/>
      <c r="D738" s="122"/>
      <c r="E738" s="110"/>
      <c r="F738" s="128"/>
      <c r="G738" s="122"/>
      <c r="H738" s="131" t="b">
        <f aca="false">FALSE()</f>
        <v>0</v>
      </c>
      <c r="I738" s="131" t="b">
        <f aca="false">FALSE()</f>
        <v>0</v>
      </c>
      <c r="J738" s="130"/>
      <c r="K738" s="110"/>
      <c r="L738" s="83"/>
      <c r="M738" s="103"/>
      <c r="N738" s="103"/>
      <c r="O738" s="103"/>
      <c r="P738" s="103"/>
      <c r="Q738" s="103"/>
      <c r="R738" s="83"/>
      <c r="S738" s="103"/>
      <c r="T738" s="103"/>
      <c r="U738" s="103"/>
    </row>
    <row r="739" customFormat="false" ht="22.5" hidden="false" customHeight="true" outlineLevel="0" collapsed="false">
      <c r="A739" s="99"/>
      <c r="B739" s="99"/>
      <c r="C739" s="99"/>
      <c r="D739" s="121"/>
      <c r="E739" s="99"/>
      <c r="F739" s="124"/>
      <c r="G739" s="121"/>
      <c r="H739" s="132" t="b">
        <f aca="false">FALSE()</f>
        <v>0</v>
      </c>
      <c r="I739" s="132" t="b">
        <f aca="false">FALSE()</f>
        <v>0</v>
      </c>
      <c r="J739" s="126"/>
      <c r="K739" s="99"/>
      <c r="L739" s="83"/>
      <c r="M739" s="103"/>
      <c r="N739" s="103"/>
      <c r="O739" s="103"/>
      <c r="P739" s="103"/>
      <c r="Q739" s="103"/>
      <c r="R739" s="83"/>
      <c r="S739" s="103"/>
      <c r="T739" s="103"/>
      <c r="U739" s="103"/>
    </row>
    <row r="740" customFormat="false" ht="22.5" hidden="false" customHeight="true" outlineLevel="0" collapsed="false">
      <c r="A740" s="110"/>
      <c r="B740" s="110"/>
      <c r="C740" s="110"/>
      <c r="D740" s="122"/>
      <c r="E740" s="110"/>
      <c r="F740" s="128"/>
      <c r="G740" s="122"/>
      <c r="H740" s="131" t="b">
        <f aca="false">FALSE()</f>
        <v>0</v>
      </c>
      <c r="I740" s="131" t="b">
        <f aca="false">FALSE()</f>
        <v>0</v>
      </c>
      <c r="J740" s="130"/>
      <c r="K740" s="110"/>
      <c r="L740" s="83"/>
      <c r="M740" s="103"/>
      <c r="N740" s="103"/>
      <c r="O740" s="103"/>
      <c r="P740" s="103"/>
      <c r="Q740" s="103"/>
      <c r="R740" s="83"/>
      <c r="S740" s="103"/>
      <c r="T740" s="103"/>
      <c r="U740" s="103"/>
    </row>
    <row r="741" customFormat="false" ht="22.5" hidden="false" customHeight="true" outlineLevel="0" collapsed="false">
      <c r="A741" s="99"/>
      <c r="B741" s="99"/>
      <c r="C741" s="99"/>
      <c r="D741" s="121"/>
      <c r="E741" s="99"/>
      <c r="F741" s="124"/>
      <c r="G741" s="121"/>
      <c r="H741" s="132" t="b">
        <f aca="false">FALSE()</f>
        <v>0</v>
      </c>
      <c r="I741" s="132" t="b">
        <f aca="false">FALSE()</f>
        <v>0</v>
      </c>
      <c r="J741" s="126"/>
      <c r="K741" s="99"/>
      <c r="L741" s="83"/>
      <c r="M741" s="103"/>
      <c r="N741" s="103"/>
      <c r="O741" s="103"/>
      <c r="P741" s="103"/>
      <c r="Q741" s="103"/>
      <c r="R741" s="83"/>
      <c r="S741" s="103"/>
      <c r="T741" s="103"/>
      <c r="U741" s="103"/>
    </row>
    <row r="742" customFormat="false" ht="22.5" hidden="false" customHeight="true" outlineLevel="0" collapsed="false">
      <c r="A742" s="110"/>
      <c r="B742" s="110"/>
      <c r="C742" s="110"/>
      <c r="D742" s="122"/>
      <c r="E742" s="110"/>
      <c r="F742" s="128"/>
      <c r="G742" s="122"/>
      <c r="H742" s="131" t="b">
        <f aca="false">FALSE()</f>
        <v>0</v>
      </c>
      <c r="I742" s="131" t="b">
        <f aca="false">FALSE()</f>
        <v>0</v>
      </c>
      <c r="J742" s="130"/>
      <c r="K742" s="110"/>
      <c r="L742" s="83"/>
      <c r="M742" s="103"/>
      <c r="N742" s="103"/>
      <c r="O742" s="103"/>
      <c r="P742" s="103"/>
      <c r="Q742" s="103"/>
      <c r="R742" s="83"/>
      <c r="S742" s="103"/>
      <c r="T742" s="103"/>
      <c r="U742" s="103"/>
    </row>
    <row r="743" customFormat="false" ht="22.5" hidden="false" customHeight="true" outlineLevel="0" collapsed="false">
      <c r="A743" s="99"/>
      <c r="B743" s="99"/>
      <c r="C743" s="99"/>
      <c r="D743" s="121"/>
      <c r="E743" s="99"/>
      <c r="F743" s="124"/>
      <c r="G743" s="121"/>
      <c r="H743" s="132" t="b">
        <f aca="false">FALSE()</f>
        <v>0</v>
      </c>
      <c r="I743" s="132" t="b">
        <f aca="false">FALSE()</f>
        <v>0</v>
      </c>
      <c r="J743" s="126"/>
      <c r="K743" s="99"/>
      <c r="L743" s="83"/>
      <c r="M743" s="103"/>
      <c r="N743" s="103"/>
      <c r="O743" s="103"/>
      <c r="P743" s="103"/>
      <c r="Q743" s="103"/>
      <c r="R743" s="83"/>
      <c r="S743" s="103"/>
      <c r="T743" s="103"/>
      <c r="U743" s="103"/>
    </row>
    <row r="744" customFormat="false" ht="22.5" hidden="false" customHeight="true" outlineLevel="0" collapsed="false">
      <c r="A744" s="110"/>
      <c r="B744" s="110"/>
      <c r="C744" s="110"/>
      <c r="D744" s="122"/>
      <c r="E744" s="110"/>
      <c r="F744" s="128"/>
      <c r="G744" s="122"/>
      <c r="H744" s="131" t="b">
        <f aca="false">FALSE()</f>
        <v>0</v>
      </c>
      <c r="I744" s="131" t="b">
        <f aca="false">FALSE()</f>
        <v>0</v>
      </c>
      <c r="J744" s="130"/>
      <c r="K744" s="110"/>
      <c r="L744" s="83"/>
      <c r="M744" s="103"/>
      <c r="N744" s="103"/>
      <c r="O744" s="103"/>
      <c r="P744" s="103"/>
      <c r="Q744" s="103"/>
      <c r="R744" s="83"/>
      <c r="S744" s="103"/>
      <c r="T744" s="103"/>
      <c r="U744" s="103"/>
    </row>
    <row r="745" customFormat="false" ht="22.5" hidden="false" customHeight="true" outlineLevel="0" collapsed="false">
      <c r="A745" s="99"/>
      <c r="B745" s="99"/>
      <c r="C745" s="99"/>
      <c r="D745" s="121"/>
      <c r="E745" s="99"/>
      <c r="F745" s="124"/>
      <c r="G745" s="121"/>
      <c r="H745" s="132" t="b">
        <f aca="false">FALSE()</f>
        <v>0</v>
      </c>
      <c r="I745" s="132" t="b">
        <f aca="false">FALSE()</f>
        <v>0</v>
      </c>
      <c r="J745" s="126"/>
      <c r="K745" s="99"/>
      <c r="L745" s="83"/>
      <c r="M745" s="103"/>
      <c r="N745" s="103"/>
      <c r="O745" s="103"/>
      <c r="P745" s="103"/>
      <c r="Q745" s="103"/>
      <c r="R745" s="83"/>
      <c r="S745" s="103"/>
      <c r="T745" s="103"/>
      <c r="U745" s="103"/>
    </row>
    <row r="746" customFormat="false" ht="22.5" hidden="false" customHeight="true" outlineLevel="0" collapsed="false">
      <c r="A746" s="110"/>
      <c r="B746" s="110"/>
      <c r="C746" s="110"/>
      <c r="D746" s="122"/>
      <c r="E746" s="110"/>
      <c r="F746" s="128"/>
      <c r="G746" s="122"/>
      <c r="H746" s="131" t="b">
        <f aca="false">FALSE()</f>
        <v>0</v>
      </c>
      <c r="I746" s="131" t="b">
        <f aca="false">FALSE()</f>
        <v>0</v>
      </c>
      <c r="J746" s="130"/>
      <c r="K746" s="110"/>
      <c r="L746" s="83"/>
      <c r="M746" s="103"/>
      <c r="N746" s="103"/>
      <c r="O746" s="103"/>
      <c r="P746" s="103"/>
      <c r="Q746" s="103"/>
      <c r="R746" s="83"/>
      <c r="S746" s="103"/>
      <c r="T746" s="103"/>
      <c r="U746" s="103"/>
    </row>
    <row r="747" customFormat="false" ht="22.5" hidden="false" customHeight="true" outlineLevel="0" collapsed="false">
      <c r="A747" s="99"/>
      <c r="B747" s="99"/>
      <c r="C747" s="99"/>
      <c r="D747" s="121"/>
      <c r="E747" s="99"/>
      <c r="F747" s="124"/>
      <c r="G747" s="121"/>
      <c r="H747" s="132" t="b">
        <f aca="false">FALSE()</f>
        <v>0</v>
      </c>
      <c r="I747" s="132" t="b">
        <f aca="false">FALSE()</f>
        <v>0</v>
      </c>
      <c r="J747" s="126"/>
      <c r="K747" s="99"/>
      <c r="L747" s="83"/>
      <c r="M747" s="103"/>
      <c r="N747" s="103"/>
      <c r="O747" s="103"/>
      <c r="P747" s="103"/>
      <c r="Q747" s="103"/>
      <c r="R747" s="83"/>
      <c r="S747" s="103"/>
      <c r="T747" s="103"/>
      <c r="U747" s="103"/>
    </row>
    <row r="748" customFormat="false" ht="22.5" hidden="false" customHeight="true" outlineLevel="0" collapsed="false">
      <c r="A748" s="110"/>
      <c r="B748" s="110"/>
      <c r="C748" s="110"/>
      <c r="D748" s="122"/>
      <c r="E748" s="110"/>
      <c r="F748" s="128"/>
      <c r="G748" s="122"/>
      <c r="H748" s="131" t="b">
        <f aca="false">FALSE()</f>
        <v>0</v>
      </c>
      <c r="I748" s="131" t="b">
        <f aca="false">FALSE()</f>
        <v>0</v>
      </c>
      <c r="J748" s="130"/>
      <c r="K748" s="110"/>
      <c r="L748" s="83"/>
      <c r="M748" s="103"/>
      <c r="N748" s="103"/>
      <c r="O748" s="103"/>
      <c r="P748" s="103"/>
      <c r="Q748" s="103"/>
      <c r="R748" s="83"/>
      <c r="S748" s="103"/>
      <c r="T748" s="103"/>
      <c r="U748" s="103"/>
    </row>
    <row r="749" customFormat="false" ht="22.5" hidden="false" customHeight="true" outlineLevel="0" collapsed="false">
      <c r="A749" s="99"/>
      <c r="B749" s="99"/>
      <c r="C749" s="99"/>
      <c r="D749" s="121"/>
      <c r="E749" s="99"/>
      <c r="F749" s="124"/>
      <c r="G749" s="121"/>
      <c r="H749" s="132" t="b">
        <f aca="false">FALSE()</f>
        <v>0</v>
      </c>
      <c r="I749" s="132" t="b">
        <f aca="false">FALSE()</f>
        <v>0</v>
      </c>
      <c r="J749" s="126"/>
      <c r="K749" s="99"/>
      <c r="L749" s="83"/>
      <c r="M749" s="103"/>
      <c r="N749" s="103"/>
      <c r="O749" s="103"/>
      <c r="P749" s="103"/>
      <c r="Q749" s="103"/>
      <c r="R749" s="83"/>
      <c r="S749" s="103"/>
      <c r="T749" s="103"/>
      <c r="U749" s="103"/>
    </row>
    <row r="750" customFormat="false" ht="22.5" hidden="false" customHeight="true" outlineLevel="0" collapsed="false">
      <c r="A750" s="110"/>
      <c r="B750" s="110"/>
      <c r="C750" s="110"/>
      <c r="D750" s="122"/>
      <c r="E750" s="110"/>
      <c r="F750" s="128"/>
      <c r="G750" s="122"/>
      <c r="H750" s="131" t="b">
        <f aca="false">FALSE()</f>
        <v>0</v>
      </c>
      <c r="I750" s="131" t="b">
        <f aca="false">FALSE()</f>
        <v>0</v>
      </c>
      <c r="J750" s="130"/>
      <c r="K750" s="110"/>
      <c r="L750" s="83"/>
      <c r="M750" s="103"/>
      <c r="N750" s="103"/>
      <c r="O750" s="103"/>
      <c r="P750" s="103"/>
      <c r="Q750" s="103"/>
      <c r="R750" s="83"/>
      <c r="S750" s="103"/>
      <c r="T750" s="103"/>
      <c r="U750" s="103"/>
    </row>
    <row r="751" customFormat="false" ht="22.5" hidden="false" customHeight="true" outlineLevel="0" collapsed="false">
      <c r="A751" s="99"/>
      <c r="B751" s="99"/>
      <c r="C751" s="99"/>
      <c r="D751" s="121"/>
      <c r="E751" s="99"/>
      <c r="F751" s="124"/>
      <c r="G751" s="121"/>
      <c r="H751" s="132" t="b">
        <f aca="false">FALSE()</f>
        <v>0</v>
      </c>
      <c r="I751" s="132" t="b">
        <f aca="false">FALSE()</f>
        <v>0</v>
      </c>
      <c r="J751" s="126"/>
      <c r="K751" s="99"/>
      <c r="L751" s="83"/>
      <c r="M751" s="103"/>
      <c r="N751" s="103"/>
      <c r="O751" s="103"/>
      <c r="P751" s="103"/>
      <c r="Q751" s="103"/>
      <c r="R751" s="83"/>
      <c r="S751" s="103"/>
      <c r="T751" s="103"/>
      <c r="U751" s="103"/>
    </row>
    <row r="752" customFormat="false" ht="22.5" hidden="false" customHeight="true" outlineLevel="0" collapsed="false">
      <c r="A752" s="110"/>
      <c r="B752" s="110"/>
      <c r="C752" s="110"/>
      <c r="D752" s="122"/>
      <c r="E752" s="110"/>
      <c r="F752" s="128"/>
      <c r="G752" s="122"/>
      <c r="H752" s="131" t="b">
        <f aca="false">FALSE()</f>
        <v>0</v>
      </c>
      <c r="I752" s="131" t="b">
        <f aca="false">FALSE()</f>
        <v>0</v>
      </c>
      <c r="J752" s="130"/>
      <c r="K752" s="110"/>
      <c r="L752" s="83"/>
      <c r="M752" s="103"/>
      <c r="N752" s="103"/>
      <c r="O752" s="103"/>
      <c r="P752" s="103"/>
      <c r="Q752" s="103"/>
      <c r="R752" s="83"/>
      <c r="S752" s="103"/>
      <c r="T752" s="103"/>
      <c r="U752" s="103"/>
    </row>
    <row r="753" customFormat="false" ht="22.5" hidden="false" customHeight="true" outlineLevel="0" collapsed="false">
      <c r="A753" s="99"/>
      <c r="B753" s="99"/>
      <c r="C753" s="99"/>
      <c r="D753" s="121"/>
      <c r="E753" s="99"/>
      <c r="F753" s="124"/>
      <c r="G753" s="121"/>
      <c r="H753" s="132" t="b">
        <f aca="false">FALSE()</f>
        <v>0</v>
      </c>
      <c r="I753" s="132" t="b">
        <f aca="false">FALSE()</f>
        <v>0</v>
      </c>
      <c r="J753" s="126"/>
      <c r="K753" s="99"/>
      <c r="L753" s="83"/>
      <c r="M753" s="103"/>
      <c r="N753" s="103"/>
      <c r="O753" s="103"/>
      <c r="P753" s="103"/>
      <c r="Q753" s="103"/>
      <c r="R753" s="83"/>
      <c r="S753" s="103"/>
      <c r="T753" s="103"/>
      <c r="U753" s="103"/>
    </row>
    <row r="754" customFormat="false" ht="22.5" hidden="false" customHeight="true" outlineLevel="0" collapsed="false">
      <c r="A754" s="110"/>
      <c r="B754" s="110"/>
      <c r="C754" s="110"/>
      <c r="D754" s="122"/>
      <c r="E754" s="110"/>
      <c r="F754" s="128"/>
      <c r="G754" s="122"/>
      <c r="H754" s="131" t="b">
        <f aca="false">FALSE()</f>
        <v>0</v>
      </c>
      <c r="I754" s="131" t="b">
        <f aca="false">FALSE()</f>
        <v>0</v>
      </c>
      <c r="J754" s="130"/>
      <c r="K754" s="110"/>
      <c r="L754" s="83"/>
      <c r="M754" s="103"/>
      <c r="N754" s="103"/>
      <c r="O754" s="103"/>
      <c r="P754" s="103"/>
      <c r="Q754" s="103"/>
      <c r="R754" s="83"/>
      <c r="S754" s="103"/>
      <c r="T754" s="103"/>
      <c r="U754" s="103"/>
    </row>
    <row r="755" customFormat="false" ht="22.5" hidden="false" customHeight="true" outlineLevel="0" collapsed="false">
      <c r="A755" s="99"/>
      <c r="B755" s="99"/>
      <c r="C755" s="99"/>
      <c r="D755" s="121"/>
      <c r="E755" s="99"/>
      <c r="F755" s="124"/>
      <c r="G755" s="121"/>
      <c r="H755" s="132" t="b">
        <f aca="false">FALSE()</f>
        <v>0</v>
      </c>
      <c r="I755" s="132" t="b">
        <f aca="false">FALSE()</f>
        <v>0</v>
      </c>
      <c r="J755" s="126"/>
      <c r="K755" s="99"/>
      <c r="L755" s="83"/>
      <c r="M755" s="103"/>
      <c r="N755" s="103"/>
      <c r="O755" s="103"/>
      <c r="P755" s="103"/>
      <c r="Q755" s="103"/>
      <c r="R755" s="83"/>
      <c r="S755" s="103"/>
      <c r="T755" s="103"/>
      <c r="U755" s="103"/>
    </row>
    <row r="756" customFormat="false" ht="22.5" hidden="false" customHeight="true" outlineLevel="0" collapsed="false">
      <c r="A756" s="110"/>
      <c r="B756" s="110"/>
      <c r="C756" s="110"/>
      <c r="D756" s="122"/>
      <c r="E756" s="110"/>
      <c r="F756" s="128"/>
      <c r="G756" s="122"/>
      <c r="H756" s="131" t="b">
        <f aca="false">FALSE()</f>
        <v>0</v>
      </c>
      <c r="I756" s="131" t="b">
        <f aca="false">FALSE()</f>
        <v>0</v>
      </c>
      <c r="J756" s="130"/>
      <c r="K756" s="110"/>
      <c r="L756" s="83"/>
      <c r="M756" s="103"/>
      <c r="N756" s="103"/>
      <c r="O756" s="103"/>
      <c r="P756" s="103"/>
      <c r="Q756" s="103"/>
      <c r="R756" s="83"/>
      <c r="S756" s="103"/>
      <c r="T756" s="103"/>
      <c r="U756" s="103"/>
    </row>
    <row r="757" customFormat="false" ht="22.5" hidden="false" customHeight="true" outlineLevel="0" collapsed="false">
      <c r="A757" s="99"/>
      <c r="B757" s="99"/>
      <c r="C757" s="99"/>
      <c r="D757" s="121"/>
      <c r="E757" s="99"/>
      <c r="F757" s="124"/>
      <c r="G757" s="121"/>
      <c r="H757" s="132" t="b">
        <f aca="false">FALSE()</f>
        <v>0</v>
      </c>
      <c r="I757" s="132" t="b">
        <f aca="false">FALSE()</f>
        <v>0</v>
      </c>
      <c r="J757" s="126"/>
      <c r="K757" s="99"/>
      <c r="L757" s="83"/>
      <c r="M757" s="103"/>
      <c r="N757" s="103"/>
      <c r="O757" s="103"/>
      <c r="P757" s="103"/>
      <c r="Q757" s="103"/>
      <c r="R757" s="83"/>
      <c r="S757" s="103"/>
      <c r="T757" s="103"/>
      <c r="U757" s="103"/>
    </row>
    <row r="758" customFormat="false" ht="22.5" hidden="false" customHeight="true" outlineLevel="0" collapsed="false">
      <c r="A758" s="110"/>
      <c r="B758" s="110"/>
      <c r="C758" s="110"/>
      <c r="D758" s="122"/>
      <c r="E758" s="110"/>
      <c r="F758" s="128"/>
      <c r="G758" s="122"/>
      <c r="H758" s="131" t="b">
        <f aca="false">FALSE()</f>
        <v>0</v>
      </c>
      <c r="I758" s="131" t="b">
        <f aca="false">FALSE()</f>
        <v>0</v>
      </c>
      <c r="J758" s="130"/>
      <c r="K758" s="110"/>
      <c r="L758" s="83"/>
      <c r="M758" s="103"/>
      <c r="N758" s="103"/>
      <c r="O758" s="103"/>
      <c r="P758" s="103"/>
      <c r="Q758" s="103"/>
      <c r="R758" s="83"/>
      <c r="S758" s="103"/>
      <c r="T758" s="103"/>
      <c r="U758" s="103"/>
    </row>
    <row r="759" customFormat="false" ht="22.5" hidden="false" customHeight="true" outlineLevel="0" collapsed="false">
      <c r="A759" s="99"/>
      <c r="B759" s="99"/>
      <c r="C759" s="99"/>
      <c r="D759" s="121"/>
      <c r="E759" s="99"/>
      <c r="F759" s="124"/>
      <c r="G759" s="121"/>
      <c r="H759" s="132" t="b">
        <f aca="false">FALSE()</f>
        <v>0</v>
      </c>
      <c r="I759" s="132" t="b">
        <f aca="false">FALSE()</f>
        <v>0</v>
      </c>
      <c r="J759" s="126"/>
      <c r="K759" s="99"/>
      <c r="L759" s="83"/>
      <c r="M759" s="103"/>
      <c r="N759" s="103"/>
      <c r="O759" s="103"/>
      <c r="P759" s="103"/>
      <c r="Q759" s="103"/>
      <c r="R759" s="83"/>
      <c r="S759" s="103"/>
      <c r="T759" s="103"/>
      <c r="U759" s="103"/>
    </row>
    <row r="760" customFormat="false" ht="22.5" hidden="false" customHeight="true" outlineLevel="0" collapsed="false">
      <c r="A760" s="110"/>
      <c r="B760" s="110"/>
      <c r="C760" s="110"/>
      <c r="D760" s="122"/>
      <c r="E760" s="110"/>
      <c r="F760" s="128"/>
      <c r="G760" s="122"/>
      <c r="H760" s="131" t="b">
        <f aca="false">FALSE()</f>
        <v>0</v>
      </c>
      <c r="I760" s="131" t="b">
        <f aca="false">FALSE()</f>
        <v>0</v>
      </c>
      <c r="J760" s="130"/>
      <c r="K760" s="110"/>
      <c r="L760" s="83"/>
      <c r="M760" s="103"/>
      <c r="N760" s="103"/>
      <c r="O760" s="103"/>
      <c r="P760" s="103"/>
      <c r="Q760" s="103"/>
      <c r="R760" s="83"/>
      <c r="S760" s="103"/>
      <c r="T760" s="103"/>
      <c r="U760" s="103"/>
    </row>
    <row r="761" customFormat="false" ht="22.5" hidden="false" customHeight="true" outlineLevel="0" collapsed="false">
      <c r="A761" s="99"/>
      <c r="B761" s="99"/>
      <c r="C761" s="99"/>
      <c r="D761" s="121"/>
      <c r="E761" s="99"/>
      <c r="F761" s="124"/>
      <c r="G761" s="121"/>
      <c r="H761" s="132" t="b">
        <f aca="false">FALSE()</f>
        <v>0</v>
      </c>
      <c r="I761" s="132" t="b">
        <f aca="false">FALSE()</f>
        <v>0</v>
      </c>
      <c r="J761" s="126"/>
      <c r="K761" s="99"/>
      <c r="L761" s="83"/>
      <c r="M761" s="103"/>
      <c r="N761" s="103"/>
      <c r="O761" s="103"/>
      <c r="P761" s="103"/>
      <c r="Q761" s="103"/>
      <c r="R761" s="83"/>
      <c r="S761" s="103"/>
      <c r="T761" s="103"/>
      <c r="U761" s="103"/>
    </row>
    <row r="762" customFormat="false" ht="22.5" hidden="false" customHeight="true" outlineLevel="0" collapsed="false">
      <c r="A762" s="110"/>
      <c r="B762" s="110"/>
      <c r="C762" s="110"/>
      <c r="D762" s="122"/>
      <c r="E762" s="110"/>
      <c r="F762" s="128"/>
      <c r="G762" s="122"/>
      <c r="H762" s="131" t="b">
        <f aca="false">FALSE()</f>
        <v>0</v>
      </c>
      <c r="I762" s="131" t="b">
        <f aca="false">FALSE()</f>
        <v>0</v>
      </c>
      <c r="J762" s="130"/>
      <c r="K762" s="110"/>
      <c r="L762" s="83"/>
      <c r="M762" s="103"/>
      <c r="N762" s="103"/>
      <c r="O762" s="103"/>
      <c r="P762" s="103"/>
      <c r="Q762" s="103"/>
      <c r="R762" s="83"/>
      <c r="S762" s="103"/>
      <c r="T762" s="103"/>
      <c r="U762" s="103"/>
    </row>
    <row r="763" customFormat="false" ht="22.5" hidden="false" customHeight="true" outlineLevel="0" collapsed="false">
      <c r="A763" s="99"/>
      <c r="B763" s="99"/>
      <c r="C763" s="99"/>
      <c r="D763" s="121"/>
      <c r="E763" s="99"/>
      <c r="F763" s="124"/>
      <c r="G763" s="121"/>
      <c r="H763" s="132" t="b">
        <f aca="false">FALSE()</f>
        <v>0</v>
      </c>
      <c r="I763" s="132" t="b">
        <f aca="false">FALSE()</f>
        <v>0</v>
      </c>
      <c r="J763" s="126"/>
      <c r="K763" s="99"/>
      <c r="L763" s="83"/>
      <c r="M763" s="103"/>
      <c r="N763" s="103"/>
      <c r="O763" s="103"/>
      <c r="P763" s="103"/>
      <c r="Q763" s="103"/>
      <c r="R763" s="83"/>
      <c r="S763" s="103"/>
      <c r="T763" s="103"/>
      <c r="U763" s="103"/>
    </row>
    <row r="764" customFormat="false" ht="22.5" hidden="false" customHeight="true" outlineLevel="0" collapsed="false">
      <c r="A764" s="110"/>
      <c r="B764" s="110"/>
      <c r="C764" s="110"/>
      <c r="D764" s="122"/>
      <c r="E764" s="110"/>
      <c r="F764" s="128"/>
      <c r="G764" s="122"/>
      <c r="H764" s="131" t="b">
        <f aca="false">FALSE()</f>
        <v>0</v>
      </c>
      <c r="I764" s="131" t="b">
        <f aca="false">FALSE()</f>
        <v>0</v>
      </c>
      <c r="J764" s="130"/>
      <c r="K764" s="110"/>
      <c r="L764" s="83"/>
      <c r="M764" s="103"/>
      <c r="N764" s="103"/>
      <c r="O764" s="103"/>
      <c r="P764" s="103"/>
      <c r="Q764" s="103"/>
      <c r="R764" s="83"/>
      <c r="S764" s="103"/>
      <c r="T764" s="103"/>
      <c r="U764" s="103"/>
    </row>
    <row r="765" customFormat="false" ht="22.5" hidden="false" customHeight="true" outlineLevel="0" collapsed="false">
      <c r="A765" s="99"/>
      <c r="B765" s="99"/>
      <c r="C765" s="99"/>
      <c r="D765" s="121"/>
      <c r="E765" s="99"/>
      <c r="F765" s="124"/>
      <c r="G765" s="121"/>
      <c r="H765" s="132" t="b">
        <f aca="false">FALSE()</f>
        <v>0</v>
      </c>
      <c r="I765" s="132" t="b">
        <f aca="false">FALSE()</f>
        <v>0</v>
      </c>
      <c r="J765" s="126"/>
      <c r="K765" s="99"/>
      <c r="L765" s="83"/>
      <c r="M765" s="103"/>
      <c r="N765" s="103"/>
      <c r="O765" s="103"/>
      <c r="P765" s="103"/>
      <c r="Q765" s="103"/>
      <c r="R765" s="83"/>
      <c r="S765" s="103"/>
      <c r="T765" s="103"/>
      <c r="U765" s="103"/>
    </row>
    <row r="766" customFormat="false" ht="22.5" hidden="false" customHeight="true" outlineLevel="0" collapsed="false">
      <c r="A766" s="110"/>
      <c r="B766" s="110"/>
      <c r="C766" s="110"/>
      <c r="D766" s="122"/>
      <c r="E766" s="110"/>
      <c r="F766" s="128"/>
      <c r="G766" s="122"/>
      <c r="H766" s="131" t="b">
        <f aca="false">FALSE()</f>
        <v>0</v>
      </c>
      <c r="I766" s="131" t="b">
        <f aca="false">FALSE()</f>
        <v>0</v>
      </c>
      <c r="J766" s="130"/>
      <c r="K766" s="110"/>
      <c r="L766" s="83"/>
      <c r="M766" s="103"/>
      <c r="N766" s="103"/>
      <c r="O766" s="103"/>
      <c r="P766" s="103"/>
      <c r="Q766" s="103"/>
      <c r="R766" s="83"/>
      <c r="S766" s="103"/>
      <c r="T766" s="103"/>
      <c r="U766" s="103"/>
    </row>
    <row r="767" customFormat="false" ht="22.5" hidden="false" customHeight="true" outlineLevel="0" collapsed="false">
      <c r="A767" s="99"/>
      <c r="B767" s="99"/>
      <c r="C767" s="99"/>
      <c r="D767" s="121"/>
      <c r="E767" s="99"/>
      <c r="F767" s="124"/>
      <c r="G767" s="121"/>
      <c r="H767" s="132" t="b">
        <f aca="false">FALSE()</f>
        <v>0</v>
      </c>
      <c r="I767" s="132" t="b">
        <f aca="false">FALSE()</f>
        <v>0</v>
      </c>
      <c r="J767" s="126"/>
      <c r="K767" s="99"/>
      <c r="L767" s="83"/>
      <c r="M767" s="103"/>
      <c r="N767" s="103"/>
      <c r="O767" s="103"/>
      <c r="P767" s="103"/>
      <c r="Q767" s="103"/>
      <c r="R767" s="83"/>
      <c r="S767" s="103"/>
      <c r="T767" s="103"/>
      <c r="U767" s="103"/>
    </row>
    <row r="768" customFormat="false" ht="22.5" hidden="false" customHeight="true" outlineLevel="0" collapsed="false">
      <c r="A768" s="110"/>
      <c r="B768" s="110"/>
      <c r="C768" s="110"/>
      <c r="D768" s="122"/>
      <c r="E768" s="110"/>
      <c r="F768" s="128"/>
      <c r="G768" s="122"/>
      <c r="H768" s="131" t="b">
        <f aca="false">FALSE()</f>
        <v>0</v>
      </c>
      <c r="I768" s="131" t="b">
        <f aca="false">FALSE()</f>
        <v>0</v>
      </c>
      <c r="J768" s="130"/>
      <c r="K768" s="110"/>
      <c r="L768" s="83"/>
      <c r="M768" s="103"/>
      <c r="N768" s="103"/>
      <c r="O768" s="103"/>
      <c r="P768" s="103"/>
      <c r="Q768" s="103"/>
      <c r="R768" s="83"/>
      <c r="S768" s="103"/>
      <c r="T768" s="103"/>
      <c r="U768" s="103"/>
    </row>
    <row r="769" customFormat="false" ht="22.5" hidden="false" customHeight="true" outlineLevel="0" collapsed="false">
      <c r="A769" s="99"/>
      <c r="B769" s="99"/>
      <c r="C769" s="99"/>
      <c r="D769" s="121"/>
      <c r="E769" s="99"/>
      <c r="F769" s="124"/>
      <c r="G769" s="121"/>
      <c r="H769" s="132" t="b">
        <f aca="false">FALSE()</f>
        <v>0</v>
      </c>
      <c r="I769" s="132" t="b">
        <f aca="false">FALSE()</f>
        <v>0</v>
      </c>
      <c r="J769" s="126"/>
      <c r="K769" s="99"/>
      <c r="L769" s="83"/>
      <c r="M769" s="103"/>
      <c r="N769" s="103"/>
      <c r="O769" s="103"/>
      <c r="P769" s="103"/>
      <c r="Q769" s="103"/>
      <c r="R769" s="83"/>
      <c r="S769" s="103"/>
      <c r="T769" s="103"/>
      <c r="U769" s="103"/>
    </row>
    <row r="770" customFormat="false" ht="22.5" hidden="false" customHeight="true" outlineLevel="0" collapsed="false">
      <c r="A770" s="110"/>
      <c r="B770" s="110"/>
      <c r="C770" s="110"/>
      <c r="D770" s="122"/>
      <c r="E770" s="110"/>
      <c r="F770" s="128"/>
      <c r="G770" s="122"/>
      <c r="H770" s="131" t="b">
        <f aca="false">FALSE()</f>
        <v>0</v>
      </c>
      <c r="I770" s="131" t="b">
        <f aca="false">FALSE()</f>
        <v>0</v>
      </c>
      <c r="J770" s="130"/>
      <c r="K770" s="110"/>
      <c r="L770" s="83"/>
      <c r="M770" s="103"/>
      <c r="N770" s="103"/>
      <c r="O770" s="103"/>
      <c r="P770" s="103"/>
      <c r="Q770" s="103"/>
      <c r="R770" s="83"/>
      <c r="S770" s="103"/>
      <c r="T770" s="103"/>
      <c r="U770" s="103"/>
    </row>
    <row r="771" customFormat="false" ht="22.5" hidden="false" customHeight="true" outlineLevel="0" collapsed="false">
      <c r="A771" s="99"/>
      <c r="B771" s="99"/>
      <c r="C771" s="99"/>
      <c r="D771" s="121"/>
      <c r="E771" s="99"/>
      <c r="F771" s="124"/>
      <c r="G771" s="121"/>
      <c r="H771" s="132" t="b">
        <f aca="false">FALSE()</f>
        <v>0</v>
      </c>
      <c r="I771" s="132" t="b">
        <f aca="false">FALSE()</f>
        <v>0</v>
      </c>
      <c r="J771" s="126"/>
      <c r="K771" s="99"/>
      <c r="L771" s="83"/>
      <c r="M771" s="103"/>
      <c r="N771" s="103"/>
      <c r="O771" s="103"/>
      <c r="P771" s="103"/>
      <c r="Q771" s="103"/>
      <c r="R771" s="83"/>
      <c r="S771" s="103"/>
      <c r="T771" s="103"/>
      <c r="U771" s="103"/>
    </row>
    <row r="772" customFormat="false" ht="22.5" hidden="false" customHeight="true" outlineLevel="0" collapsed="false">
      <c r="A772" s="110"/>
      <c r="B772" s="110"/>
      <c r="C772" s="110"/>
      <c r="D772" s="122"/>
      <c r="E772" s="110"/>
      <c r="F772" s="128"/>
      <c r="G772" s="122"/>
      <c r="H772" s="131" t="b">
        <f aca="false">FALSE()</f>
        <v>0</v>
      </c>
      <c r="I772" s="131" t="b">
        <f aca="false">FALSE()</f>
        <v>0</v>
      </c>
      <c r="J772" s="130"/>
      <c r="K772" s="110"/>
      <c r="L772" s="83"/>
      <c r="M772" s="103"/>
      <c r="N772" s="103"/>
      <c r="O772" s="103"/>
      <c r="P772" s="103"/>
      <c r="Q772" s="103"/>
      <c r="R772" s="83"/>
      <c r="S772" s="103"/>
      <c r="T772" s="103"/>
      <c r="U772" s="103"/>
    </row>
    <row r="773" customFormat="false" ht="22.5" hidden="false" customHeight="true" outlineLevel="0" collapsed="false">
      <c r="A773" s="99"/>
      <c r="B773" s="99"/>
      <c r="C773" s="99"/>
      <c r="D773" s="121"/>
      <c r="E773" s="99"/>
      <c r="F773" s="124"/>
      <c r="G773" s="121"/>
      <c r="H773" s="132" t="b">
        <f aca="false">FALSE()</f>
        <v>0</v>
      </c>
      <c r="I773" s="132" t="b">
        <f aca="false">FALSE()</f>
        <v>0</v>
      </c>
      <c r="J773" s="126"/>
      <c r="K773" s="99"/>
      <c r="L773" s="83"/>
      <c r="M773" s="103"/>
      <c r="N773" s="103"/>
      <c r="O773" s="103"/>
      <c r="P773" s="103"/>
      <c r="Q773" s="103"/>
      <c r="R773" s="83"/>
      <c r="S773" s="103"/>
      <c r="T773" s="103"/>
      <c r="U773" s="103"/>
    </row>
    <row r="774" customFormat="false" ht="22.5" hidden="false" customHeight="true" outlineLevel="0" collapsed="false">
      <c r="A774" s="110"/>
      <c r="B774" s="110"/>
      <c r="C774" s="110"/>
      <c r="D774" s="122"/>
      <c r="E774" s="110"/>
      <c r="F774" s="128"/>
      <c r="G774" s="122"/>
      <c r="H774" s="131" t="b">
        <f aca="false">FALSE()</f>
        <v>0</v>
      </c>
      <c r="I774" s="131" t="b">
        <f aca="false">FALSE()</f>
        <v>0</v>
      </c>
      <c r="J774" s="130"/>
      <c r="K774" s="110"/>
      <c r="L774" s="83"/>
      <c r="M774" s="103"/>
      <c r="N774" s="103"/>
      <c r="O774" s="103"/>
      <c r="P774" s="103"/>
      <c r="Q774" s="103"/>
      <c r="R774" s="83"/>
      <c r="S774" s="103"/>
      <c r="T774" s="103"/>
      <c r="U774" s="103"/>
    </row>
    <row r="775" customFormat="false" ht="22.5" hidden="false" customHeight="true" outlineLevel="0" collapsed="false">
      <c r="A775" s="99"/>
      <c r="B775" s="99"/>
      <c r="C775" s="99"/>
      <c r="D775" s="121"/>
      <c r="E775" s="99"/>
      <c r="F775" s="124"/>
      <c r="G775" s="121"/>
      <c r="H775" s="132" t="b">
        <f aca="false">FALSE()</f>
        <v>0</v>
      </c>
      <c r="I775" s="132" t="b">
        <f aca="false">FALSE()</f>
        <v>0</v>
      </c>
      <c r="J775" s="126"/>
      <c r="K775" s="99"/>
      <c r="L775" s="83"/>
      <c r="M775" s="103"/>
      <c r="N775" s="103"/>
      <c r="O775" s="103"/>
      <c r="P775" s="103"/>
      <c r="Q775" s="103"/>
      <c r="R775" s="83"/>
      <c r="S775" s="103"/>
      <c r="T775" s="103"/>
      <c r="U775" s="103"/>
    </row>
    <row r="776" customFormat="false" ht="22.5" hidden="false" customHeight="true" outlineLevel="0" collapsed="false">
      <c r="A776" s="110"/>
      <c r="B776" s="110"/>
      <c r="C776" s="110"/>
      <c r="D776" s="122"/>
      <c r="E776" s="110"/>
      <c r="F776" s="128"/>
      <c r="G776" s="122"/>
      <c r="H776" s="131" t="b">
        <f aca="false">FALSE()</f>
        <v>0</v>
      </c>
      <c r="I776" s="131" t="b">
        <f aca="false">FALSE()</f>
        <v>0</v>
      </c>
      <c r="J776" s="130"/>
      <c r="K776" s="110"/>
      <c r="L776" s="83"/>
      <c r="M776" s="103"/>
      <c r="N776" s="103"/>
      <c r="O776" s="103"/>
      <c r="P776" s="103"/>
      <c r="Q776" s="103"/>
      <c r="R776" s="83"/>
      <c r="S776" s="103"/>
      <c r="T776" s="103"/>
      <c r="U776" s="103"/>
    </row>
    <row r="777" customFormat="false" ht="22.5" hidden="false" customHeight="true" outlineLevel="0" collapsed="false">
      <c r="A777" s="99"/>
      <c r="B777" s="99"/>
      <c r="C777" s="99"/>
      <c r="D777" s="121"/>
      <c r="E777" s="99"/>
      <c r="F777" s="124"/>
      <c r="G777" s="121"/>
      <c r="H777" s="132" t="b">
        <f aca="false">FALSE()</f>
        <v>0</v>
      </c>
      <c r="I777" s="132" t="b">
        <f aca="false">FALSE()</f>
        <v>0</v>
      </c>
      <c r="J777" s="126"/>
      <c r="K777" s="99"/>
      <c r="L777" s="83"/>
      <c r="M777" s="103"/>
      <c r="N777" s="103"/>
      <c r="O777" s="103"/>
      <c r="P777" s="103"/>
      <c r="Q777" s="103"/>
      <c r="R777" s="83"/>
      <c r="S777" s="103"/>
      <c r="T777" s="103"/>
      <c r="U777" s="103"/>
    </row>
    <row r="778" customFormat="false" ht="22.5" hidden="false" customHeight="true" outlineLevel="0" collapsed="false">
      <c r="A778" s="110"/>
      <c r="B778" s="110"/>
      <c r="C778" s="110"/>
      <c r="D778" s="122"/>
      <c r="E778" s="110"/>
      <c r="F778" s="128"/>
      <c r="G778" s="122"/>
      <c r="H778" s="131" t="b">
        <f aca="false">FALSE()</f>
        <v>0</v>
      </c>
      <c r="I778" s="131" t="b">
        <f aca="false">FALSE()</f>
        <v>0</v>
      </c>
      <c r="J778" s="130"/>
      <c r="K778" s="110"/>
      <c r="L778" s="83"/>
      <c r="M778" s="103"/>
      <c r="N778" s="103"/>
      <c r="O778" s="103"/>
      <c r="P778" s="103"/>
      <c r="Q778" s="103"/>
      <c r="R778" s="83"/>
      <c r="S778" s="103"/>
      <c r="T778" s="103"/>
      <c r="U778" s="103"/>
    </row>
    <row r="779" customFormat="false" ht="22.5" hidden="false" customHeight="true" outlineLevel="0" collapsed="false">
      <c r="A779" s="99"/>
      <c r="B779" s="99"/>
      <c r="C779" s="99"/>
      <c r="D779" s="121"/>
      <c r="E779" s="99"/>
      <c r="F779" s="124"/>
      <c r="G779" s="121"/>
      <c r="H779" s="132" t="b">
        <f aca="false">FALSE()</f>
        <v>0</v>
      </c>
      <c r="I779" s="132" t="b">
        <f aca="false">FALSE()</f>
        <v>0</v>
      </c>
      <c r="J779" s="126"/>
      <c r="K779" s="99"/>
      <c r="L779" s="83"/>
      <c r="M779" s="103"/>
      <c r="N779" s="103"/>
      <c r="O779" s="103"/>
      <c r="P779" s="103"/>
      <c r="Q779" s="103"/>
      <c r="R779" s="83"/>
      <c r="S779" s="103"/>
      <c r="T779" s="103"/>
      <c r="U779" s="103"/>
    </row>
    <row r="780" customFormat="false" ht="22.5" hidden="false" customHeight="true" outlineLevel="0" collapsed="false">
      <c r="A780" s="110"/>
      <c r="B780" s="110"/>
      <c r="C780" s="110"/>
      <c r="D780" s="122"/>
      <c r="E780" s="110"/>
      <c r="F780" s="128"/>
      <c r="G780" s="122"/>
      <c r="H780" s="131" t="b">
        <f aca="false">FALSE()</f>
        <v>0</v>
      </c>
      <c r="I780" s="131" t="b">
        <f aca="false">FALSE()</f>
        <v>0</v>
      </c>
      <c r="J780" s="130"/>
      <c r="K780" s="110"/>
      <c r="L780" s="83"/>
      <c r="M780" s="103"/>
      <c r="N780" s="103"/>
      <c r="O780" s="103"/>
      <c r="P780" s="103"/>
      <c r="Q780" s="103"/>
      <c r="R780" s="83"/>
      <c r="S780" s="103"/>
      <c r="T780" s="103"/>
      <c r="U780" s="103"/>
    </row>
    <row r="781" customFormat="false" ht="22.5" hidden="false" customHeight="true" outlineLevel="0" collapsed="false">
      <c r="A781" s="99"/>
      <c r="B781" s="99"/>
      <c r="C781" s="99"/>
      <c r="D781" s="121"/>
      <c r="E781" s="99"/>
      <c r="F781" s="124"/>
      <c r="G781" s="121"/>
      <c r="H781" s="132" t="b">
        <f aca="false">FALSE()</f>
        <v>0</v>
      </c>
      <c r="I781" s="132" t="b">
        <f aca="false">FALSE()</f>
        <v>0</v>
      </c>
      <c r="J781" s="126"/>
      <c r="K781" s="99"/>
      <c r="L781" s="83"/>
      <c r="M781" s="103"/>
      <c r="N781" s="103"/>
      <c r="O781" s="103"/>
      <c r="P781" s="103"/>
      <c r="Q781" s="103"/>
      <c r="R781" s="83"/>
      <c r="S781" s="103"/>
      <c r="T781" s="103"/>
      <c r="U781" s="103"/>
    </row>
    <row r="782" customFormat="false" ht="22.5" hidden="false" customHeight="true" outlineLevel="0" collapsed="false">
      <c r="A782" s="110"/>
      <c r="B782" s="110"/>
      <c r="C782" s="110"/>
      <c r="D782" s="122"/>
      <c r="E782" s="110"/>
      <c r="F782" s="128"/>
      <c r="G782" s="122"/>
      <c r="H782" s="131" t="b">
        <f aca="false">FALSE()</f>
        <v>0</v>
      </c>
      <c r="I782" s="131" t="b">
        <f aca="false">FALSE()</f>
        <v>0</v>
      </c>
      <c r="J782" s="130"/>
      <c r="K782" s="110"/>
      <c r="L782" s="83"/>
      <c r="M782" s="103"/>
      <c r="N782" s="103"/>
      <c r="O782" s="103"/>
      <c r="P782" s="103"/>
      <c r="Q782" s="103"/>
      <c r="R782" s="83"/>
      <c r="S782" s="103"/>
      <c r="T782" s="103"/>
      <c r="U782" s="103"/>
    </row>
    <row r="783" customFormat="false" ht="22.5" hidden="false" customHeight="true" outlineLevel="0" collapsed="false">
      <c r="A783" s="99"/>
      <c r="B783" s="99"/>
      <c r="C783" s="99"/>
      <c r="D783" s="121"/>
      <c r="E783" s="99"/>
      <c r="F783" s="124"/>
      <c r="G783" s="121"/>
      <c r="H783" s="132" t="b">
        <f aca="false">FALSE()</f>
        <v>0</v>
      </c>
      <c r="I783" s="132" t="b">
        <f aca="false">FALSE()</f>
        <v>0</v>
      </c>
      <c r="J783" s="126"/>
      <c r="K783" s="99"/>
      <c r="L783" s="83"/>
      <c r="M783" s="103"/>
      <c r="N783" s="103"/>
      <c r="O783" s="103"/>
      <c r="P783" s="103"/>
      <c r="Q783" s="103"/>
      <c r="R783" s="83"/>
      <c r="S783" s="103"/>
      <c r="T783" s="103"/>
      <c r="U783" s="103"/>
    </row>
    <row r="784" customFormat="false" ht="22.5" hidden="false" customHeight="true" outlineLevel="0" collapsed="false">
      <c r="A784" s="110"/>
      <c r="B784" s="110"/>
      <c r="C784" s="110"/>
      <c r="D784" s="122"/>
      <c r="E784" s="110"/>
      <c r="F784" s="128"/>
      <c r="G784" s="122"/>
      <c r="H784" s="131" t="b">
        <f aca="false">FALSE()</f>
        <v>0</v>
      </c>
      <c r="I784" s="131" t="b">
        <f aca="false">FALSE()</f>
        <v>0</v>
      </c>
      <c r="J784" s="130"/>
      <c r="K784" s="110"/>
      <c r="L784" s="83"/>
      <c r="M784" s="103"/>
      <c r="N784" s="103"/>
      <c r="O784" s="103"/>
      <c r="P784" s="103"/>
      <c r="Q784" s="103"/>
      <c r="R784" s="83"/>
      <c r="S784" s="103"/>
      <c r="T784" s="103"/>
      <c r="U784" s="103"/>
    </row>
    <row r="785" customFormat="false" ht="22.5" hidden="false" customHeight="true" outlineLevel="0" collapsed="false">
      <c r="A785" s="99"/>
      <c r="B785" s="99"/>
      <c r="C785" s="99"/>
      <c r="D785" s="121"/>
      <c r="E785" s="99"/>
      <c r="F785" s="124"/>
      <c r="G785" s="121"/>
      <c r="H785" s="132" t="b">
        <f aca="false">FALSE()</f>
        <v>0</v>
      </c>
      <c r="I785" s="132" t="b">
        <f aca="false">FALSE()</f>
        <v>0</v>
      </c>
      <c r="J785" s="126"/>
      <c r="K785" s="99"/>
      <c r="L785" s="83"/>
      <c r="M785" s="103"/>
      <c r="N785" s="103"/>
      <c r="O785" s="103"/>
      <c r="P785" s="103"/>
      <c r="Q785" s="103"/>
      <c r="R785" s="83"/>
      <c r="S785" s="103"/>
      <c r="T785" s="103"/>
      <c r="U785" s="103"/>
    </row>
    <row r="786" customFormat="false" ht="22.5" hidden="false" customHeight="true" outlineLevel="0" collapsed="false">
      <c r="A786" s="110"/>
      <c r="B786" s="110"/>
      <c r="C786" s="110"/>
      <c r="D786" s="122"/>
      <c r="E786" s="110"/>
      <c r="F786" s="128"/>
      <c r="G786" s="122"/>
      <c r="H786" s="131" t="b">
        <f aca="false">FALSE()</f>
        <v>0</v>
      </c>
      <c r="I786" s="131" t="b">
        <f aca="false">FALSE()</f>
        <v>0</v>
      </c>
      <c r="J786" s="130"/>
      <c r="K786" s="110"/>
      <c r="L786" s="83"/>
      <c r="M786" s="103"/>
      <c r="N786" s="103"/>
      <c r="O786" s="103"/>
      <c r="P786" s="103"/>
      <c r="Q786" s="103"/>
      <c r="R786" s="83"/>
      <c r="S786" s="103"/>
      <c r="T786" s="103"/>
      <c r="U786" s="103"/>
    </row>
    <row r="787" customFormat="false" ht="22.5" hidden="false" customHeight="true" outlineLevel="0" collapsed="false">
      <c r="A787" s="99"/>
      <c r="B787" s="99"/>
      <c r="C787" s="99"/>
      <c r="D787" s="121"/>
      <c r="E787" s="99"/>
      <c r="F787" s="124"/>
      <c r="G787" s="121"/>
      <c r="H787" s="132" t="b">
        <f aca="false">FALSE()</f>
        <v>0</v>
      </c>
      <c r="I787" s="132" t="b">
        <f aca="false">FALSE()</f>
        <v>0</v>
      </c>
      <c r="J787" s="126"/>
      <c r="K787" s="99"/>
      <c r="L787" s="83"/>
      <c r="M787" s="103"/>
      <c r="N787" s="103"/>
      <c r="O787" s="103"/>
      <c r="P787" s="103"/>
      <c r="Q787" s="103"/>
      <c r="R787" s="83"/>
      <c r="S787" s="103"/>
      <c r="T787" s="103"/>
      <c r="U787" s="103"/>
    </row>
    <row r="788" customFormat="false" ht="22.5" hidden="false" customHeight="true" outlineLevel="0" collapsed="false">
      <c r="A788" s="110"/>
      <c r="B788" s="110"/>
      <c r="C788" s="110"/>
      <c r="D788" s="122"/>
      <c r="E788" s="110"/>
      <c r="F788" s="128"/>
      <c r="G788" s="122"/>
      <c r="H788" s="131" t="b">
        <f aca="false">FALSE()</f>
        <v>0</v>
      </c>
      <c r="I788" s="131" t="b">
        <f aca="false">FALSE()</f>
        <v>0</v>
      </c>
      <c r="J788" s="130"/>
      <c r="K788" s="110"/>
      <c r="L788" s="83"/>
      <c r="M788" s="103"/>
      <c r="N788" s="103"/>
      <c r="O788" s="103"/>
      <c r="P788" s="103"/>
      <c r="Q788" s="103"/>
      <c r="R788" s="83"/>
      <c r="S788" s="103"/>
      <c r="T788" s="103"/>
      <c r="U788" s="103"/>
    </row>
    <row r="789" customFormat="false" ht="22.5" hidden="false" customHeight="true" outlineLevel="0" collapsed="false">
      <c r="A789" s="99"/>
      <c r="B789" s="99"/>
      <c r="C789" s="99"/>
      <c r="D789" s="121"/>
      <c r="E789" s="99"/>
      <c r="F789" s="124"/>
      <c r="G789" s="121"/>
      <c r="H789" s="132" t="b">
        <f aca="false">FALSE()</f>
        <v>0</v>
      </c>
      <c r="I789" s="132" t="b">
        <f aca="false">FALSE()</f>
        <v>0</v>
      </c>
      <c r="J789" s="126"/>
      <c r="K789" s="99"/>
      <c r="L789" s="83"/>
      <c r="M789" s="103"/>
      <c r="N789" s="103"/>
      <c r="O789" s="103"/>
      <c r="P789" s="103"/>
      <c r="Q789" s="103"/>
      <c r="R789" s="83"/>
      <c r="S789" s="103"/>
      <c r="T789" s="103"/>
      <c r="U789" s="103"/>
    </row>
    <row r="790" customFormat="false" ht="22.5" hidden="false" customHeight="true" outlineLevel="0" collapsed="false">
      <c r="A790" s="110"/>
      <c r="B790" s="110"/>
      <c r="C790" s="110"/>
      <c r="D790" s="122"/>
      <c r="E790" s="110"/>
      <c r="F790" s="128"/>
      <c r="G790" s="122"/>
      <c r="H790" s="131" t="b">
        <f aca="false">FALSE()</f>
        <v>0</v>
      </c>
      <c r="I790" s="131" t="b">
        <f aca="false">FALSE()</f>
        <v>0</v>
      </c>
      <c r="J790" s="130"/>
      <c r="K790" s="110"/>
      <c r="L790" s="83"/>
      <c r="M790" s="103"/>
      <c r="N790" s="103"/>
      <c r="O790" s="103"/>
      <c r="P790" s="103"/>
      <c r="Q790" s="103"/>
      <c r="R790" s="83"/>
      <c r="S790" s="103"/>
      <c r="T790" s="103"/>
      <c r="U790" s="103"/>
    </row>
    <row r="791" customFormat="false" ht="22.5" hidden="false" customHeight="true" outlineLevel="0" collapsed="false">
      <c r="A791" s="99"/>
      <c r="B791" s="99"/>
      <c r="C791" s="99"/>
      <c r="D791" s="121"/>
      <c r="E791" s="99"/>
      <c r="F791" s="124"/>
      <c r="G791" s="121"/>
      <c r="H791" s="132" t="b">
        <f aca="false">FALSE()</f>
        <v>0</v>
      </c>
      <c r="I791" s="132" t="b">
        <f aca="false">FALSE()</f>
        <v>0</v>
      </c>
      <c r="J791" s="126"/>
      <c r="K791" s="99"/>
      <c r="L791" s="83"/>
      <c r="M791" s="103"/>
      <c r="N791" s="103"/>
      <c r="O791" s="103"/>
      <c r="P791" s="103"/>
      <c r="Q791" s="103"/>
      <c r="R791" s="83"/>
      <c r="S791" s="103"/>
      <c r="T791" s="103"/>
      <c r="U791" s="103"/>
    </row>
    <row r="792" customFormat="false" ht="22.5" hidden="false" customHeight="true" outlineLevel="0" collapsed="false">
      <c r="A792" s="110"/>
      <c r="B792" s="110"/>
      <c r="C792" s="110"/>
      <c r="D792" s="122"/>
      <c r="E792" s="110"/>
      <c r="F792" s="128"/>
      <c r="G792" s="122"/>
      <c r="H792" s="131" t="b">
        <f aca="false">FALSE()</f>
        <v>0</v>
      </c>
      <c r="I792" s="131" t="b">
        <f aca="false">FALSE()</f>
        <v>0</v>
      </c>
      <c r="J792" s="130"/>
      <c r="K792" s="110"/>
      <c r="L792" s="83"/>
      <c r="M792" s="103"/>
      <c r="N792" s="103"/>
      <c r="O792" s="103"/>
      <c r="P792" s="103"/>
      <c r="Q792" s="103"/>
      <c r="R792" s="83"/>
      <c r="S792" s="103"/>
      <c r="T792" s="103"/>
      <c r="U792" s="103"/>
    </row>
    <row r="793" customFormat="false" ht="22.5" hidden="false" customHeight="true" outlineLevel="0" collapsed="false">
      <c r="A793" s="99"/>
      <c r="B793" s="99"/>
      <c r="C793" s="99"/>
      <c r="D793" s="121"/>
      <c r="E793" s="99"/>
      <c r="F793" s="124"/>
      <c r="G793" s="121"/>
      <c r="H793" s="132" t="b">
        <f aca="false">FALSE()</f>
        <v>0</v>
      </c>
      <c r="I793" s="132" t="b">
        <f aca="false">FALSE()</f>
        <v>0</v>
      </c>
      <c r="J793" s="126"/>
      <c r="K793" s="99"/>
      <c r="L793" s="83"/>
      <c r="M793" s="103"/>
      <c r="N793" s="103"/>
      <c r="O793" s="103"/>
      <c r="P793" s="103"/>
      <c r="Q793" s="103"/>
      <c r="R793" s="83"/>
      <c r="S793" s="103"/>
      <c r="T793" s="103"/>
      <c r="U793" s="103"/>
    </row>
    <row r="794" customFormat="false" ht="22.5" hidden="false" customHeight="true" outlineLevel="0" collapsed="false">
      <c r="A794" s="110"/>
      <c r="B794" s="110"/>
      <c r="C794" s="110"/>
      <c r="D794" s="122"/>
      <c r="E794" s="110"/>
      <c r="F794" s="128"/>
      <c r="G794" s="122"/>
      <c r="H794" s="131" t="b">
        <f aca="false">FALSE()</f>
        <v>0</v>
      </c>
      <c r="I794" s="131" t="b">
        <f aca="false">FALSE()</f>
        <v>0</v>
      </c>
      <c r="J794" s="130"/>
      <c r="K794" s="110"/>
      <c r="L794" s="83"/>
      <c r="M794" s="103"/>
      <c r="N794" s="103"/>
      <c r="O794" s="103"/>
      <c r="P794" s="103"/>
      <c r="Q794" s="103"/>
      <c r="R794" s="83"/>
      <c r="S794" s="103"/>
      <c r="T794" s="103"/>
      <c r="U794" s="103"/>
    </row>
    <row r="795" customFormat="false" ht="22.5" hidden="false" customHeight="true" outlineLevel="0" collapsed="false">
      <c r="A795" s="99"/>
      <c r="B795" s="99"/>
      <c r="C795" s="99"/>
      <c r="D795" s="121"/>
      <c r="E795" s="99"/>
      <c r="F795" s="124"/>
      <c r="G795" s="121"/>
      <c r="H795" s="132" t="b">
        <f aca="false">FALSE()</f>
        <v>0</v>
      </c>
      <c r="I795" s="132" t="b">
        <f aca="false">FALSE()</f>
        <v>0</v>
      </c>
      <c r="J795" s="126"/>
      <c r="K795" s="99"/>
      <c r="L795" s="83"/>
      <c r="M795" s="103"/>
      <c r="N795" s="103"/>
      <c r="O795" s="103"/>
      <c r="P795" s="103"/>
      <c r="Q795" s="103"/>
      <c r="R795" s="83"/>
      <c r="S795" s="103"/>
      <c r="T795" s="103"/>
      <c r="U795" s="103"/>
    </row>
    <row r="796" customFormat="false" ht="22.5" hidden="false" customHeight="true" outlineLevel="0" collapsed="false">
      <c r="A796" s="110"/>
      <c r="B796" s="110"/>
      <c r="C796" s="110"/>
      <c r="D796" s="122"/>
      <c r="E796" s="110"/>
      <c r="F796" s="128"/>
      <c r="G796" s="122"/>
      <c r="H796" s="131" t="b">
        <f aca="false">FALSE()</f>
        <v>0</v>
      </c>
      <c r="I796" s="131" t="b">
        <f aca="false">FALSE()</f>
        <v>0</v>
      </c>
      <c r="J796" s="130"/>
      <c r="K796" s="110"/>
      <c r="L796" s="83"/>
      <c r="M796" s="103"/>
      <c r="N796" s="103"/>
      <c r="O796" s="103"/>
      <c r="P796" s="103"/>
      <c r="Q796" s="103"/>
      <c r="R796" s="83"/>
      <c r="S796" s="103"/>
      <c r="T796" s="103"/>
      <c r="U796" s="103"/>
    </row>
    <row r="797" customFormat="false" ht="22.5" hidden="false" customHeight="true" outlineLevel="0" collapsed="false">
      <c r="A797" s="99"/>
      <c r="B797" s="99"/>
      <c r="C797" s="99"/>
      <c r="D797" s="121"/>
      <c r="E797" s="99"/>
      <c r="F797" s="124"/>
      <c r="G797" s="121"/>
      <c r="H797" s="132" t="b">
        <f aca="false">FALSE()</f>
        <v>0</v>
      </c>
      <c r="I797" s="132" t="b">
        <f aca="false">FALSE()</f>
        <v>0</v>
      </c>
      <c r="J797" s="126"/>
      <c r="K797" s="99"/>
      <c r="L797" s="83"/>
      <c r="M797" s="103"/>
      <c r="N797" s="103"/>
      <c r="O797" s="103"/>
      <c r="P797" s="103"/>
      <c r="Q797" s="103"/>
      <c r="R797" s="83"/>
      <c r="S797" s="103"/>
      <c r="T797" s="103"/>
      <c r="U797" s="103"/>
    </row>
    <row r="798" customFormat="false" ht="22.5" hidden="false" customHeight="true" outlineLevel="0" collapsed="false">
      <c r="A798" s="110"/>
      <c r="B798" s="110"/>
      <c r="C798" s="110"/>
      <c r="D798" s="122"/>
      <c r="E798" s="110"/>
      <c r="F798" s="128"/>
      <c r="G798" s="122"/>
      <c r="H798" s="131" t="b">
        <f aca="false">FALSE()</f>
        <v>0</v>
      </c>
      <c r="I798" s="131" t="b">
        <f aca="false">FALSE()</f>
        <v>0</v>
      </c>
      <c r="J798" s="130"/>
      <c r="K798" s="110"/>
      <c r="L798" s="83"/>
      <c r="M798" s="103"/>
      <c r="N798" s="103"/>
      <c r="O798" s="103"/>
      <c r="P798" s="103"/>
      <c r="Q798" s="103"/>
      <c r="R798" s="83"/>
      <c r="S798" s="103"/>
      <c r="T798" s="103"/>
      <c r="U798" s="103"/>
    </row>
    <row r="799" customFormat="false" ht="22.5" hidden="false" customHeight="true" outlineLevel="0" collapsed="false">
      <c r="A799" s="99"/>
      <c r="B799" s="99"/>
      <c r="C799" s="99"/>
      <c r="D799" s="121"/>
      <c r="E799" s="99"/>
      <c r="F799" s="124"/>
      <c r="G799" s="121"/>
      <c r="H799" s="132" t="b">
        <f aca="false">FALSE()</f>
        <v>0</v>
      </c>
      <c r="I799" s="132" t="b">
        <f aca="false">FALSE()</f>
        <v>0</v>
      </c>
      <c r="J799" s="126"/>
      <c r="K799" s="99"/>
      <c r="L799" s="83"/>
      <c r="M799" s="103"/>
      <c r="N799" s="103"/>
      <c r="O799" s="103"/>
      <c r="P799" s="103"/>
      <c r="Q799" s="103"/>
      <c r="R799" s="83"/>
      <c r="S799" s="103"/>
      <c r="T799" s="103"/>
      <c r="U799" s="103"/>
    </row>
    <row r="800" customFormat="false" ht="22.5" hidden="false" customHeight="true" outlineLevel="0" collapsed="false">
      <c r="A800" s="110"/>
      <c r="B800" s="110"/>
      <c r="C800" s="110"/>
      <c r="D800" s="122"/>
      <c r="E800" s="110"/>
      <c r="F800" s="128"/>
      <c r="G800" s="122"/>
      <c r="H800" s="131" t="b">
        <f aca="false">FALSE()</f>
        <v>0</v>
      </c>
      <c r="I800" s="131" t="b">
        <f aca="false">FALSE()</f>
        <v>0</v>
      </c>
      <c r="J800" s="130"/>
      <c r="K800" s="110"/>
      <c r="L800" s="83"/>
      <c r="M800" s="103"/>
      <c r="N800" s="103"/>
      <c r="O800" s="103"/>
      <c r="P800" s="103"/>
      <c r="Q800" s="103"/>
      <c r="R800" s="83"/>
      <c r="S800" s="103"/>
      <c r="T800" s="103"/>
      <c r="U800" s="103"/>
    </row>
    <row r="801" customFormat="false" ht="22.5" hidden="false" customHeight="true" outlineLevel="0" collapsed="false">
      <c r="A801" s="99"/>
      <c r="B801" s="99"/>
      <c r="C801" s="99"/>
      <c r="D801" s="121"/>
      <c r="E801" s="99"/>
      <c r="F801" s="124"/>
      <c r="G801" s="121"/>
      <c r="H801" s="132" t="b">
        <f aca="false">FALSE()</f>
        <v>0</v>
      </c>
      <c r="I801" s="132" t="b">
        <f aca="false">FALSE()</f>
        <v>0</v>
      </c>
      <c r="J801" s="126"/>
      <c r="K801" s="99"/>
      <c r="L801" s="83"/>
      <c r="M801" s="103"/>
      <c r="N801" s="103"/>
      <c r="O801" s="103"/>
      <c r="P801" s="103"/>
      <c r="Q801" s="103"/>
      <c r="R801" s="83"/>
      <c r="S801" s="103"/>
      <c r="T801" s="103"/>
      <c r="U801" s="103"/>
    </row>
    <row r="802" customFormat="false" ht="22.5" hidden="false" customHeight="true" outlineLevel="0" collapsed="false">
      <c r="A802" s="110"/>
      <c r="B802" s="110"/>
      <c r="C802" s="110"/>
      <c r="D802" s="122"/>
      <c r="E802" s="110"/>
      <c r="F802" s="128"/>
      <c r="G802" s="122"/>
      <c r="H802" s="131" t="b">
        <f aca="false">FALSE()</f>
        <v>0</v>
      </c>
      <c r="I802" s="131" t="b">
        <f aca="false">FALSE()</f>
        <v>0</v>
      </c>
      <c r="J802" s="130"/>
      <c r="K802" s="110"/>
      <c r="L802" s="83"/>
      <c r="M802" s="103"/>
      <c r="N802" s="103"/>
      <c r="O802" s="103"/>
      <c r="P802" s="103"/>
      <c r="Q802" s="103"/>
      <c r="R802" s="83"/>
      <c r="S802" s="103"/>
      <c r="T802" s="103"/>
      <c r="U802" s="103"/>
    </row>
    <row r="803" customFormat="false" ht="22.5" hidden="false" customHeight="true" outlineLevel="0" collapsed="false">
      <c r="A803" s="99"/>
      <c r="B803" s="99"/>
      <c r="C803" s="99"/>
      <c r="D803" s="121"/>
      <c r="E803" s="99"/>
      <c r="F803" s="124"/>
      <c r="G803" s="121"/>
      <c r="H803" s="132" t="b">
        <f aca="false">FALSE()</f>
        <v>0</v>
      </c>
      <c r="I803" s="132" t="b">
        <f aca="false">FALSE()</f>
        <v>0</v>
      </c>
      <c r="J803" s="126"/>
      <c r="K803" s="99"/>
      <c r="L803" s="83"/>
      <c r="M803" s="103"/>
      <c r="N803" s="103"/>
      <c r="O803" s="103"/>
      <c r="P803" s="103"/>
      <c r="Q803" s="103"/>
      <c r="R803" s="83"/>
      <c r="S803" s="103"/>
      <c r="T803" s="103"/>
      <c r="U803" s="103"/>
    </row>
    <row r="804" customFormat="false" ht="22.5" hidden="false" customHeight="true" outlineLevel="0" collapsed="false">
      <c r="A804" s="110"/>
      <c r="B804" s="110"/>
      <c r="C804" s="110"/>
      <c r="D804" s="122"/>
      <c r="E804" s="110"/>
      <c r="F804" s="128"/>
      <c r="G804" s="122"/>
      <c r="H804" s="131" t="b">
        <f aca="false">FALSE()</f>
        <v>0</v>
      </c>
      <c r="I804" s="131" t="b">
        <f aca="false">FALSE()</f>
        <v>0</v>
      </c>
      <c r="J804" s="130"/>
      <c r="K804" s="110"/>
      <c r="L804" s="83"/>
      <c r="M804" s="103"/>
      <c r="N804" s="103"/>
      <c r="O804" s="103"/>
      <c r="P804" s="103"/>
      <c r="Q804" s="103"/>
      <c r="R804" s="83"/>
      <c r="S804" s="103"/>
      <c r="T804" s="103"/>
      <c r="U804" s="103"/>
    </row>
    <row r="805" customFormat="false" ht="22.5" hidden="false" customHeight="true" outlineLevel="0" collapsed="false">
      <c r="A805" s="99"/>
      <c r="B805" s="99"/>
      <c r="C805" s="99"/>
      <c r="D805" s="121"/>
      <c r="E805" s="99"/>
      <c r="F805" s="124"/>
      <c r="G805" s="121"/>
      <c r="H805" s="132" t="b">
        <f aca="false">FALSE()</f>
        <v>0</v>
      </c>
      <c r="I805" s="132" t="b">
        <f aca="false">FALSE()</f>
        <v>0</v>
      </c>
      <c r="J805" s="126"/>
      <c r="K805" s="99"/>
      <c r="L805" s="83"/>
      <c r="M805" s="103"/>
      <c r="N805" s="103"/>
      <c r="O805" s="103"/>
      <c r="P805" s="103"/>
      <c r="Q805" s="103"/>
      <c r="R805" s="83"/>
      <c r="S805" s="103"/>
      <c r="T805" s="103"/>
      <c r="U805" s="103"/>
    </row>
    <row r="806" customFormat="false" ht="22.5" hidden="false" customHeight="true" outlineLevel="0" collapsed="false">
      <c r="A806" s="110"/>
      <c r="B806" s="110"/>
      <c r="C806" s="110"/>
      <c r="D806" s="122"/>
      <c r="E806" s="110"/>
      <c r="F806" s="128"/>
      <c r="G806" s="122"/>
      <c r="H806" s="131" t="b">
        <f aca="false">FALSE()</f>
        <v>0</v>
      </c>
      <c r="I806" s="131" t="b">
        <f aca="false">FALSE()</f>
        <v>0</v>
      </c>
      <c r="J806" s="130"/>
      <c r="K806" s="110"/>
      <c r="L806" s="83"/>
      <c r="M806" s="103"/>
      <c r="N806" s="103"/>
      <c r="O806" s="103"/>
      <c r="P806" s="103"/>
      <c r="Q806" s="103"/>
      <c r="R806" s="83"/>
      <c r="S806" s="103"/>
      <c r="T806" s="103"/>
      <c r="U806" s="103"/>
    </row>
    <row r="807" customFormat="false" ht="22.5" hidden="false" customHeight="true" outlineLevel="0" collapsed="false">
      <c r="A807" s="99"/>
      <c r="B807" s="99"/>
      <c r="C807" s="99"/>
      <c r="D807" s="121"/>
      <c r="E807" s="99"/>
      <c r="F807" s="124"/>
      <c r="G807" s="121"/>
      <c r="H807" s="132" t="b">
        <f aca="false">FALSE()</f>
        <v>0</v>
      </c>
      <c r="I807" s="132" t="b">
        <f aca="false">FALSE()</f>
        <v>0</v>
      </c>
      <c r="J807" s="126"/>
      <c r="K807" s="99"/>
      <c r="L807" s="83"/>
      <c r="M807" s="103"/>
      <c r="N807" s="103"/>
      <c r="O807" s="103"/>
      <c r="P807" s="103"/>
      <c r="Q807" s="103"/>
      <c r="R807" s="83"/>
      <c r="S807" s="103"/>
      <c r="T807" s="103"/>
      <c r="U807" s="103"/>
    </row>
    <row r="808" customFormat="false" ht="22.5" hidden="false" customHeight="true" outlineLevel="0" collapsed="false">
      <c r="A808" s="110"/>
      <c r="B808" s="110"/>
      <c r="C808" s="110"/>
      <c r="D808" s="122"/>
      <c r="E808" s="110"/>
      <c r="F808" s="128"/>
      <c r="G808" s="122"/>
      <c r="H808" s="131" t="b">
        <f aca="false">FALSE()</f>
        <v>0</v>
      </c>
      <c r="I808" s="131" t="b">
        <f aca="false">FALSE()</f>
        <v>0</v>
      </c>
      <c r="J808" s="130"/>
      <c r="K808" s="110"/>
      <c r="L808" s="83"/>
      <c r="M808" s="103"/>
      <c r="N808" s="103"/>
      <c r="O808" s="103"/>
      <c r="P808" s="103"/>
      <c r="Q808" s="103"/>
      <c r="R808" s="83"/>
      <c r="S808" s="103"/>
      <c r="T808" s="103"/>
      <c r="U808" s="103"/>
    </row>
    <row r="809" customFormat="false" ht="22.5" hidden="false" customHeight="true" outlineLevel="0" collapsed="false">
      <c r="A809" s="99"/>
      <c r="B809" s="99"/>
      <c r="C809" s="99"/>
      <c r="D809" s="121"/>
      <c r="E809" s="99"/>
      <c r="F809" s="124"/>
      <c r="G809" s="121"/>
      <c r="H809" s="132" t="b">
        <f aca="false">FALSE()</f>
        <v>0</v>
      </c>
      <c r="I809" s="132" t="b">
        <f aca="false">FALSE()</f>
        <v>0</v>
      </c>
      <c r="J809" s="126"/>
      <c r="K809" s="99"/>
      <c r="L809" s="83"/>
      <c r="M809" s="103"/>
      <c r="N809" s="103"/>
      <c r="O809" s="103"/>
      <c r="P809" s="103"/>
      <c r="Q809" s="103"/>
      <c r="R809" s="83"/>
      <c r="S809" s="103"/>
      <c r="T809" s="103"/>
      <c r="U809" s="103"/>
    </row>
    <row r="810" customFormat="false" ht="22.5" hidden="false" customHeight="true" outlineLevel="0" collapsed="false">
      <c r="A810" s="110"/>
      <c r="B810" s="110"/>
      <c r="C810" s="110"/>
      <c r="D810" s="122"/>
      <c r="E810" s="110"/>
      <c r="F810" s="128"/>
      <c r="G810" s="122"/>
      <c r="H810" s="131" t="b">
        <f aca="false">FALSE()</f>
        <v>0</v>
      </c>
      <c r="I810" s="131" t="b">
        <f aca="false">FALSE()</f>
        <v>0</v>
      </c>
      <c r="J810" s="130"/>
      <c r="K810" s="110"/>
      <c r="L810" s="83"/>
      <c r="M810" s="103"/>
      <c r="N810" s="103"/>
      <c r="O810" s="103"/>
      <c r="P810" s="103"/>
      <c r="Q810" s="103"/>
      <c r="R810" s="83"/>
      <c r="S810" s="103"/>
      <c r="T810" s="103"/>
      <c r="U810" s="103"/>
    </row>
    <row r="811" customFormat="false" ht="22.5" hidden="false" customHeight="true" outlineLevel="0" collapsed="false">
      <c r="A811" s="99"/>
      <c r="B811" s="99"/>
      <c r="C811" s="99"/>
      <c r="D811" s="121"/>
      <c r="E811" s="99"/>
      <c r="F811" s="124"/>
      <c r="G811" s="121"/>
      <c r="H811" s="132" t="b">
        <f aca="false">FALSE()</f>
        <v>0</v>
      </c>
      <c r="I811" s="132" t="b">
        <f aca="false">FALSE()</f>
        <v>0</v>
      </c>
      <c r="J811" s="126"/>
      <c r="K811" s="99"/>
      <c r="L811" s="83"/>
      <c r="M811" s="103"/>
      <c r="N811" s="103"/>
      <c r="O811" s="103"/>
      <c r="P811" s="103"/>
      <c r="Q811" s="103"/>
      <c r="R811" s="83"/>
      <c r="S811" s="103"/>
      <c r="T811" s="103"/>
      <c r="U811" s="103"/>
    </row>
    <row r="812" customFormat="false" ht="22.5" hidden="false" customHeight="true" outlineLevel="0" collapsed="false">
      <c r="A812" s="110"/>
      <c r="B812" s="110"/>
      <c r="C812" s="110"/>
      <c r="D812" s="122"/>
      <c r="E812" s="110"/>
      <c r="F812" s="128"/>
      <c r="G812" s="122"/>
      <c r="H812" s="131" t="b">
        <f aca="false">FALSE()</f>
        <v>0</v>
      </c>
      <c r="I812" s="131" t="b">
        <f aca="false">FALSE()</f>
        <v>0</v>
      </c>
      <c r="J812" s="130"/>
      <c r="K812" s="110"/>
      <c r="L812" s="83"/>
      <c r="M812" s="103"/>
      <c r="N812" s="103"/>
      <c r="O812" s="103"/>
      <c r="P812" s="103"/>
      <c r="Q812" s="103"/>
      <c r="R812" s="83"/>
      <c r="S812" s="103"/>
      <c r="T812" s="103"/>
      <c r="U812" s="103"/>
    </row>
    <row r="813" customFormat="false" ht="22.5" hidden="false" customHeight="true" outlineLevel="0" collapsed="false">
      <c r="A813" s="99"/>
      <c r="B813" s="99"/>
      <c r="C813" s="99"/>
      <c r="D813" s="121"/>
      <c r="E813" s="99"/>
      <c r="F813" s="124"/>
      <c r="G813" s="121"/>
      <c r="H813" s="132" t="b">
        <f aca="false">FALSE()</f>
        <v>0</v>
      </c>
      <c r="I813" s="132" t="b">
        <f aca="false">FALSE()</f>
        <v>0</v>
      </c>
      <c r="J813" s="126"/>
      <c r="K813" s="99"/>
      <c r="L813" s="83"/>
      <c r="M813" s="103"/>
      <c r="N813" s="103"/>
      <c r="O813" s="103"/>
      <c r="P813" s="103"/>
      <c r="Q813" s="103"/>
      <c r="R813" s="83"/>
      <c r="S813" s="103"/>
      <c r="T813" s="103"/>
      <c r="U813" s="103"/>
    </row>
    <row r="814" customFormat="false" ht="22.5" hidden="false" customHeight="true" outlineLevel="0" collapsed="false">
      <c r="A814" s="110"/>
      <c r="B814" s="110"/>
      <c r="C814" s="110"/>
      <c r="D814" s="122"/>
      <c r="E814" s="110"/>
      <c r="F814" s="128"/>
      <c r="G814" s="122"/>
      <c r="H814" s="131" t="b">
        <f aca="false">FALSE()</f>
        <v>0</v>
      </c>
      <c r="I814" s="131" t="b">
        <f aca="false">FALSE()</f>
        <v>0</v>
      </c>
      <c r="J814" s="130"/>
      <c r="K814" s="110"/>
      <c r="L814" s="83"/>
      <c r="M814" s="103"/>
      <c r="N814" s="103"/>
      <c r="O814" s="103"/>
      <c r="P814" s="103"/>
      <c r="Q814" s="103"/>
      <c r="R814" s="83"/>
      <c r="S814" s="103"/>
      <c r="T814" s="103"/>
      <c r="U814" s="103"/>
    </row>
    <row r="815" customFormat="false" ht="22.5" hidden="false" customHeight="true" outlineLevel="0" collapsed="false">
      <c r="A815" s="99"/>
      <c r="B815" s="99"/>
      <c r="C815" s="99"/>
      <c r="D815" s="121"/>
      <c r="E815" s="99"/>
      <c r="F815" s="124"/>
      <c r="G815" s="121"/>
      <c r="H815" s="132" t="b">
        <f aca="false">FALSE()</f>
        <v>0</v>
      </c>
      <c r="I815" s="132" t="b">
        <f aca="false">FALSE()</f>
        <v>0</v>
      </c>
      <c r="J815" s="126"/>
      <c r="K815" s="99"/>
      <c r="L815" s="83"/>
      <c r="M815" s="103"/>
      <c r="N815" s="103"/>
      <c r="O815" s="103"/>
      <c r="P815" s="103"/>
      <c r="Q815" s="103"/>
      <c r="R815" s="83"/>
      <c r="S815" s="103"/>
      <c r="T815" s="103"/>
      <c r="U815" s="103"/>
    </row>
    <row r="816" customFormat="false" ht="22.5" hidden="false" customHeight="true" outlineLevel="0" collapsed="false">
      <c r="A816" s="110"/>
      <c r="B816" s="110"/>
      <c r="C816" s="110"/>
      <c r="D816" s="122"/>
      <c r="E816" s="110"/>
      <c r="F816" s="128"/>
      <c r="G816" s="122"/>
      <c r="H816" s="131" t="b">
        <f aca="false">FALSE()</f>
        <v>0</v>
      </c>
      <c r="I816" s="131" t="b">
        <f aca="false">FALSE()</f>
        <v>0</v>
      </c>
      <c r="J816" s="130"/>
      <c r="K816" s="110"/>
      <c r="L816" s="83"/>
      <c r="M816" s="103"/>
      <c r="N816" s="103"/>
      <c r="O816" s="103"/>
      <c r="P816" s="103"/>
      <c r="Q816" s="103"/>
      <c r="R816" s="83"/>
      <c r="S816" s="103"/>
      <c r="T816" s="103"/>
      <c r="U816" s="103"/>
    </row>
    <row r="817" customFormat="false" ht="22.5" hidden="false" customHeight="true" outlineLevel="0" collapsed="false">
      <c r="A817" s="99"/>
      <c r="B817" s="99"/>
      <c r="C817" s="99"/>
      <c r="D817" s="121"/>
      <c r="E817" s="99"/>
      <c r="F817" s="124"/>
      <c r="G817" s="121"/>
      <c r="H817" s="132" t="b">
        <f aca="false">FALSE()</f>
        <v>0</v>
      </c>
      <c r="I817" s="132" t="b">
        <f aca="false">FALSE()</f>
        <v>0</v>
      </c>
      <c r="J817" s="126"/>
      <c r="K817" s="99"/>
      <c r="L817" s="83"/>
      <c r="M817" s="103"/>
      <c r="N817" s="103"/>
      <c r="O817" s="103"/>
      <c r="P817" s="103"/>
      <c r="Q817" s="103"/>
      <c r="R817" s="83"/>
      <c r="S817" s="103"/>
      <c r="T817" s="103"/>
      <c r="U817" s="103"/>
    </row>
    <row r="818" customFormat="false" ht="22.5" hidden="false" customHeight="true" outlineLevel="0" collapsed="false">
      <c r="A818" s="110"/>
      <c r="B818" s="110"/>
      <c r="C818" s="110"/>
      <c r="D818" s="122"/>
      <c r="E818" s="110"/>
      <c r="F818" s="128"/>
      <c r="G818" s="122"/>
      <c r="H818" s="131" t="b">
        <f aca="false">FALSE()</f>
        <v>0</v>
      </c>
      <c r="I818" s="131" t="b">
        <f aca="false">FALSE()</f>
        <v>0</v>
      </c>
      <c r="J818" s="130"/>
      <c r="K818" s="110"/>
      <c r="L818" s="83"/>
      <c r="M818" s="103"/>
      <c r="N818" s="103"/>
      <c r="O818" s="103"/>
      <c r="P818" s="103"/>
      <c r="Q818" s="103"/>
      <c r="R818" s="83"/>
      <c r="S818" s="103"/>
      <c r="T818" s="103"/>
      <c r="U818" s="103"/>
    </row>
    <row r="819" customFormat="false" ht="22.5" hidden="false" customHeight="true" outlineLevel="0" collapsed="false">
      <c r="A819" s="99"/>
      <c r="B819" s="99"/>
      <c r="C819" s="99"/>
      <c r="D819" s="121"/>
      <c r="E819" s="99"/>
      <c r="F819" s="124"/>
      <c r="G819" s="121"/>
      <c r="H819" s="132" t="b">
        <f aca="false">FALSE()</f>
        <v>0</v>
      </c>
      <c r="I819" s="132" t="b">
        <f aca="false">FALSE()</f>
        <v>0</v>
      </c>
      <c r="J819" s="126"/>
      <c r="K819" s="99"/>
      <c r="L819" s="83"/>
      <c r="M819" s="103"/>
      <c r="N819" s="103"/>
      <c r="O819" s="103"/>
      <c r="P819" s="103"/>
      <c r="Q819" s="103"/>
      <c r="R819" s="83"/>
      <c r="S819" s="103"/>
      <c r="T819" s="103"/>
      <c r="U819" s="103"/>
    </row>
    <row r="820" customFormat="false" ht="22.5" hidden="false" customHeight="true" outlineLevel="0" collapsed="false">
      <c r="A820" s="110"/>
      <c r="B820" s="110"/>
      <c r="C820" s="110"/>
      <c r="D820" s="122"/>
      <c r="E820" s="110"/>
      <c r="F820" s="128"/>
      <c r="G820" s="122"/>
      <c r="H820" s="131" t="b">
        <f aca="false">FALSE()</f>
        <v>0</v>
      </c>
      <c r="I820" s="131" t="b">
        <f aca="false">FALSE()</f>
        <v>0</v>
      </c>
      <c r="J820" s="130"/>
      <c r="K820" s="110"/>
      <c r="L820" s="83"/>
      <c r="M820" s="103"/>
      <c r="N820" s="103"/>
      <c r="O820" s="103"/>
      <c r="P820" s="103"/>
      <c r="Q820" s="103"/>
      <c r="R820" s="83"/>
      <c r="S820" s="103"/>
      <c r="T820" s="103"/>
      <c r="U820" s="103"/>
    </row>
    <row r="821" customFormat="false" ht="22.5" hidden="false" customHeight="true" outlineLevel="0" collapsed="false">
      <c r="A821" s="99"/>
      <c r="B821" s="99"/>
      <c r="C821" s="99"/>
      <c r="D821" s="121"/>
      <c r="E821" s="99"/>
      <c r="F821" s="124"/>
      <c r="G821" s="121"/>
      <c r="H821" s="132" t="b">
        <f aca="false">FALSE()</f>
        <v>0</v>
      </c>
      <c r="I821" s="132" t="b">
        <f aca="false">FALSE()</f>
        <v>0</v>
      </c>
      <c r="J821" s="126"/>
      <c r="K821" s="99"/>
      <c r="L821" s="83"/>
      <c r="M821" s="103"/>
      <c r="N821" s="103"/>
      <c r="O821" s="103"/>
      <c r="P821" s="103"/>
      <c r="Q821" s="103"/>
      <c r="R821" s="83"/>
      <c r="S821" s="103"/>
      <c r="T821" s="103"/>
      <c r="U821" s="103"/>
    </row>
    <row r="822" customFormat="false" ht="22.5" hidden="false" customHeight="true" outlineLevel="0" collapsed="false">
      <c r="A822" s="110"/>
      <c r="B822" s="110"/>
      <c r="C822" s="110"/>
      <c r="D822" s="122"/>
      <c r="E822" s="110"/>
      <c r="F822" s="128"/>
      <c r="G822" s="122"/>
      <c r="H822" s="131" t="b">
        <f aca="false">FALSE()</f>
        <v>0</v>
      </c>
      <c r="I822" s="131" t="b">
        <f aca="false">FALSE()</f>
        <v>0</v>
      </c>
      <c r="J822" s="130"/>
      <c r="K822" s="110"/>
      <c r="L822" s="83"/>
      <c r="M822" s="103"/>
      <c r="N822" s="103"/>
      <c r="O822" s="103"/>
      <c r="P822" s="103"/>
      <c r="Q822" s="103"/>
      <c r="R822" s="83"/>
      <c r="S822" s="103"/>
      <c r="T822" s="103"/>
      <c r="U822" s="103"/>
    </row>
    <row r="823" customFormat="false" ht="22.5" hidden="false" customHeight="true" outlineLevel="0" collapsed="false">
      <c r="A823" s="99"/>
      <c r="B823" s="99"/>
      <c r="C823" s="99"/>
      <c r="D823" s="121"/>
      <c r="E823" s="99"/>
      <c r="F823" s="124"/>
      <c r="G823" s="121"/>
      <c r="H823" s="132" t="b">
        <f aca="false">FALSE()</f>
        <v>0</v>
      </c>
      <c r="I823" s="132" t="b">
        <f aca="false">FALSE()</f>
        <v>0</v>
      </c>
      <c r="J823" s="126"/>
      <c r="K823" s="99"/>
      <c r="L823" s="83"/>
      <c r="M823" s="103"/>
      <c r="N823" s="103"/>
      <c r="O823" s="103"/>
      <c r="P823" s="103"/>
      <c r="Q823" s="103"/>
      <c r="R823" s="83"/>
      <c r="S823" s="103"/>
      <c r="T823" s="103"/>
      <c r="U823" s="103"/>
    </row>
    <row r="824" customFormat="false" ht="22.5" hidden="false" customHeight="true" outlineLevel="0" collapsed="false">
      <c r="A824" s="110"/>
      <c r="B824" s="110"/>
      <c r="C824" s="110"/>
      <c r="D824" s="122"/>
      <c r="E824" s="110"/>
      <c r="F824" s="128"/>
      <c r="G824" s="122"/>
      <c r="H824" s="131" t="b">
        <f aca="false">FALSE()</f>
        <v>0</v>
      </c>
      <c r="I824" s="131" t="b">
        <f aca="false">FALSE()</f>
        <v>0</v>
      </c>
      <c r="J824" s="130"/>
      <c r="K824" s="110"/>
      <c r="L824" s="83"/>
      <c r="M824" s="103"/>
      <c r="N824" s="103"/>
      <c r="O824" s="103"/>
      <c r="P824" s="103"/>
      <c r="Q824" s="103"/>
      <c r="R824" s="83"/>
      <c r="S824" s="103"/>
      <c r="T824" s="103"/>
      <c r="U824" s="103"/>
    </row>
    <row r="825" customFormat="false" ht="22.5" hidden="false" customHeight="true" outlineLevel="0" collapsed="false">
      <c r="A825" s="99"/>
      <c r="B825" s="99"/>
      <c r="C825" s="99"/>
      <c r="D825" s="121"/>
      <c r="E825" s="99"/>
      <c r="F825" s="124"/>
      <c r="G825" s="121"/>
      <c r="H825" s="132" t="b">
        <f aca="false">FALSE()</f>
        <v>0</v>
      </c>
      <c r="I825" s="132" t="b">
        <f aca="false">FALSE()</f>
        <v>0</v>
      </c>
      <c r="J825" s="126"/>
      <c r="K825" s="99"/>
      <c r="L825" s="83"/>
      <c r="M825" s="103"/>
      <c r="N825" s="103"/>
      <c r="O825" s="103"/>
      <c r="P825" s="103"/>
      <c r="Q825" s="103"/>
      <c r="R825" s="83"/>
      <c r="S825" s="103"/>
      <c r="T825" s="103"/>
      <c r="U825" s="103"/>
    </row>
    <row r="826" customFormat="false" ht="22.5" hidden="false" customHeight="true" outlineLevel="0" collapsed="false">
      <c r="A826" s="110"/>
      <c r="B826" s="110"/>
      <c r="C826" s="110"/>
      <c r="D826" s="122"/>
      <c r="E826" s="110"/>
      <c r="F826" s="128"/>
      <c r="G826" s="122"/>
      <c r="H826" s="131" t="b">
        <f aca="false">FALSE()</f>
        <v>0</v>
      </c>
      <c r="I826" s="131" t="b">
        <f aca="false">FALSE()</f>
        <v>0</v>
      </c>
      <c r="J826" s="130"/>
      <c r="K826" s="110"/>
      <c r="L826" s="83"/>
      <c r="M826" s="103"/>
      <c r="N826" s="103"/>
      <c r="O826" s="103"/>
      <c r="P826" s="103"/>
      <c r="Q826" s="103"/>
      <c r="R826" s="83"/>
      <c r="S826" s="103"/>
      <c r="T826" s="103"/>
      <c r="U826" s="103"/>
    </row>
    <row r="827" customFormat="false" ht="22.5" hidden="false" customHeight="true" outlineLevel="0" collapsed="false">
      <c r="A827" s="99"/>
      <c r="B827" s="99"/>
      <c r="C827" s="99"/>
      <c r="D827" s="121"/>
      <c r="E827" s="99"/>
      <c r="F827" s="124"/>
      <c r="G827" s="121"/>
      <c r="H827" s="132" t="b">
        <f aca="false">FALSE()</f>
        <v>0</v>
      </c>
      <c r="I827" s="132" t="b">
        <f aca="false">FALSE()</f>
        <v>0</v>
      </c>
      <c r="J827" s="126"/>
      <c r="K827" s="99"/>
      <c r="L827" s="83"/>
      <c r="M827" s="103"/>
      <c r="N827" s="103"/>
      <c r="O827" s="103"/>
      <c r="P827" s="103"/>
      <c r="Q827" s="103"/>
      <c r="R827" s="83"/>
      <c r="S827" s="103"/>
      <c r="T827" s="103"/>
      <c r="U827" s="103"/>
    </row>
    <row r="828" customFormat="false" ht="22.5" hidden="false" customHeight="true" outlineLevel="0" collapsed="false">
      <c r="A828" s="110"/>
      <c r="B828" s="110"/>
      <c r="C828" s="110"/>
      <c r="D828" s="122"/>
      <c r="E828" s="110"/>
      <c r="F828" s="128"/>
      <c r="G828" s="122"/>
      <c r="H828" s="131" t="b">
        <f aca="false">FALSE()</f>
        <v>0</v>
      </c>
      <c r="I828" s="131" t="b">
        <f aca="false">FALSE()</f>
        <v>0</v>
      </c>
      <c r="J828" s="130"/>
      <c r="K828" s="110"/>
      <c r="L828" s="83"/>
      <c r="M828" s="103"/>
      <c r="N828" s="103"/>
      <c r="O828" s="103"/>
      <c r="P828" s="103"/>
      <c r="Q828" s="103"/>
      <c r="R828" s="83"/>
      <c r="S828" s="103"/>
      <c r="T828" s="103"/>
      <c r="U828" s="103"/>
    </row>
    <row r="829" customFormat="false" ht="22.5" hidden="false" customHeight="true" outlineLevel="0" collapsed="false">
      <c r="A829" s="99"/>
      <c r="B829" s="99"/>
      <c r="C829" s="99"/>
      <c r="D829" s="121"/>
      <c r="E829" s="99"/>
      <c r="F829" s="124"/>
      <c r="G829" s="121"/>
      <c r="H829" s="132" t="b">
        <f aca="false">FALSE()</f>
        <v>0</v>
      </c>
      <c r="I829" s="132" t="b">
        <f aca="false">FALSE()</f>
        <v>0</v>
      </c>
      <c r="J829" s="126"/>
      <c r="K829" s="99"/>
      <c r="L829" s="83"/>
      <c r="M829" s="103"/>
      <c r="N829" s="103"/>
      <c r="O829" s="103"/>
      <c r="P829" s="103"/>
      <c r="Q829" s="103"/>
      <c r="R829" s="83"/>
      <c r="S829" s="103"/>
      <c r="T829" s="103"/>
      <c r="U829" s="103"/>
    </row>
    <row r="830" customFormat="false" ht="22.5" hidden="false" customHeight="true" outlineLevel="0" collapsed="false">
      <c r="A830" s="110"/>
      <c r="B830" s="110"/>
      <c r="C830" s="110"/>
      <c r="D830" s="122"/>
      <c r="E830" s="110"/>
      <c r="F830" s="128"/>
      <c r="G830" s="122"/>
      <c r="H830" s="131" t="b">
        <f aca="false">FALSE()</f>
        <v>0</v>
      </c>
      <c r="I830" s="131" t="b">
        <f aca="false">FALSE()</f>
        <v>0</v>
      </c>
      <c r="J830" s="130"/>
      <c r="K830" s="110"/>
      <c r="L830" s="83"/>
      <c r="M830" s="103"/>
      <c r="N830" s="103"/>
      <c r="O830" s="103"/>
      <c r="P830" s="103"/>
      <c r="Q830" s="103"/>
      <c r="R830" s="83"/>
      <c r="S830" s="103"/>
      <c r="T830" s="103"/>
      <c r="U830" s="103"/>
    </row>
    <row r="831" customFormat="false" ht="22.5" hidden="false" customHeight="true" outlineLevel="0" collapsed="false">
      <c r="A831" s="99"/>
      <c r="B831" s="99"/>
      <c r="C831" s="99"/>
      <c r="D831" s="121"/>
      <c r="E831" s="99"/>
      <c r="F831" s="124"/>
      <c r="G831" s="121"/>
      <c r="H831" s="132" t="b">
        <f aca="false">FALSE()</f>
        <v>0</v>
      </c>
      <c r="I831" s="132" t="b">
        <f aca="false">FALSE()</f>
        <v>0</v>
      </c>
      <c r="J831" s="126"/>
      <c r="K831" s="99"/>
      <c r="L831" s="83"/>
      <c r="M831" s="103"/>
      <c r="N831" s="103"/>
      <c r="O831" s="103"/>
      <c r="P831" s="103"/>
      <c r="Q831" s="103"/>
      <c r="R831" s="83"/>
      <c r="S831" s="103"/>
      <c r="T831" s="103"/>
      <c r="U831" s="103"/>
    </row>
    <row r="832" customFormat="false" ht="22.5" hidden="false" customHeight="true" outlineLevel="0" collapsed="false">
      <c r="A832" s="110"/>
      <c r="B832" s="110"/>
      <c r="C832" s="110"/>
      <c r="D832" s="122"/>
      <c r="E832" s="110"/>
      <c r="F832" s="128"/>
      <c r="G832" s="122"/>
      <c r="H832" s="131" t="b">
        <f aca="false">FALSE()</f>
        <v>0</v>
      </c>
      <c r="I832" s="131" t="b">
        <f aca="false">FALSE()</f>
        <v>0</v>
      </c>
      <c r="J832" s="130"/>
      <c r="K832" s="110"/>
      <c r="L832" s="83"/>
      <c r="M832" s="103"/>
      <c r="N832" s="103"/>
      <c r="O832" s="103"/>
      <c r="P832" s="103"/>
      <c r="Q832" s="103"/>
      <c r="R832" s="83"/>
      <c r="S832" s="103"/>
      <c r="T832" s="103"/>
      <c r="U832" s="103"/>
    </row>
    <row r="833" customFormat="false" ht="22.5" hidden="false" customHeight="true" outlineLevel="0" collapsed="false">
      <c r="A833" s="99"/>
      <c r="B833" s="99"/>
      <c r="C833" s="99"/>
      <c r="D833" s="121"/>
      <c r="E833" s="99"/>
      <c r="F833" s="124"/>
      <c r="G833" s="121"/>
      <c r="H833" s="132" t="b">
        <f aca="false">FALSE()</f>
        <v>0</v>
      </c>
      <c r="I833" s="132" t="b">
        <f aca="false">FALSE()</f>
        <v>0</v>
      </c>
      <c r="J833" s="126"/>
      <c r="K833" s="99"/>
      <c r="L833" s="83"/>
      <c r="M833" s="103"/>
      <c r="N833" s="103"/>
      <c r="O833" s="103"/>
      <c r="P833" s="103"/>
      <c r="Q833" s="103"/>
      <c r="R833" s="83"/>
      <c r="S833" s="103"/>
      <c r="T833" s="103"/>
      <c r="U833" s="103"/>
    </row>
    <row r="834" customFormat="false" ht="22.5" hidden="false" customHeight="true" outlineLevel="0" collapsed="false">
      <c r="A834" s="110"/>
      <c r="B834" s="110"/>
      <c r="C834" s="110"/>
      <c r="D834" s="122"/>
      <c r="E834" s="110"/>
      <c r="F834" s="128"/>
      <c r="G834" s="122"/>
      <c r="H834" s="131" t="b">
        <f aca="false">FALSE()</f>
        <v>0</v>
      </c>
      <c r="I834" s="131" t="b">
        <f aca="false">FALSE()</f>
        <v>0</v>
      </c>
      <c r="J834" s="130"/>
      <c r="K834" s="110"/>
      <c r="L834" s="83"/>
      <c r="M834" s="103"/>
      <c r="N834" s="103"/>
      <c r="O834" s="103"/>
      <c r="P834" s="103"/>
      <c r="Q834" s="103"/>
      <c r="R834" s="83"/>
      <c r="S834" s="103"/>
      <c r="T834" s="103"/>
      <c r="U834" s="103"/>
    </row>
    <row r="835" customFormat="false" ht="22.5" hidden="false" customHeight="true" outlineLevel="0" collapsed="false">
      <c r="A835" s="99"/>
      <c r="B835" s="99"/>
      <c r="C835" s="99"/>
      <c r="D835" s="121"/>
      <c r="E835" s="99"/>
      <c r="F835" s="124"/>
      <c r="G835" s="121"/>
      <c r="H835" s="132" t="b">
        <f aca="false">FALSE()</f>
        <v>0</v>
      </c>
      <c r="I835" s="132" t="b">
        <f aca="false">FALSE()</f>
        <v>0</v>
      </c>
      <c r="J835" s="126"/>
      <c r="K835" s="99"/>
      <c r="L835" s="83"/>
      <c r="M835" s="103"/>
      <c r="N835" s="103"/>
      <c r="O835" s="103"/>
      <c r="P835" s="103"/>
      <c r="Q835" s="103"/>
      <c r="R835" s="83"/>
      <c r="S835" s="103"/>
      <c r="T835" s="103"/>
      <c r="U835" s="103"/>
    </row>
    <row r="836" customFormat="false" ht="22.5" hidden="false" customHeight="true" outlineLevel="0" collapsed="false">
      <c r="A836" s="110"/>
      <c r="B836" s="110"/>
      <c r="C836" s="110"/>
      <c r="D836" s="122"/>
      <c r="E836" s="110"/>
      <c r="F836" s="128"/>
      <c r="G836" s="122"/>
      <c r="H836" s="131" t="b">
        <f aca="false">FALSE()</f>
        <v>0</v>
      </c>
      <c r="I836" s="131" t="b">
        <f aca="false">FALSE()</f>
        <v>0</v>
      </c>
      <c r="J836" s="130"/>
      <c r="K836" s="110"/>
      <c r="L836" s="83"/>
      <c r="M836" s="103"/>
      <c r="N836" s="103"/>
      <c r="O836" s="103"/>
      <c r="P836" s="103"/>
      <c r="Q836" s="103"/>
      <c r="R836" s="83"/>
      <c r="S836" s="103"/>
      <c r="T836" s="103"/>
      <c r="U836" s="103"/>
    </row>
    <row r="837" customFormat="false" ht="22.5" hidden="false" customHeight="true" outlineLevel="0" collapsed="false">
      <c r="A837" s="99"/>
      <c r="B837" s="99"/>
      <c r="C837" s="99"/>
      <c r="D837" s="121"/>
      <c r="E837" s="99"/>
      <c r="F837" s="124"/>
      <c r="G837" s="121"/>
      <c r="H837" s="132" t="b">
        <f aca="false">FALSE()</f>
        <v>0</v>
      </c>
      <c r="I837" s="132" t="b">
        <f aca="false">FALSE()</f>
        <v>0</v>
      </c>
      <c r="J837" s="126"/>
      <c r="K837" s="99"/>
      <c r="L837" s="83"/>
      <c r="M837" s="103"/>
      <c r="N837" s="103"/>
      <c r="O837" s="103"/>
      <c r="P837" s="103"/>
      <c r="Q837" s="103"/>
      <c r="R837" s="83"/>
      <c r="S837" s="103"/>
      <c r="T837" s="103"/>
      <c r="U837" s="103"/>
    </row>
    <row r="838" customFormat="false" ht="22.5" hidden="false" customHeight="true" outlineLevel="0" collapsed="false">
      <c r="A838" s="110"/>
      <c r="B838" s="110"/>
      <c r="C838" s="110"/>
      <c r="D838" s="122"/>
      <c r="E838" s="110"/>
      <c r="F838" s="128"/>
      <c r="G838" s="122"/>
      <c r="H838" s="131" t="b">
        <f aca="false">FALSE()</f>
        <v>0</v>
      </c>
      <c r="I838" s="131" t="b">
        <f aca="false">FALSE()</f>
        <v>0</v>
      </c>
      <c r="J838" s="130"/>
      <c r="K838" s="110"/>
      <c r="L838" s="83"/>
      <c r="M838" s="103"/>
      <c r="N838" s="103"/>
      <c r="O838" s="103"/>
      <c r="P838" s="103"/>
      <c r="Q838" s="103"/>
      <c r="R838" s="83"/>
      <c r="S838" s="103"/>
      <c r="T838" s="103"/>
      <c r="U838" s="103"/>
    </row>
    <row r="839" customFormat="false" ht="22.5" hidden="false" customHeight="true" outlineLevel="0" collapsed="false">
      <c r="A839" s="99"/>
      <c r="B839" s="99"/>
      <c r="C839" s="99"/>
      <c r="D839" s="121"/>
      <c r="E839" s="99"/>
      <c r="F839" s="124"/>
      <c r="G839" s="121"/>
      <c r="H839" s="132" t="b">
        <f aca="false">FALSE()</f>
        <v>0</v>
      </c>
      <c r="I839" s="132" t="b">
        <f aca="false">FALSE()</f>
        <v>0</v>
      </c>
      <c r="J839" s="126"/>
      <c r="K839" s="99"/>
      <c r="L839" s="83"/>
      <c r="M839" s="103"/>
      <c r="N839" s="103"/>
      <c r="O839" s="103"/>
      <c r="P839" s="103"/>
      <c r="Q839" s="103"/>
      <c r="R839" s="83"/>
      <c r="S839" s="103"/>
      <c r="T839" s="103"/>
      <c r="U839" s="103"/>
    </row>
    <row r="840" customFormat="false" ht="22.5" hidden="false" customHeight="true" outlineLevel="0" collapsed="false">
      <c r="A840" s="110"/>
      <c r="B840" s="110"/>
      <c r="C840" s="110"/>
      <c r="D840" s="122"/>
      <c r="E840" s="110"/>
      <c r="F840" s="128"/>
      <c r="G840" s="122"/>
      <c r="H840" s="131" t="b">
        <f aca="false">FALSE()</f>
        <v>0</v>
      </c>
      <c r="I840" s="131" t="b">
        <f aca="false">FALSE()</f>
        <v>0</v>
      </c>
      <c r="J840" s="130"/>
      <c r="K840" s="110"/>
      <c r="L840" s="83"/>
      <c r="M840" s="103"/>
      <c r="N840" s="103"/>
      <c r="O840" s="103"/>
      <c r="P840" s="103"/>
      <c r="Q840" s="103"/>
      <c r="R840" s="83"/>
      <c r="S840" s="103"/>
      <c r="T840" s="103"/>
      <c r="U840" s="103"/>
    </row>
    <row r="841" customFormat="false" ht="22.5" hidden="false" customHeight="true" outlineLevel="0" collapsed="false">
      <c r="A841" s="99"/>
      <c r="B841" s="99"/>
      <c r="C841" s="99"/>
      <c r="D841" s="121"/>
      <c r="E841" s="99"/>
      <c r="F841" s="124"/>
      <c r="G841" s="121"/>
      <c r="H841" s="132" t="b">
        <f aca="false">FALSE()</f>
        <v>0</v>
      </c>
      <c r="I841" s="132" t="b">
        <f aca="false">FALSE()</f>
        <v>0</v>
      </c>
      <c r="J841" s="126"/>
      <c r="K841" s="99"/>
      <c r="L841" s="83"/>
      <c r="M841" s="103"/>
      <c r="N841" s="103"/>
      <c r="O841" s="103"/>
      <c r="P841" s="103"/>
      <c r="Q841" s="103"/>
      <c r="R841" s="83"/>
      <c r="S841" s="103"/>
      <c r="T841" s="103"/>
      <c r="U841" s="103"/>
    </row>
    <row r="842" customFormat="false" ht="22.5" hidden="false" customHeight="true" outlineLevel="0" collapsed="false">
      <c r="A842" s="110"/>
      <c r="B842" s="110"/>
      <c r="C842" s="110"/>
      <c r="D842" s="122"/>
      <c r="E842" s="110"/>
      <c r="F842" s="128"/>
      <c r="G842" s="122"/>
      <c r="H842" s="131" t="b">
        <f aca="false">FALSE()</f>
        <v>0</v>
      </c>
      <c r="I842" s="131" t="b">
        <f aca="false">FALSE()</f>
        <v>0</v>
      </c>
      <c r="J842" s="130"/>
      <c r="K842" s="110"/>
      <c r="L842" s="83"/>
      <c r="M842" s="103"/>
      <c r="N842" s="103"/>
      <c r="O842" s="103"/>
      <c r="P842" s="103"/>
      <c r="Q842" s="103"/>
      <c r="R842" s="83"/>
      <c r="S842" s="103"/>
      <c r="T842" s="103"/>
      <c r="U842" s="103"/>
    </row>
    <row r="843" customFormat="false" ht="22.5" hidden="false" customHeight="true" outlineLevel="0" collapsed="false">
      <c r="A843" s="99"/>
      <c r="B843" s="99"/>
      <c r="C843" s="99"/>
      <c r="D843" s="121"/>
      <c r="E843" s="99"/>
      <c r="F843" s="124"/>
      <c r="G843" s="121"/>
      <c r="H843" s="132" t="b">
        <f aca="false">FALSE()</f>
        <v>0</v>
      </c>
      <c r="I843" s="132" t="b">
        <f aca="false">FALSE()</f>
        <v>0</v>
      </c>
      <c r="J843" s="126"/>
      <c r="K843" s="99"/>
      <c r="L843" s="83"/>
      <c r="M843" s="103"/>
      <c r="N843" s="103"/>
      <c r="O843" s="103"/>
      <c r="P843" s="103"/>
      <c r="Q843" s="103"/>
      <c r="R843" s="83"/>
      <c r="S843" s="103"/>
      <c r="T843" s="103"/>
      <c r="U843" s="103"/>
    </row>
    <row r="844" customFormat="false" ht="22.5" hidden="false" customHeight="true" outlineLevel="0" collapsed="false">
      <c r="A844" s="110"/>
      <c r="B844" s="110"/>
      <c r="C844" s="110"/>
      <c r="D844" s="122"/>
      <c r="E844" s="110"/>
      <c r="F844" s="128"/>
      <c r="G844" s="122"/>
      <c r="H844" s="131" t="b">
        <f aca="false">FALSE()</f>
        <v>0</v>
      </c>
      <c r="I844" s="131" t="b">
        <f aca="false">FALSE()</f>
        <v>0</v>
      </c>
      <c r="J844" s="130"/>
      <c r="K844" s="110"/>
      <c r="L844" s="83"/>
      <c r="M844" s="103"/>
      <c r="N844" s="103"/>
      <c r="O844" s="103"/>
      <c r="P844" s="103"/>
      <c r="Q844" s="103"/>
      <c r="R844" s="83"/>
      <c r="S844" s="103"/>
      <c r="T844" s="103"/>
      <c r="U844" s="103"/>
    </row>
    <row r="845" customFormat="false" ht="22.5" hidden="false" customHeight="true" outlineLevel="0" collapsed="false">
      <c r="A845" s="99"/>
      <c r="B845" s="99"/>
      <c r="C845" s="99"/>
      <c r="D845" s="121"/>
      <c r="E845" s="99"/>
      <c r="F845" s="124"/>
      <c r="G845" s="121"/>
      <c r="H845" s="132" t="b">
        <f aca="false">FALSE()</f>
        <v>0</v>
      </c>
      <c r="I845" s="132" t="b">
        <f aca="false">FALSE()</f>
        <v>0</v>
      </c>
      <c r="J845" s="126"/>
      <c r="K845" s="99"/>
      <c r="L845" s="83"/>
      <c r="M845" s="103"/>
      <c r="N845" s="103"/>
      <c r="O845" s="103"/>
      <c r="P845" s="103"/>
      <c r="Q845" s="103"/>
      <c r="R845" s="83"/>
      <c r="S845" s="103"/>
      <c r="T845" s="103"/>
      <c r="U845" s="103"/>
    </row>
    <row r="846" customFormat="false" ht="22.5" hidden="false" customHeight="true" outlineLevel="0" collapsed="false">
      <c r="A846" s="110"/>
      <c r="B846" s="110"/>
      <c r="C846" s="110"/>
      <c r="D846" s="122"/>
      <c r="E846" s="110"/>
      <c r="F846" s="128"/>
      <c r="G846" s="122"/>
      <c r="H846" s="131" t="b">
        <f aca="false">FALSE()</f>
        <v>0</v>
      </c>
      <c r="I846" s="131" t="b">
        <f aca="false">FALSE()</f>
        <v>0</v>
      </c>
      <c r="J846" s="130"/>
      <c r="K846" s="110"/>
      <c r="L846" s="83"/>
      <c r="M846" s="103"/>
      <c r="N846" s="103"/>
      <c r="O846" s="103"/>
      <c r="P846" s="103"/>
      <c r="Q846" s="103"/>
      <c r="R846" s="83"/>
      <c r="S846" s="103"/>
      <c r="T846" s="103"/>
      <c r="U846" s="103"/>
    </row>
    <row r="847" customFormat="false" ht="22.5" hidden="false" customHeight="true" outlineLevel="0" collapsed="false">
      <c r="A847" s="99"/>
      <c r="B847" s="99"/>
      <c r="C847" s="99"/>
      <c r="D847" s="121"/>
      <c r="E847" s="99"/>
      <c r="F847" s="124"/>
      <c r="G847" s="121"/>
      <c r="H847" s="132" t="b">
        <f aca="false">FALSE()</f>
        <v>0</v>
      </c>
      <c r="I847" s="132" t="b">
        <f aca="false">FALSE()</f>
        <v>0</v>
      </c>
      <c r="J847" s="126"/>
      <c r="K847" s="99"/>
      <c r="L847" s="83"/>
      <c r="M847" s="103"/>
      <c r="N847" s="103"/>
      <c r="O847" s="103"/>
      <c r="P847" s="103"/>
      <c r="Q847" s="103"/>
      <c r="R847" s="83"/>
      <c r="S847" s="103"/>
      <c r="T847" s="103"/>
      <c r="U847" s="103"/>
    </row>
    <row r="848" customFormat="false" ht="22.5" hidden="false" customHeight="true" outlineLevel="0" collapsed="false">
      <c r="A848" s="110"/>
      <c r="B848" s="110"/>
      <c r="C848" s="110"/>
      <c r="D848" s="122"/>
      <c r="E848" s="110"/>
      <c r="F848" s="128"/>
      <c r="G848" s="122"/>
      <c r="H848" s="131" t="b">
        <f aca="false">FALSE()</f>
        <v>0</v>
      </c>
      <c r="I848" s="131" t="b">
        <f aca="false">FALSE()</f>
        <v>0</v>
      </c>
      <c r="J848" s="130"/>
      <c r="K848" s="110"/>
      <c r="L848" s="83"/>
      <c r="M848" s="103"/>
      <c r="N848" s="103"/>
      <c r="O848" s="103"/>
      <c r="P848" s="103"/>
      <c r="Q848" s="103"/>
      <c r="R848" s="83"/>
      <c r="S848" s="103"/>
      <c r="T848" s="103"/>
      <c r="U848" s="103"/>
    </row>
    <row r="849" customFormat="false" ht="22.5" hidden="false" customHeight="true" outlineLevel="0" collapsed="false">
      <c r="A849" s="99"/>
      <c r="B849" s="99"/>
      <c r="C849" s="99"/>
      <c r="D849" s="121"/>
      <c r="E849" s="99"/>
      <c r="F849" s="124"/>
      <c r="G849" s="121"/>
      <c r="H849" s="132" t="b">
        <f aca="false">FALSE()</f>
        <v>0</v>
      </c>
      <c r="I849" s="132" t="b">
        <f aca="false">FALSE()</f>
        <v>0</v>
      </c>
      <c r="J849" s="126"/>
      <c r="K849" s="99"/>
      <c r="L849" s="83"/>
      <c r="M849" s="103"/>
      <c r="N849" s="103"/>
      <c r="O849" s="103"/>
      <c r="P849" s="103"/>
      <c r="Q849" s="103"/>
      <c r="R849" s="83"/>
      <c r="S849" s="103"/>
      <c r="T849" s="103"/>
      <c r="U849" s="103"/>
    </row>
    <row r="850" customFormat="false" ht="22.5" hidden="false" customHeight="true" outlineLevel="0" collapsed="false">
      <c r="A850" s="110"/>
      <c r="B850" s="110"/>
      <c r="C850" s="110"/>
      <c r="D850" s="122"/>
      <c r="E850" s="110"/>
      <c r="F850" s="128"/>
      <c r="G850" s="122"/>
      <c r="H850" s="131" t="b">
        <f aca="false">FALSE()</f>
        <v>0</v>
      </c>
      <c r="I850" s="131" t="b">
        <f aca="false">FALSE()</f>
        <v>0</v>
      </c>
      <c r="J850" s="130"/>
      <c r="K850" s="110"/>
      <c r="L850" s="83"/>
      <c r="M850" s="103"/>
      <c r="N850" s="103"/>
      <c r="O850" s="103"/>
      <c r="P850" s="103"/>
      <c r="Q850" s="103"/>
      <c r="R850" s="83"/>
      <c r="S850" s="103"/>
      <c r="T850" s="103"/>
      <c r="U850" s="103"/>
    </row>
    <row r="851" customFormat="false" ht="22.5" hidden="false" customHeight="true" outlineLevel="0" collapsed="false">
      <c r="A851" s="99"/>
      <c r="B851" s="99"/>
      <c r="C851" s="99"/>
      <c r="D851" s="121"/>
      <c r="E851" s="99"/>
      <c r="F851" s="124"/>
      <c r="G851" s="121"/>
      <c r="H851" s="132" t="b">
        <f aca="false">FALSE()</f>
        <v>0</v>
      </c>
      <c r="I851" s="132" t="b">
        <f aca="false">FALSE()</f>
        <v>0</v>
      </c>
      <c r="J851" s="126"/>
      <c r="K851" s="99"/>
      <c r="L851" s="83"/>
      <c r="M851" s="103"/>
      <c r="N851" s="103"/>
      <c r="O851" s="103"/>
      <c r="P851" s="103"/>
      <c r="Q851" s="103"/>
      <c r="R851" s="83"/>
      <c r="S851" s="103"/>
      <c r="T851" s="103"/>
      <c r="U851" s="103"/>
    </row>
    <row r="852" customFormat="false" ht="22.5" hidden="false" customHeight="true" outlineLevel="0" collapsed="false">
      <c r="A852" s="110"/>
      <c r="B852" s="110"/>
      <c r="C852" s="110"/>
      <c r="D852" s="122"/>
      <c r="E852" s="110"/>
      <c r="F852" s="128"/>
      <c r="G852" s="122"/>
      <c r="H852" s="131" t="b">
        <f aca="false">FALSE()</f>
        <v>0</v>
      </c>
      <c r="I852" s="131" t="b">
        <f aca="false">FALSE()</f>
        <v>0</v>
      </c>
      <c r="J852" s="130"/>
      <c r="K852" s="110"/>
      <c r="L852" s="83"/>
      <c r="M852" s="103"/>
      <c r="N852" s="103"/>
      <c r="O852" s="103"/>
      <c r="P852" s="103"/>
      <c r="Q852" s="103"/>
      <c r="R852" s="83"/>
      <c r="S852" s="103"/>
      <c r="T852" s="103"/>
      <c r="U852" s="103"/>
    </row>
    <row r="853" customFormat="false" ht="22.5" hidden="false" customHeight="true" outlineLevel="0" collapsed="false">
      <c r="A853" s="99"/>
      <c r="B853" s="99"/>
      <c r="C853" s="99"/>
      <c r="D853" s="121"/>
      <c r="E853" s="99"/>
      <c r="F853" s="124"/>
      <c r="G853" s="121"/>
      <c r="H853" s="132" t="b">
        <f aca="false">FALSE()</f>
        <v>0</v>
      </c>
      <c r="I853" s="132" t="b">
        <f aca="false">FALSE()</f>
        <v>0</v>
      </c>
      <c r="J853" s="126"/>
      <c r="K853" s="99"/>
      <c r="L853" s="83"/>
      <c r="M853" s="103"/>
      <c r="N853" s="103"/>
      <c r="O853" s="103"/>
      <c r="P853" s="103"/>
      <c r="Q853" s="103"/>
      <c r="R853" s="83"/>
      <c r="S853" s="103"/>
      <c r="T853" s="103"/>
      <c r="U853" s="103"/>
    </row>
    <row r="854" customFormat="false" ht="22.5" hidden="false" customHeight="true" outlineLevel="0" collapsed="false">
      <c r="A854" s="110"/>
      <c r="B854" s="110"/>
      <c r="C854" s="110"/>
      <c r="D854" s="122"/>
      <c r="E854" s="110"/>
      <c r="F854" s="128"/>
      <c r="G854" s="122"/>
      <c r="H854" s="131" t="b">
        <f aca="false">FALSE()</f>
        <v>0</v>
      </c>
      <c r="I854" s="131" t="b">
        <f aca="false">FALSE()</f>
        <v>0</v>
      </c>
      <c r="J854" s="130"/>
      <c r="K854" s="110"/>
      <c r="L854" s="83"/>
      <c r="M854" s="103"/>
      <c r="N854" s="103"/>
      <c r="O854" s="103"/>
      <c r="P854" s="103"/>
      <c r="Q854" s="103"/>
      <c r="R854" s="83"/>
      <c r="S854" s="103"/>
      <c r="T854" s="103"/>
      <c r="U854" s="103"/>
    </row>
    <row r="855" customFormat="false" ht="22.5" hidden="false" customHeight="true" outlineLevel="0" collapsed="false">
      <c r="A855" s="99"/>
      <c r="B855" s="99"/>
      <c r="C855" s="99"/>
      <c r="D855" s="121"/>
      <c r="E855" s="99"/>
      <c r="F855" s="124"/>
      <c r="G855" s="121"/>
      <c r="H855" s="132" t="b">
        <f aca="false">FALSE()</f>
        <v>0</v>
      </c>
      <c r="I855" s="132" t="b">
        <f aca="false">FALSE()</f>
        <v>0</v>
      </c>
      <c r="J855" s="126"/>
      <c r="K855" s="99"/>
      <c r="L855" s="83"/>
      <c r="M855" s="103"/>
      <c r="N855" s="103"/>
      <c r="O855" s="103"/>
      <c r="P855" s="103"/>
      <c r="Q855" s="103"/>
      <c r="R855" s="83"/>
      <c r="S855" s="103"/>
      <c r="T855" s="103"/>
      <c r="U855" s="103"/>
    </row>
    <row r="856" customFormat="false" ht="22.5" hidden="false" customHeight="true" outlineLevel="0" collapsed="false">
      <c r="A856" s="110"/>
      <c r="B856" s="110"/>
      <c r="C856" s="110"/>
      <c r="D856" s="122"/>
      <c r="E856" s="110"/>
      <c r="F856" s="128"/>
      <c r="G856" s="122"/>
      <c r="H856" s="131" t="b">
        <f aca="false">FALSE()</f>
        <v>0</v>
      </c>
      <c r="I856" s="131" t="b">
        <f aca="false">FALSE()</f>
        <v>0</v>
      </c>
      <c r="J856" s="130"/>
      <c r="K856" s="110"/>
      <c r="L856" s="83"/>
      <c r="M856" s="103"/>
      <c r="N856" s="103"/>
      <c r="O856" s="103"/>
      <c r="P856" s="103"/>
      <c r="Q856" s="103"/>
      <c r="R856" s="83"/>
      <c r="S856" s="103"/>
      <c r="T856" s="103"/>
      <c r="U856" s="103"/>
    </row>
    <row r="857" customFormat="false" ht="22.5" hidden="false" customHeight="true" outlineLevel="0" collapsed="false">
      <c r="A857" s="99"/>
      <c r="B857" s="99"/>
      <c r="C857" s="99"/>
      <c r="D857" s="121"/>
      <c r="E857" s="99"/>
      <c r="F857" s="124"/>
      <c r="G857" s="121"/>
      <c r="H857" s="132" t="b">
        <f aca="false">FALSE()</f>
        <v>0</v>
      </c>
      <c r="I857" s="132" t="b">
        <f aca="false">FALSE()</f>
        <v>0</v>
      </c>
      <c r="J857" s="126"/>
      <c r="K857" s="99"/>
      <c r="L857" s="83"/>
      <c r="M857" s="103"/>
      <c r="N857" s="103"/>
      <c r="O857" s="103"/>
      <c r="P857" s="103"/>
      <c r="Q857" s="103"/>
      <c r="R857" s="83"/>
      <c r="S857" s="103"/>
      <c r="T857" s="103"/>
      <c r="U857" s="103"/>
    </row>
    <row r="858" customFormat="false" ht="22.5" hidden="false" customHeight="true" outlineLevel="0" collapsed="false">
      <c r="A858" s="110"/>
      <c r="B858" s="110"/>
      <c r="C858" s="110"/>
      <c r="D858" s="122"/>
      <c r="E858" s="110"/>
      <c r="F858" s="128"/>
      <c r="G858" s="122"/>
      <c r="H858" s="131" t="b">
        <f aca="false">FALSE()</f>
        <v>0</v>
      </c>
      <c r="I858" s="131" t="b">
        <f aca="false">FALSE()</f>
        <v>0</v>
      </c>
      <c r="J858" s="130"/>
      <c r="K858" s="110"/>
      <c r="L858" s="83"/>
      <c r="M858" s="103"/>
      <c r="N858" s="103"/>
      <c r="O858" s="103"/>
      <c r="P858" s="103"/>
      <c r="Q858" s="103"/>
      <c r="R858" s="83"/>
      <c r="S858" s="103"/>
      <c r="T858" s="103"/>
      <c r="U858" s="103"/>
    </row>
    <row r="859" customFormat="false" ht="22.5" hidden="false" customHeight="true" outlineLevel="0" collapsed="false">
      <c r="A859" s="99"/>
      <c r="B859" s="99"/>
      <c r="C859" s="99"/>
      <c r="D859" s="121"/>
      <c r="E859" s="99"/>
      <c r="F859" s="124"/>
      <c r="G859" s="121"/>
      <c r="H859" s="132" t="b">
        <f aca="false">FALSE()</f>
        <v>0</v>
      </c>
      <c r="I859" s="132" t="b">
        <f aca="false">FALSE()</f>
        <v>0</v>
      </c>
      <c r="J859" s="126"/>
      <c r="K859" s="99"/>
      <c r="L859" s="83"/>
      <c r="M859" s="103"/>
      <c r="N859" s="103"/>
      <c r="O859" s="103"/>
      <c r="P859" s="103"/>
      <c r="Q859" s="103"/>
      <c r="R859" s="83"/>
      <c r="S859" s="103"/>
      <c r="T859" s="103"/>
      <c r="U859" s="103"/>
    </row>
    <row r="860" customFormat="false" ht="22.5" hidden="false" customHeight="true" outlineLevel="0" collapsed="false">
      <c r="A860" s="110"/>
      <c r="B860" s="110"/>
      <c r="C860" s="110"/>
      <c r="D860" s="122"/>
      <c r="E860" s="110"/>
      <c r="F860" s="128"/>
      <c r="G860" s="122"/>
      <c r="H860" s="131" t="b">
        <f aca="false">FALSE()</f>
        <v>0</v>
      </c>
      <c r="I860" s="131" t="b">
        <f aca="false">FALSE()</f>
        <v>0</v>
      </c>
      <c r="J860" s="130"/>
      <c r="K860" s="110"/>
      <c r="L860" s="83"/>
      <c r="M860" s="103"/>
      <c r="N860" s="103"/>
      <c r="O860" s="103"/>
      <c r="P860" s="103"/>
      <c r="Q860" s="103"/>
      <c r="R860" s="83"/>
      <c r="S860" s="103"/>
      <c r="T860" s="103"/>
      <c r="U860" s="103"/>
    </row>
    <row r="861" customFormat="false" ht="22.5" hidden="false" customHeight="true" outlineLevel="0" collapsed="false">
      <c r="A861" s="99"/>
      <c r="B861" s="99"/>
      <c r="C861" s="99"/>
      <c r="D861" s="121"/>
      <c r="E861" s="99"/>
      <c r="F861" s="124"/>
      <c r="G861" s="121"/>
      <c r="H861" s="132" t="b">
        <f aca="false">FALSE()</f>
        <v>0</v>
      </c>
      <c r="I861" s="132" t="b">
        <f aca="false">FALSE()</f>
        <v>0</v>
      </c>
      <c r="J861" s="126"/>
      <c r="K861" s="99"/>
      <c r="L861" s="83"/>
      <c r="M861" s="103"/>
      <c r="N861" s="103"/>
      <c r="O861" s="103"/>
      <c r="P861" s="103"/>
      <c r="Q861" s="103"/>
      <c r="R861" s="83"/>
      <c r="S861" s="103"/>
      <c r="T861" s="103"/>
      <c r="U861" s="103"/>
    </row>
    <row r="862" customFormat="false" ht="22.5" hidden="false" customHeight="true" outlineLevel="0" collapsed="false">
      <c r="A862" s="110"/>
      <c r="B862" s="110"/>
      <c r="C862" s="110"/>
      <c r="D862" s="122"/>
      <c r="E862" s="110"/>
      <c r="F862" s="128"/>
      <c r="G862" s="122"/>
      <c r="H862" s="131" t="b">
        <f aca="false">FALSE()</f>
        <v>0</v>
      </c>
      <c r="I862" s="131" t="b">
        <f aca="false">FALSE()</f>
        <v>0</v>
      </c>
      <c r="J862" s="130"/>
      <c r="K862" s="110"/>
      <c r="L862" s="83"/>
      <c r="M862" s="103"/>
      <c r="N862" s="103"/>
      <c r="O862" s="103"/>
      <c r="P862" s="103"/>
      <c r="Q862" s="103"/>
      <c r="R862" s="83"/>
      <c r="S862" s="103"/>
      <c r="T862" s="103"/>
      <c r="U862" s="103"/>
    </row>
    <row r="863" customFormat="false" ht="22.5" hidden="false" customHeight="true" outlineLevel="0" collapsed="false">
      <c r="A863" s="99"/>
      <c r="B863" s="99"/>
      <c r="C863" s="99"/>
      <c r="D863" s="121"/>
      <c r="E863" s="99"/>
      <c r="F863" s="124"/>
      <c r="G863" s="121"/>
      <c r="H863" s="132" t="b">
        <f aca="false">FALSE()</f>
        <v>0</v>
      </c>
      <c r="I863" s="132" t="b">
        <f aca="false">FALSE()</f>
        <v>0</v>
      </c>
      <c r="J863" s="126"/>
      <c r="K863" s="99"/>
      <c r="L863" s="83"/>
      <c r="M863" s="103"/>
      <c r="N863" s="103"/>
      <c r="O863" s="103"/>
      <c r="P863" s="103"/>
      <c r="Q863" s="103"/>
      <c r="R863" s="83"/>
      <c r="S863" s="103"/>
      <c r="T863" s="103"/>
      <c r="U863" s="103"/>
    </row>
    <row r="864" customFormat="false" ht="22.5" hidden="false" customHeight="true" outlineLevel="0" collapsed="false">
      <c r="A864" s="110"/>
      <c r="B864" s="110"/>
      <c r="C864" s="110"/>
      <c r="D864" s="122"/>
      <c r="E864" s="110"/>
      <c r="F864" s="128"/>
      <c r="G864" s="122"/>
      <c r="H864" s="131" t="b">
        <f aca="false">FALSE()</f>
        <v>0</v>
      </c>
      <c r="I864" s="131" t="b">
        <f aca="false">FALSE()</f>
        <v>0</v>
      </c>
      <c r="J864" s="130"/>
      <c r="K864" s="110"/>
      <c r="L864" s="83"/>
      <c r="M864" s="103"/>
      <c r="N864" s="103"/>
      <c r="O864" s="103"/>
      <c r="P864" s="103"/>
      <c r="Q864" s="103"/>
      <c r="R864" s="83"/>
      <c r="S864" s="103"/>
      <c r="T864" s="103"/>
      <c r="U864" s="103"/>
    </row>
    <row r="865" customFormat="false" ht="22.5" hidden="false" customHeight="true" outlineLevel="0" collapsed="false">
      <c r="A865" s="99"/>
      <c r="B865" s="99"/>
      <c r="C865" s="99"/>
      <c r="D865" s="121"/>
      <c r="E865" s="99"/>
      <c r="F865" s="124"/>
      <c r="G865" s="121"/>
      <c r="H865" s="132" t="b">
        <f aca="false">FALSE()</f>
        <v>0</v>
      </c>
      <c r="I865" s="132" t="b">
        <f aca="false">FALSE()</f>
        <v>0</v>
      </c>
      <c r="J865" s="126"/>
      <c r="K865" s="99"/>
      <c r="L865" s="83"/>
      <c r="M865" s="103"/>
      <c r="N865" s="103"/>
      <c r="O865" s="103"/>
      <c r="P865" s="103"/>
      <c r="Q865" s="103"/>
      <c r="R865" s="83"/>
      <c r="S865" s="103"/>
      <c r="T865" s="103"/>
      <c r="U865" s="103"/>
    </row>
    <row r="866" customFormat="false" ht="22.5" hidden="false" customHeight="true" outlineLevel="0" collapsed="false">
      <c r="A866" s="110"/>
      <c r="B866" s="110"/>
      <c r="C866" s="110"/>
      <c r="D866" s="122"/>
      <c r="E866" s="110"/>
      <c r="F866" s="128"/>
      <c r="G866" s="122"/>
      <c r="H866" s="131" t="b">
        <f aca="false">FALSE()</f>
        <v>0</v>
      </c>
      <c r="I866" s="131" t="b">
        <f aca="false">FALSE()</f>
        <v>0</v>
      </c>
      <c r="J866" s="130"/>
      <c r="K866" s="110"/>
      <c r="L866" s="83"/>
      <c r="M866" s="103"/>
      <c r="N866" s="103"/>
      <c r="O866" s="103"/>
      <c r="P866" s="103"/>
      <c r="Q866" s="103"/>
      <c r="R866" s="83"/>
      <c r="S866" s="103"/>
      <c r="T866" s="103"/>
      <c r="U866" s="103"/>
    </row>
    <row r="867" customFormat="false" ht="22.5" hidden="false" customHeight="true" outlineLevel="0" collapsed="false">
      <c r="A867" s="99"/>
      <c r="B867" s="99"/>
      <c r="C867" s="99"/>
      <c r="D867" s="121"/>
      <c r="E867" s="99"/>
      <c r="F867" s="124"/>
      <c r="G867" s="121"/>
      <c r="H867" s="132" t="b">
        <f aca="false">FALSE()</f>
        <v>0</v>
      </c>
      <c r="I867" s="132" t="b">
        <f aca="false">FALSE()</f>
        <v>0</v>
      </c>
      <c r="J867" s="126"/>
      <c r="K867" s="99"/>
      <c r="L867" s="83"/>
      <c r="M867" s="103"/>
      <c r="N867" s="103"/>
      <c r="O867" s="103"/>
      <c r="P867" s="103"/>
      <c r="Q867" s="103"/>
      <c r="R867" s="83"/>
      <c r="S867" s="103"/>
      <c r="T867" s="103"/>
      <c r="U867" s="103"/>
    </row>
    <row r="868" customFormat="false" ht="22.5" hidden="false" customHeight="true" outlineLevel="0" collapsed="false">
      <c r="A868" s="110"/>
      <c r="B868" s="110"/>
      <c r="C868" s="110"/>
      <c r="D868" s="122"/>
      <c r="E868" s="110"/>
      <c r="F868" s="128"/>
      <c r="G868" s="122"/>
      <c r="H868" s="131" t="b">
        <f aca="false">FALSE()</f>
        <v>0</v>
      </c>
      <c r="I868" s="131" t="b">
        <f aca="false">FALSE()</f>
        <v>0</v>
      </c>
      <c r="J868" s="130"/>
      <c r="K868" s="110"/>
      <c r="L868" s="83"/>
      <c r="M868" s="103"/>
      <c r="N868" s="103"/>
      <c r="O868" s="103"/>
      <c r="P868" s="103"/>
      <c r="Q868" s="103"/>
      <c r="R868" s="83"/>
      <c r="S868" s="103"/>
      <c r="T868" s="103"/>
      <c r="U868" s="103"/>
    </row>
    <row r="869" customFormat="false" ht="22.5" hidden="false" customHeight="true" outlineLevel="0" collapsed="false">
      <c r="A869" s="99"/>
      <c r="B869" s="99"/>
      <c r="C869" s="99"/>
      <c r="D869" s="121"/>
      <c r="E869" s="99"/>
      <c r="F869" s="124"/>
      <c r="G869" s="121"/>
      <c r="H869" s="132" t="b">
        <f aca="false">FALSE()</f>
        <v>0</v>
      </c>
      <c r="I869" s="132" t="b">
        <f aca="false">FALSE()</f>
        <v>0</v>
      </c>
      <c r="J869" s="126"/>
      <c r="K869" s="99"/>
      <c r="L869" s="83"/>
      <c r="M869" s="103"/>
      <c r="N869" s="103"/>
      <c r="O869" s="103"/>
      <c r="P869" s="103"/>
      <c r="Q869" s="103"/>
      <c r="R869" s="83"/>
      <c r="S869" s="103"/>
      <c r="T869" s="103"/>
      <c r="U869" s="103"/>
    </row>
    <row r="870" customFormat="false" ht="22.5" hidden="false" customHeight="true" outlineLevel="0" collapsed="false">
      <c r="A870" s="110"/>
      <c r="B870" s="110"/>
      <c r="C870" s="110"/>
      <c r="D870" s="122"/>
      <c r="E870" s="110"/>
      <c r="F870" s="128"/>
      <c r="G870" s="122"/>
      <c r="H870" s="131" t="b">
        <f aca="false">FALSE()</f>
        <v>0</v>
      </c>
      <c r="I870" s="131" t="b">
        <f aca="false">FALSE()</f>
        <v>0</v>
      </c>
      <c r="J870" s="130"/>
      <c r="K870" s="110"/>
      <c r="L870" s="83"/>
      <c r="M870" s="103"/>
      <c r="N870" s="103"/>
      <c r="O870" s="103"/>
      <c r="P870" s="103"/>
      <c r="Q870" s="103"/>
      <c r="R870" s="83"/>
      <c r="S870" s="103"/>
      <c r="T870" s="103"/>
      <c r="U870" s="103"/>
    </row>
    <row r="871" customFormat="false" ht="22.5" hidden="false" customHeight="true" outlineLevel="0" collapsed="false">
      <c r="A871" s="99"/>
      <c r="B871" s="99"/>
      <c r="C871" s="99"/>
      <c r="D871" s="121"/>
      <c r="E871" s="99"/>
      <c r="F871" s="124"/>
      <c r="G871" s="121"/>
      <c r="H871" s="132" t="b">
        <f aca="false">FALSE()</f>
        <v>0</v>
      </c>
      <c r="I871" s="132" t="b">
        <f aca="false">FALSE()</f>
        <v>0</v>
      </c>
      <c r="J871" s="126"/>
      <c r="K871" s="99"/>
      <c r="L871" s="83"/>
      <c r="M871" s="103"/>
      <c r="N871" s="103"/>
      <c r="O871" s="103"/>
      <c r="P871" s="103"/>
      <c r="Q871" s="103"/>
      <c r="R871" s="83"/>
      <c r="S871" s="103"/>
      <c r="T871" s="103"/>
      <c r="U871" s="103"/>
    </row>
    <row r="872" customFormat="false" ht="22.5" hidden="false" customHeight="true" outlineLevel="0" collapsed="false">
      <c r="A872" s="110"/>
      <c r="B872" s="110"/>
      <c r="C872" s="110"/>
      <c r="D872" s="122"/>
      <c r="E872" s="110"/>
      <c r="F872" s="128"/>
      <c r="G872" s="122"/>
      <c r="H872" s="131" t="b">
        <f aca="false">FALSE()</f>
        <v>0</v>
      </c>
      <c r="I872" s="131" t="b">
        <f aca="false">FALSE()</f>
        <v>0</v>
      </c>
      <c r="J872" s="130"/>
      <c r="K872" s="110"/>
      <c r="L872" s="83"/>
      <c r="M872" s="103"/>
      <c r="N872" s="103"/>
      <c r="O872" s="103"/>
      <c r="P872" s="103"/>
      <c r="Q872" s="103"/>
      <c r="R872" s="83"/>
      <c r="S872" s="103"/>
      <c r="T872" s="103"/>
      <c r="U872" s="103"/>
    </row>
    <row r="873" customFormat="false" ht="22.5" hidden="false" customHeight="true" outlineLevel="0" collapsed="false">
      <c r="A873" s="99"/>
      <c r="B873" s="99"/>
      <c r="C873" s="99"/>
      <c r="D873" s="121"/>
      <c r="E873" s="99"/>
      <c r="F873" s="124"/>
      <c r="G873" s="121"/>
      <c r="H873" s="132" t="b">
        <f aca="false">FALSE()</f>
        <v>0</v>
      </c>
      <c r="I873" s="132" t="b">
        <f aca="false">FALSE()</f>
        <v>0</v>
      </c>
      <c r="J873" s="126"/>
      <c r="K873" s="99"/>
      <c r="L873" s="83"/>
      <c r="M873" s="103"/>
      <c r="N873" s="103"/>
      <c r="O873" s="103"/>
      <c r="P873" s="103"/>
      <c r="Q873" s="103"/>
      <c r="R873" s="83"/>
      <c r="S873" s="103"/>
      <c r="T873" s="103"/>
      <c r="U873" s="103"/>
    </row>
    <row r="874" customFormat="false" ht="22.5" hidden="false" customHeight="true" outlineLevel="0" collapsed="false">
      <c r="A874" s="110"/>
      <c r="B874" s="110"/>
      <c r="C874" s="110"/>
      <c r="D874" s="122"/>
      <c r="E874" s="110"/>
      <c r="F874" s="128"/>
      <c r="G874" s="122"/>
      <c r="H874" s="131" t="b">
        <f aca="false">FALSE()</f>
        <v>0</v>
      </c>
      <c r="I874" s="131" t="b">
        <f aca="false">FALSE()</f>
        <v>0</v>
      </c>
      <c r="J874" s="130"/>
      <c r="K874" s="110"/>
      <c r="L874" s="83"/>
      <c r="M874" s="103"/>
      <c r="N874" s="103"/>
      <c r="O874" s="103"/>
      <c r="P874" s="103"/>
      <c r="Q874" s="103"/>
      <c r="R874" s="83"/>
      <c r="S874" s="103"/>
      <c r="T874" s="103"/>
      <c r="U874" s="103"/>
    </row>
    <row r="875" customFormat="false" ht="22.5" hidden="false" customHeight="true" outlineLevel="0" collapsed="false">
      <c r="A875" s="99"/>
      <c r="B875" s="99"/>
      <c r="C875" s="99"/>
      <c r="D875" s="121"/>
      <c r="E875" s="99"/>
      <c r="F875" s="124"/>
      <c r="G875" s="121"/>
      <c r="H875" s="132" t="b">
        <f aca="false">FALSE()</f>
        <v>0</v>
      </c>
      <c r="I875" s="132" t="b">
        <f aca="false">FALSE()</f>
        <v>0</v>
      </c>
      <c r="J875" s="126"/>
      <c r="K875" s="99"/>
      <c r="L875" s="83"/>
      <c r="M875" s="103"/>
      <c r="N875" s="103"/>
      <c r="O875" s="103"/>
      <c r="P875" s="103"/>
      <c r="Q875" s="103"/>
      <c r="R875" s="83"/>
      <c r="S875" s="103"/>
      <c r="T875" s="103"/>
      <c r="U875" s="103"/>
    </row>
    <row r="876" customFormat="false" ht="22.5" hidden="false" customHeight="true" outlineLevel="0" collapsed="false">
      <c r="A876" s="110"/>
      <c r="B876" s="110"/>
      <c r="C876" s="110"/>
      <c r="D876" s="122"/>
      <c r="E876" s="110"/>
      <c r="F876" s="128"/>
      <c r="G876" s="122"/>
      <c r="H876" s="131" t="b">
        <f aca="false">FALSE()</f>
        <v>0</v>
      </c>
      <c r="I876" s="131" t="b">
        <f aca="false">FALSE()</f>
        <v>0</v>
      </c>
      <c r="J876" s="130"/>
      <c r="K876" s="110"/>
      <c r="L876" s="83"/>
      <c r="M876" s="103"/>
      <c r="N876" s="103"/>
      <c r="O876" s="103"/>
      <c r="P876" s="103"/>
      <c r="Q876" s="103"/>
      <c r="R876" s="83"/>
      <c r="S876" s="103"/>
      <c r="T876" s="103"/>
      <c r="U876" s="103"/>
    </row>
    <row r="877" customFormat="false" ht="22.5" hidden="false" customHeight="true" outlineLevel="0" collapsed="false">
      <c r="A877" s="99"/>
      <c r="B877" s="99"/>
      <c r="C877" s="99"/>
      <c r="D877" s="121"/>
      <c r="E877" s="99"/>
      <c r="F877" s="124"/>
      <c r="G877" s="121"/>
      <c r="H877" s="132" t="b">
        <f aca="false">FALSE()</f>
        <v>0</v>
      </c>
      <c r="I877" s="132" t="b">
        <f aca="false">FALSE()</f>
        <v>0</v>
      </c>
      <c r="J877" s="126"/>
      <c r="K877" s="99"/>
      <c r="L877" s="83"/>
      <c r="M877" s="103"/>
      <c r="N877" s="103"/>
      <c r="O877" s="103"/>
      <c r="P877" s="103"/>
      <c r="Q877" s="103"/>
      <c r="R877" s="83"/>
      <c r="S877" s="103"/>
      <c r="T877" s="103"/>
      <c r="U877" s="103"/>
    </row>
    <row r="878" customFormat="false" ht="22.5" hidden="false" customHeight="true" outlineLevel="0" collapsed="false">
      <c r="A878" s="110"/>
      <c r="B878" s="110"/>
      <c r="C878" s="110"/>
      <c r="D878" s="122"/>
      <c r="E878" s="110"/>
      <c r="F878" s="128"/>
      <c r="G878" s="122"/>
      <c r="H878" s="131" t="b">
        <f aca="false">FALSE()</f>
        <v>0</v>
      </c>
      <c r="I878" s="131" t="b">
        <f aca="false">FALSE()</f>
        <v>0</v>
      </c>
      <c r="J878" s="130"/>
      <c r="K878" s="110"/>
      <c r="L878" s="83"/>
      <c r="M878" s="103"/>
      <c r="N878" s="103"/>
      <c r="O878" s="103"/>
      <c r="P878" s="103"/>
      <c r="Q878" s="103"/>
      <c r="R878" s="83"/>
      <c r="S878" s="103"/>
      <c r="T878" s="103"/>
      <c r="U878" s="103"/>
    </row>
    <row r="879" customFormat="false" ht="22.5" hidden="false" customHeight="true" outlineLevel="0" collapsed="false">
      <c r="A879" s="99"/>
      <c r="B879" s="99"/>
      <c r="C879" s="99"/>
      <c r="D879" s="121"/>
      <c r="E879" s="99"/>
      <c r="F879" s="124"/>
      <c r="G879" s="121"/>
      <c r="H879" s="132" t="b">
        <f aca="false">FALSE()</f>
        <v>0</v>
      </c>
      <c r="I879" s="132" t="b">
        <f aca="false">FALSE()</f>
        <v>0</v>
      </c>
      <c r="J879" s="126"/>
      <c r="K879" s="99"/>
      <c r="L879" s="83"/>
      <c r="M879" s="103"/>
      <c r="N879" s="103"/>
      <c r="O879" s="103"/>
      <c r="P879" s="103"/>
      <c r="Q879" s="103"/>
      <c r="R879" s="83"/>
      <c r="S879" s="103"/>
      <c r="T879" s="103"/>
      <c r="U879" s="103"/>
    </row>
    <row r="880" customFormat="false" ht="22.5" hidden="false" customHeight="true" outlineLevel="0" collapsed="false">
      <c r="A880" s="110"/>
      <c r="B880" s="110"/>
      <c r="C880" s="110"/>
      <c r="D880" s="122"/>
      <c r="E880" s="110"/>
      <c r="F880" s="128"/>
      <c r="G880" s="122"/>
      <c r="H880" s="131" t="b">
        <f aca="false">FALSE()</f>
        <v>0</v>
      </c>
      <c r="I880" s="131" t="b">
        <f aca="false">FALSE()</f>
        <v>0</v>
      </c>
      <c r="J880" s="130"/>
      <c r="K880" s="110"/>
      <c r="L880" s="83"/>
      <c r="M880" s="103"/>
      <c r="N880" s="103"/>
      <c r="O880" s="103"/>
      <c r="P880" s="103"/>
      <c r="Q880" s="103"/>
      <c r="R880" s="83"/>
      <c r="S880" s="103"/>
      <c r="T880" s="103"/>
      <c r="U880" s="103"/>
    </row>
    <row r="881" customFormat="false" ht="22.5" hidden="false" customHeight="true" outlineLevel="0" collapsed="false">
      <c r="A881" s="99"/>
      <c r="B881" s="99"/>
      <c r="C881" s="99"/>
      <c r="D881" s="121"/>
      <c r="E881" s="99"/>
      <c r="F881" s="124"/>
      <c r="G881" s="121"/>
      <c r="H881" s="132" t="b">
        <f aca="false">FALSE()</f>
        <v>0</v>
      </c>
      <c r="I881" s="132" t="b">
        <f aca="false">FALSE()</f>
        <v>0</v>
      </c>
      <c r="J881" s="126"/>
      <c r="K881" s="99"/>
      <c r="L881" s="83"/>
      <c r="M881" s="103"/>
      <c r="N881" s="103"/>
      <c r="O881" s="103"/>
      <c r="P881" s="103"/>
      <c r="Q881" s="103"/>
      <c r="R881" s="83"/>
      <c r="S881" s="103"/>
      <c r="T881" s="103"/>
      <c r="U881" s="103"/>
    </row>
    <row r="882" customFormat="false" ht="22.5" hidden="false" customHeight="true" outlineLevel="0" collapsed="false">
      <c r="A882" s="110"/>
      <c r="B882" s="110"/>
      <c r="C882" s="110"/>
      <c r="D882" s="122"/>
      <c r="E882" s="110"/>
      <c r="F882" s="128"/>
      <c r="G882" s="122"/>
      <c r="H882" s="131" t="b">
        <f aca="false">FALSE()</f>
        <v>0</v>
      </c>
      <c r="I882" s="131" t="b">
        <f aca="false">FALSE()</f>
        <v>0</v>
      </c>
      <c r="J882" s="130"/>
      <c r="K882" s="110"/>
      <c r="L882" s="83"/>
      <c r="M882" s="103"/>
      <c r="N882" s="103"/>
      <c r="O882" s="103"/>
      <c r="P882" s="103"/>
      <c r="Q882" s="103"/>
      <c r="R882" s="83"/>
      <c r="S882" s="103"/>
      <c r="T882" s="103"/>
      <c r="U882" s="103"/>
    </row>
    <row r="883" customFormat="false" ht="22.5" hidden="false" customHeight="true" outlineLevel="0" collapsed="false">
      <c r="A883" s="99"/>
      <c r="B883" s="99"/>
      <c r="C883" s="99"/>
      <c r="D883" s="121"/>
      <c r="E883" s="99"/>
      <c r="F883" s="124"/>
      <c r="G883" s="121"/>
      <c r="H883" s="132" t="b">
        <f aca="false">FALSE()</f>
        <v>0</v>
      </c>
      <c r="I883" s="132" t="b">
        <f aca="false">FALSE()</f>
        <v>0</v>
      </c>
      <c r="J883" s="126"/>
      <c r="K883" s="99"/>
      <c r="L883" s="83"/>
      <c r="M883" s="103"/>
      <c r="N883" s="103"/>
      <c r="O883" s="103"/>
      <c r="P883" s="103"/>
      <c r="Q883" s="103"/>
      <c r="R883" s="83"/>
      <c r="S883" s="103"/>
      <c r="T883" s="103"/>
      <c r="U883" s="103"/>
    </row>
    <row r="884" customFormat="false" ht="22.5" hidden="false" customHeight="true" outlineLevel="0" collapsed="false">
      <c r="A884" s="110"/>
      <c r="B884" s="110"/>
      <c r="C884" s="110"/>
      <c r="D884" s="122"/>
      <c r="E884" s="110"/>
      <c r="F884" s="128"/>
      <c r="G884" s="122"/>
      <c r="H884" s="131" t="b">
        <f aca="false">FALSE()</f>
        <v>0</v>
      </c>
      <c r="I884" s="131" t="b">
        <f aca="false">FALSE()</f>
        <v>0</v>
      </c>
      <c r="J884" s="130"/>
      <c r="K884" s="110"/>
      <c r="L884" s="83"/>
      <c r="M884" s="103"/>
      <c r="N884" s="103"/>
      <c r="O884" s="103"/>
      <c r="P884" s="103"/>
      <c r="Q884" s="103"/>
      <c r="R884" s="83"/>
      <c r="S884" s="103"/>
      <c r="T884" s="103"/>
      <c r="U884" s="103"/>
    </row>
    <row r="885" customFormat="false" ht="22.5" hidden="false" customHeight="true" outlineLevel="0" collapsed="false">
      <c r="A885" s="99"/>
      <c r="B885" s="99"/>
      <c r="C885" s="99"/>
      <c r="D885" s="121"/>
      <c r="E885" s="99"/>
      <c r="F885" s="124"/>
      <c r="G885" s="121"/>
      <c r="H885" s="132" t="b">
        <f aca="false">FALSE()</f>
        <v>0</v>
      </c>
      <c r="I885" s="132" t="b">
        <f aca="false">FALSE()</f>
        <v>0</v>
      </c>
      <c r="J885" s="126"/>
      <c r="K885" s="99"/>
      <c r="L885" s="83"/>
      <c r="M885" s="103"/>
      <c r="N885" s="103"/>
      <c r="O885" s="103"/>
      <c r="P885" s="103"/>
      <c r="Q885" s="103"/>
      <c r="R885" s="83"/>
      <c r="S885" s="103"/>
      <c r="T885" s="103"/>
      <c r="U885" s="103"/>
    </row>
    <row r="886" customFormat="false" ht="22.5" hidden="false" customHeight="true" outlineLevel="0" collapsed="false">
      <c r="A886" s="110"/>
      <c r="B886" s="110"/>
      <c r="C886" s="110"/>
      <c r="D886" s="122"/>
      <c r="E886" s="110"/>
      <c r="F886" s="128"/>
      <c r="G886" s="122"/>
      <c r="H886" s="131" t="b">
        <f aca="false">FALSE()</f>
        <v>0</v>
      </c>
      <c r="I886" s="131" t="b">
        <f aca="false">FALSE()</f>
        <v>0</v>
      </c>
      <c r="J886" s="130"/>
      <c r="K886" s="110"/>
      <c r="L886" s="83"/>
      <c r="M886" s="103"/>
      <c r="N886" s="103"/>
      <c r="O886" s="103"/>
      <c r="P886" s="103"/>
      <c r="Q886" s="103"/>
      <c r="R886" s="83"/>
      <c r="S886" s="103"/>
      <c r="T886" s="103"/>
      <c r="U886" s="103"/>
    </row>
    <row r="887" customFormat="false" ht="22.5" hidden="false" customHeight="true" outlineLevel="0" collapsed="false">
      <c r="A887" s="99"/>
      <c r="B887" s="99"/>
      <c r="C887" s="99"/>
      <c r="D887" s="121"/>
      <c r="E887" s="99"/>
      <c r="F887" s="124"/>
      <c r="G887" s="121"/>
      <c r="H887" s="132" t="b">
        <f aca="false">FALSE()</f>
        <v>0</v>
      </c>
      <c r="I887" s="132" t="b">
        <f aca="false">FALSE()</f>
        <v>0</v>
      </c>
      <c r="J887" s="126"/>
      <c r="K887" s="99"/>
      <c r="L887" s="83"/>
      <c r="M887" s="103"/>
      <c r="N887" s="103"/>
      <c r="O887" s="103"/>
      <c r="P887" s="103"/>
      <c r="Q887" s="103"/>
      <c r="R887" s="83"/>
      <c r="S887" s="103"/>
      <c r="T887" s="103"/>
      <c r="U887" s="103"/>
    </row>
    <row r="888" customFormat="false" ht="22.5" hidden="false" customHeight="true" outlineLevel="0" collapsed="false">
      <c r="A888" s="110"/>
      <c r="B888" s="110"/>
      <c r="C888" s="110"/>
      <c r="D888" s="122"/>
      <c r="E888" s="110"/>
      <c r="F888" s="128"/>
      <c r="G888" s="122"/>
      <c r="H888" s="131" t="b">
        <f aca="false">FALSE()</f>
        <v>0</v>
      </c>
      <c r="I888" s="131" t="b">
        <f aca="false">FALSE()</f>
        <v>0</v>
      </c>
      <c r="J888" s="130"/>
      <c r="K888" s="110"/>
      <c r="L888" s="83"/>
      <c r="M888" s="103"/>
      <c r="N888" s="103"/>
      <c r="O888" s="103"/>
      <c r="P888" s="103"/>
      <c r="Q888" s="103"/>
      <c r="R888" s="83"/>
      <c r="S888" s="103"/>
      <c r="T888" s="103"/>
      <c r="U888" s="103"/>
    </row>
    <row r="889" customFormat="false" ht="22.5" hidden="false" customHeight="true" outlineLevel="0" collapsed="false">
      <c r="A889" s="99"/>
      <c r="B889" s="99"/>
      <c r="C889" s="99"/>
      <c r="D889" s="121"/>
      <c r="E889" s="99"/>
      <c r="F889" s="124"/>
      <c r="G889" s="121"/>
      <c r="H889" s="132" t="b">
        <f aca="false">FALSE()</f>
        <v>0</v>
      </c>
      <c r="I889" s="132" t="b">
        <f aca="false">FALSE()</f>
        <v>0</v>
      </c>
      <c r="J889" s="126"/>
      <c r="K889" s="99"/>
      <c r="L889" s="83"/>
      <c r="M889" s="103"/>
      <c r="N889" s="103"/>
      <c r="O889" s="103"/>
      <c r="P889" s="103"/>
      <c r="Q889" s="103"/>
      <c r="R889" s="83"/>
      <c r="S889" s="103"/>
      <c r="T889" s="103"/>
      <c r="U889" s="103"/>
    </row>
    <row r="890" customFormat="false" ht="22.5" hidden="false" customHeight="true" outlineLevel="0" collapsed="false">
      <c r="A890" s="110"/>
      <c r="B890" s="110"/>
      <c r="C890" s="110"/>
      <c r="D890" s="122"/>
      <c r="E890" s="110"/>
      <c r="F890" s="128"/>
      <c r="G890" s="122"/>
      <c r="H890" s="131" t="b">
        <f aca="false">FALSE()</f>
        <v>0</v>
      </c>
      <c r="I890" s="131" t="b">
        <f aca="false">FALSE()</f>
        <v>0</v>
      </c>
      <c r="J890" s="130"/>
      <c r="K890" s="110"/>
      <c r="L890" s="83"/>
      <c r="M890" s="103"/>
      <c r="N890" s="103"/>
      <c r="O890" s="103"/>
      <c r="P890" s="103"/>
      <c r="Q890" s="103"/>
      <c r="R890" s="83"/>
      <c r="S890" s="103"/>
      <c r="T890" s="103"/>
      <c r="U890" s="103"/>
    </row>
    <row r="891" customFormat="false" ht="22.5" hidden="false" customHeight="true" outlineLevel="0" collapsed="false">
      <c r="A891" s="99"/>
      <c r="B891" s="99"/>
      <c r="C891" s="99"/>
      <c r="D891" s="121"/>
      <c r="E891" s="99"/>
      <c r="F891" s="124"/>
      <c r="G891" s="121"/>
      <c r="H891" s="132" t="b">
        <f aca="false">FALSE()</f>
        <v>0</v>
      </c>
      <c r="I891" s="132" t="b">
        <f aca="false">FALSE()</f>
        <v>0</v>
      </c>
      <c r="J891" s="126"/>
      <c r="K891" s="99"/>
      <c r="L891" s="83"/>
      <c r="M891" s="103"/>
      <c r="N891" s="103"/>
      <c r="O891" s="103"/>
      <c r="P891" s="103"/>
      <c r="Q891" s="103"/>
      <c r="R891" s="83"/>
      <c r="S891" s="103"/>
      <c r="T891" s="103"/>
      <c r="U891" s="103"/>
    </row>
    <row r="892" customFormat="false" ht="22.5" hidden="false" customHeight="true" outlineLevel="0" collapsed="false">
      <c r="A892" s="110"/>
      <c r="B892" s="110"/>
      <c r="C892" s="110"/>
      <c r="D892" s="122"/>
      <c r="E892" s="110"/>
      <c r="F892" s="128"/>
      <c r="G892" s="122"/>
      <c r="H892" s="131" t="b">
        <f aca="false">FALSE()</f>
        <v>0</v>
      </c>
      <c r="I892" s="131" t="b">
        <f aca="false">FALSE()</f>
        <v>0</v>
      </c>
      <c r="J892" s="130"/>
      <c r="K892" s="110"/>
      <c r="L892" s="83"/>
      <c r="M892" s="103"/>
      <c r="N892" s="103"/>
      <c r="O892" s="103"/>
      <c r="P892" s="103"/>
      <c r="Q892" s="103"/>
      <c r="R892" s="83"/>
      <c r="S892" s="103"/>
      <c r="T892" s="103"/>
      <c r="U892" s="103"/>
    </row>
    <row r="893" customFormat="false" ht="22.5" hidden="false" customHeight="true" outlineLevel="0" collapsed="false">
      <c r="A893" s="99"/>
      <c r="B893" s="99"/>
      <c r="C893" s="99"/>
      <c r="D893" s="121"/>
      <c r="E893" s="99"/>
      <c r="F893" s="124"/>
      <c r="G893" s="121"/>
      <c r="H893" s="132" t="b">
        <f aca="false">FALSE()</f>
        <v>0</v>
      </c>
      <c r="I893" s="132" t="b">
        <f aca="false">FALSE()</f>
        <v>0</v>
      </c>
      <c r="J893" s="126"/>
      <c r="K893" s="99"/>
      <c r="L893" s="83"/>
      <c r="M893" s="103"/>
      <c r="N893" s="103"/>
      <c r="O893" s="103"/>
      <c r="P893" s="103"/>
      <c r="Q893" s="103"/>
      <c r="R893" s="83"/>
      <c r="S893" s="103"/>
      <c r="T893" s="103"/>
      <c r="U893" s="103"/>
    </row>
    <row r="894" customFormat="false" ht="22.5" hidden="false" customHeight="true" outlineLevel="0" collapsed="false">
      <c r="A894" s="110"/>
      <c r="B894" s="110"/>
      <c r="C894" s="110"/>
      <c r="D894" s="122"/>
      <c r="E894" s="110"/>
      <c r="F894" s="128"/>
      <c r="G894" s="122"/>
      <c r="H894" s="131" t="b">
        <f aca="false">FALSE()</f>
        <v>0</v>
      </c>
      <c r="I894" s="131" t="b">
        <f aca="false">FALSE()</f>
        <v>0</v>
      </c>
      <c r="J894" s="130"/>
      <c r="K894" s="110"/>
      <c r="L894" s="83"/>
      <c r="M894" s="103"/>
      <c r="N894" s="103"/>
      <c r="O894" s="103"/>
      <c r="P894" s="103"/>
      <c r="Q894" s="103"/>
      <c r="R894" s="83"/>
      <c r="S894" s="103"/>
      <c r="T894" s="103"/>
      <c r="U894" s="103"/>
    </row>
    <row r="895" customFormat="false" ht="22.5" hidden="false" customHeight="true" outlineLevel="0" collapsed="false">
      <c r="A895" s="99"/>
      <c r="B895" s="99"/>
      <c r="C895" s="99"/>
      <c r="D895" s="121"/>
      <c r="E895" s="99"/>
      <c r="F895" s="124"/>
      <c r="G895" s="121"/>
      <c r="H895" s="132" t="b">
        <f aca="false">FALSE()</f>
        <v>0</v>
      </c>
      <c r="I895" s="132" t="b">
        <f aca="false">FALSE()</f>
        <v>0</v>
      </c>
      <c r="J895" s="126"/>
      <c r="K895" s="99"/>
      <c r="L895" s="83"/>
      <c r="M895" s="103"/>
      <c r="N895" s="103"/>
      <c r="O895" s="103"/>
      <c r="P895" s="103"/>
      <c r="Q895" s="103"/>
      <c r="R895" s="83"/>
      <c r="S895" s="103"/>
      <c r="T895" s="103"/>
      <c r="U895" s="103"/>
    </row>
    <row r="896" customFormat="false" ht="22.5" hidden="false" customHeight="true" outlineLevel="0" collapsed="false">
      <c r="A896" s="110"/>
      <c r="B896" s="110"/>
      <c r="C896" s="110"/>
      <c r="D896" s="122"/>
      <c r="E896" s="110"/>
      <c r="F896" s="128"/>
      <c r="G896" s="122"/>
      <c r="H896" s="131" t="b">
        <f aca="false">FALSE()</f>
        <v>0</v>
      </c>
      <c r="I896" s="131" t="b">
        <f aca="false">FALSE()</f>
        <v>0</v>
      </c>
      <c r="J896" s="130"/>
      <c r="K896" s="110"/>
      <c r="L896" s="83"/>
      <c r="M896" s="103"/>
      <c r="N896" s="103"/>
      <c r="O896" s="103"/>
      <c r="P896" s="103"/>
      <c r="Q896" s="103"/>
      <c r="R896" s="83"/>
      <c r="S896" s="103"/>
      <c r="T896" s="103"/>
      <c r="U896" s="103"/>
    </row>
    <row r="897" customFormat="false" ht="22.5" hidden="false" customHeight="true" outlineLevel="0" collapsed="false">
      <c r="A897" s="99"/>
      <c r="B897" s="99"/>
      <c r="C897" s="99"/>
      <c r="D897" s="121"/>
      <c r="E897" s="99"/>
      <c r="F897" s="124"/>
      <c r="G897" s="121"/>
      <c r="H897" s="132" t="b">
        <f aca="false">FALSE()</f>
        <v>0</v>
      </c>
      <c r="I897" s="132" t="b">
        <f aca="false">FALSE()</f>
        <v>0</v>
      </c>
      <c r="J897" s="126"/>
      <c r="K897" s="99"/>
      <c r="L897" s="83"/>
      <c r="M897" s="103"/>
      <c r="N897" s="103"/>
      <c r="O897" s="103"/>
      <c r="P897" s="103"/>
      <c r="Q897" s="103"/>
      <c r="R897" s="83"/>
      <c r="S897" s="103"/>
      <c r="T897" s="103"/>
      <c r="U897" s="103"/>
    </row>
    <row r="898" customFormat="false" ht="22.5" hidden="false" customHeight="true" outlineLevel="0" collapsed="false">
      <c r="A898" s="110"/>
      <c r="B898" s="110"/>
      <c r="C898" s="110"/>
      <c r="D898" s="122"/>
      <c r="E898" s="110"/>
      <c r="F898" s="128"/>
      <c r="G898" s="122"/>
      <c r="H898" s="131" t="b">
        <f aca="false">FALSE()</f>
        <v>0</v>
      </c>
      <c r="I898" s="131" t="b">
        <f aca="false">FALSE()</f>
        <v>0</v>
      </c>
      <c r="J898" s="130"/>
      <c r="K898" s="110"/>
      <c r="L898" s="83"/>
      <c r="M898" s="103"/>
      <c r="N898" s="103"/>
      <c r="O898" s="103"/>
      <c r="P898" s="103"/>
      <c r="Q898" s="103"/>
      <c r="R898" s="83"/>
      <c r="S898" s="103"/>
      <c r="T898" s="103"/>
      <c r="U898" s="103"/>
    </row>
    <row r="899" customFormat="false" ht="22.5" hidden="false" customHeight="true" outlineLevel="0" collapsed="false">
      <c r="A899" s="99"/>
      <c r="B899" s="99"/>
      <c r="C899" s="99"/>
      <c r="D899" s="121"/>
      <c r="E899" s="99"/>
      <c r="F899" s="124"/>
      <c r="G899" s="121"/>
      <c r="H899" s="132" t="b">
        <f aca="false">FALSE()</f>
        <v>0</v>
      </c>
      <c r="I899" s="132" t="b">
        <f aca="false">FALSE()</f>
        <v>0</v>
      </c>
      <c r="J899" s="126"/>
      <c r="K899" s="99"/>
      <c r="L899" s="83"/>
      <c r="M899" s="103"/>
      <c r="N899" s="103"/>
      <c r="O899" s="103"/>
      <c r="P899" s="103"/>
      <c r="Q899" s="103"/>
      <c r="R899" s="83"/>
      <c r="S899" s="103"/>
      <c r="T899" s="103"/>
      <c r="U899" s="103"/>
    </row>
    <row r="900" customFormat="false" ht="22.5" hidden="false" customHeight="true" outlineLevel="0" collapsed="false">
      <c r="A900" s="110"/>
      <c r="B900" s="110"/>
      <c r="C900" s="110"/>
      <c r="D900" s="122"/>
      <c r="E900" s="110"/>
      <c r="F900" s="128"/>
      <c r="G900" s="122"/>
      <c r="H900" s="131" t="b">
        <f aca="false">FALSE()</f>
        <v>0</v>
      </c>
      <c r="I900" s="131" t="b">
        <f aca="false">FALSE()</f>
        <v>0</v>
      </c>
      <c r="J900" s="130"/>
      <c r="K900" s="110"/>
      <c r="L900" s="83"/>
      <c r="M900" s="103"/>
      <c r="N900" s="103"/>
      <c r="O900" s="103"/>
      <c r="P900" s="103"/>
      <c r="Q900" s="103"/>
      <c r="R900" s="83"/>
      <c r="S900" s="103"/>
      <c r="T900" s="103"/>
      <c r="U900" s="103"/>
    </row>
    <row r="901" customFormat="false" ht="22.5" hidden="false" customHeight="true" outlineLevel="0" collapsed="false">
      <c r="A901" s="99"/>
      <c r="B901" s="99"/>
      <c r="C901" s="99"/>
      <c r="D901" s="121"/>
      <c r="E901" s="99"/>
      <c r="F901" s="124"/>
      <c r="G901" s="121"/>
      <c r="H901" s="132" t="b">
        <f aca="false">FALSE()</f>
        <v>0</v>
      </c>
      <c r="I901" s="132" t="b">
        <f aca="false">FALSE()</f>
        <v>0</v>
      </c>
      <c r="J901" s="126"/>
      <c r="K901" s="99"/>
      <c r="L901" s="83"/>
      <c r="M901" s="103"/>
      <c r="N901" s="103"/>
      <c r="O901" s="103"/>
      <c r="P901" s="103"/>
      <c r="Q901" s="103"/>
      <c r="R901" s="83"/>
      <c r="S901" s="103"/>
      <c r="T901" s="103"/>
      <c r="U901" s="103"/>
    </row>
    <row r="902" customFormat="false" ht="22.5" hidden="false" customHeight="true" outlineLevel="0" collapsed="false">
      <c r="A902" s="110"/>
      <c r="B902" s="110"/>
      <c r="C902" s="110"/>
      <c r="D902" s="122"/>
      <c r="E902" s="110"/>
      <c r="F902" s="128"/>
      <c r="G902" s="122"/>
      <c r="H902" s="131" t="b">
        <f aca="false">FALSE()</f>
        <v>0</v>
      </c>
      <c r="I902" s="131" t="b">
        <f aca="false">FALSE()</f>
        <v>0</v>
      </c>
      <c r="J902" s="130"/>
      <c r="K902" s="110"/>
      <c r="L902" s="83"/>
      <c r="M902" s="103"/>
      <c r="N902" s="103"/>
      <c r="O902" s="103"/>
      <c r="P902" s="103"/>
      <c r="Q902" s="103"/>
      <c r="R902" s="83"/>
      <c r="S902" s="103"/>
      <c r="T902" s="103"/>
      <c r="U902" s="103"/>
    </row>
    <row r="903" customFormat="false" ht="22.5" hidden="false" customHeight="true" outlineLevel="0" collapsed="false">
      <c r="A903" s="99"/>
      <c r="B903" s="99"/>
      <c r="C903" s="99"/>
      <c r="D903" s="121"/>
      <c r="E903" s="99"/>
      <c r="F903" s="124"/>
      <c r="G903" s="121"/>
      <c r="H903" s="132" t="b">
        <f aca="false">FALSE()</f>
        <v>0</v>
      </c>
      <c r="I903" s="132" t="b">
        <f aca="false">FALSE()</f>
        <v>0</v>
      </c>
      <c r="J903" s="126"/>
      <c r="K903" s="99"/>
      <c r="L903" s="83"/>
      <c r="M903" s="103"/>
      <c r="N903" s="103"/>
      <c r="O903" s="103"/>
      <c r="P903" s="103"/>
      <c r="Q903" s="103"/>
      <c r="R903" s="83"/>
      <c r="S903" s="103"/>
      <c r="T903" s="103"/>
      <c r="U903" s="103"/>
    </row>
    <row r="904" customFormat="false" ht="22.5" hidden="false" customHeight="true" outlineLevel="0" collapsed="false">
      <c r="A904" s="110"/>
      <c r="B904" s="110"/>
      <c r="C904" s="110"/>
      <c r="D904" s="122"/>
      <c r="E904" s="110"/>
      <c r="F904" s="128"/>
      <c r="G904" s="122"/>
      <c r="H904" s="131" t="b">
        <f aca="false">FALSE()</f>
        <v>0</v>
      </c>
      <c r="I904" s="131" t="b">
        <f aca="false">FALSE()</f>
        <v>0</v>
      </c>
      <c r="J904" s="130"/>
      <c r="K904" s="110"/>
      <c r="L904" s="83"/>
      <c r="M904" s="103"/>
      <c r="N904" s="103"/>
      <c r="O904" s="103"/>
      <c r="P904" s="103"/>
      <c r="Q904" s="103"/>
      <c r="R904" s="83"/>
      <c r="S904" s="103"/>
      <c r="T904" s="103"/>
      <c r="U904" s="103"/>
    </row>
    <row r="905" customFormat="false" ht="22.5" hidden="false" customHeight="true" outlineLevel="0" collapsed="false">
      <c r="A905" s="99"/>
      <c r="B905" s="99"/>
      <c r="C905" s="99"/>
      <c r="D905" s="121"/>
      <c r="E905" s="99"/>
      <c r="F905" s="124"/>
      <c r="G905" s="121"/>
      <c r="H905" s="132" t="b">
        <f aca="false">FALSE()</f>
        <v>0</v>
      </c>
      <c r="I905" s="132" t="b">
        <f aca="false">FALSE()</f>
        <v>0</v>
      </c>
      <c r="J905" s="126"/>
      <c r="K905" s="99"/>
      <c r="L905" s="83"/>
      <c r="M905" s="103"/>
      <c r="N905" s="103"/>
      <c r="O905" s="103"/>
      <c r="P905" s="103"/>
      <c r="Q905" s="103"/>
      <c r="R905" s="83"/>
      <c r="S905" s="103"/>
      <c r="T905" s="103"/>
      <c r="U905" s="103"/>
    </row>
    <row r="906" customFormat="false" ht="22.5" hidden="false" customHeight="true" outlineLevel="0" collapsed="false">
      <c r="A906" s="110"/>
      <c r="B906" s="110"/>
      <c r="C906" s="110"/>
      <c r="D906" s="122"/>
      <c r="E906" s="110"/>
      <c r="F906" s="128"/>
      <c r="G906" s="122"/>
      <c r="H906" s="131" t="b">
        <f aca="false">FALSE()</f>
        <v>0</v>
      </c>
      <c r="I906" s="131" t="b">
        <f aca="false">FALSE()</f>
        <v>0</v>
      </c>
      <c r="J906" s="130"/>
      <c r="K906" s="110"/>
      <c r="L906" s="83"/>
      <c r="M906" s="103"/>
      <c r="N906" s="103"/>
      <c r="O906" s="103"/>
      <c r="P906" s="103"/>
      <c r="Q906" s="103"/>
      <c r="R906" s="83"/>
      <c r="S906" s="103"/>
      <c r="T906" s="103"/>
      <c r="U906" s="103"/>
    </row>
    <row r="907" customFormat="false" ht="22.5" hidden="false" customHeight="true" outlineLevel="0" collapsed="false">
      <c r="A907" s="99"/>
      <c r="B907" s="99"/>
      <c r="C907" s="99"/>
      <c r="D907" s="121"/>
      <c r="E907" s="99"/>
      <c r="F907" s="124"/>
      <c r="G907" s="121"/>
      <c r="H907" s="132" t="b">
        <f aca="false">FALSE()</f>
        <v>0</v>
      </c>
      <c r="I907" s="132" t="b">
        <f aca="false">FALSE()</f>
        <v>0</v>
      </c>
      <c r="J907" s="126"/>
      <c r="K907" s="99"/>
      <c r="L907" s="83"/>
      <c r="M907" s="103"/>
      <c r="N907" s="103"/>
      <c r="O907" s="103"/>
      <c r="P907" s="103"/>
      <c r="Q907" s="103"/>
      <c r="R907" s="83"/>
      <c r="S907" s="103"/>
      <c r="T907" s="103"/>
      <c r="U907" s="103"/>
    </row>
    <row r="908" customFormat="false" ht="22.5" hidden="false" customHeight="true" outlineLevel="0" collapsed="false">
      <c r="A908" s="110"/>
      <c r="B908" s="110"/>
      <c r="C908" s="110"/>
      <c r="D908" s="122"/>
      <c r="E908" s="110"/>
      <c r="F908" s="128"/>
      <c r="G908" s="122"/>
      <c r="H908" s="131" t="b">
        <f aca="false">FALSE()</f>
        <v>0</v>
      </c>
      <c r="I908" s="131" t="b">
        <f aca="false">FALSE()</f>
        <v>0</v>
      </c>
      <c r="J908" s="130"/>
      <c r="K908" s="110"/>
      <c r="L908" s="83"/>
      <c r="M908" s="103"/>
      <c r="N908" s="103"/>
      <c r="O908" s="103"/>
      <c r="P908" s="103"/>
      <c r="Q908" s="103"/>
      <c r="R908" s="83"/>
      <c r="S908" s="103"/>
      <c r="T908" s="103"/>
      <c r="U908" s="103"/>
    </row>
    <row r="909" customFormat="false" ht="22.5" hidden="false" customHeight="true" outlineLevel="0" collapsed="false">
      <c r="A909" s="99"/>
      <c r="B909" s="99"/>
      <c r="C909" s="99"/>
      <c r="D909" s="121"/>
      <c r="E909" s="99"/>
      <c r="F909" s="124"/>
      <c r="G909" s="121"/>
      <c r="H909" s="132" t="b">
        <f aca="false">FALSE()</f>
        <v>0</v>
      </c>
      <c r="I909" s="132" t="b">
        <f aca="false">FALSE()</f>
        <v>0</v>
      </c>
      <c r="J909" s="126"/>
      <c r="K909" s="99"/>
      <c r="L909" s="83"/>
      <c r="M909" s="103"/>
      <c r="N909" s="103"/>
      <c r="O909" s="103"/>
      <c r="P909" s="103"/>
      <c r="Q909" s="103"/>
      <c r="R909" s="83"/>
      <c r="S909" s="103"/>
      <c r="T909" s="103"/>
      <c r="U909" s="103"/>
    </row>
    <row r="910" customFormat="false" ht="22.5" hidden="false" customHeight="true" outlineLevel="0" collapsed="false">
      <c r="A910" s="110"/>
      <c r="B910" s="110"/>
      <c r="C910" s="110"/>
      <c r="D910" s="122"/>
      <c r="E910" s="110"/>
      <c r="F910" s="128"/>
      <c r="G910" s="122"/>
      <c r="H910" s="131" t="b">
        <f aca="false">FALSE()</f>
        <v>0</v>
      </c>
      <c r="I910" s="131" t="b">
        <f aca="false">FALSE()</f>
        <v>0</v>
      </c>
      <c r="J910" s="130"/>
      <c r="K910" s="110"/>
      <c r="L910" s="83"/>
      <c r="M910" s="103"/>
      <c r="N910" s="103"/>
      <c r="O910" s="103"/>
      <c r="P910" s="103"/>
      <c r="Q910" s="103"/>
      <c r="R910" s="83"/>
      <c r="S910" s="103"/>
      <c r="T910" s="103"/>
      <c r="U910" s="103"/>
    </row>
    <row r="911" customFormat="false" ht="22.5" hidden="false" customHeight="true" outlineLevel="0" collapsed="false">
      <c r="A911" s="99"/>
      <c r="B911" s="99"/>
      <c r="C911" s="99"/>
      <c r="D911" s="121"/>
      <c r="E911" s="99"/>
      <c r="F911" s="124"/>
      <c r="G911" s="121"/>
      <c r="H911" s="132" t="b">
        <f aca="false">FALSE()</f>
        <v>0</v>
      </c>
      <c r="I911" s="132" t="b">
        <f aca="false">FALSE()</f>
        <v>0</v>
      </c>
      <c r="J911" s="126"/>
      <c r="K911" s="99"/>
      <c r="L911" s="83"/>
      <c r="M911" s="103"/>
      <c r="N911" s="103"/>
      <c r="O911" s="103"/>
      <c r="P911" s="103"/>
      <c r="Q911" s="103"/>
      <c r="R911" s="83"/>
      <c r="S911" s="103"/>
      <c r="T911" s="103"/>
      <c r="U911" s="103"/>
    </row>
    <row r="912" customFormat="false" ht="22.5" hidden="false" customHeight="true" outlineLevel="0" collapsed="false">
      <c r="A912" s="110"/>
      <c r="B912" s="110"/>
      <c r="C912" s="110"/>
      <c r="D912" s="122"/>
      <c r="E912" s="110"/>
      <c r="F912" s="128"/>
      <c r="G912" s="122"/>
      <c r="H912" s="131" t="b">
        <f aca="false">FALSE()</f>
        <v>0</v>
      </c>
      <c r="I912" s="131" t="b">
        <f aca="false">FALSE()</f>
        <v>0</v>
      </c>
      <c r="J912" s="130"/>
      <c r="K912" s="110"/>
      <c r="L912" s="83"/>
      <c r="M912" s="103"/>
      <c r="N912" s="103"/>
      <c r="O912" s="103"/>
      <c r="P912" s="103"/>
      <c r="Q912" s="103"/>
      <c r="R912" s="83"/>
      <c r="S912" s="103"/>
      <c r="T912" s="103"/>
      <c r="U912" s="103"/>
    </row>
    <row r="913" customFormat="false" ht="22.5" hidden="false" customHeight="true" outlineLevel="0" collapsed="false">
      <c r="A913" s="99"/>
      <c r="B913" s="99"/>
      <c r="C913" s="99"/>
      <c r="D913" s="121"/>
      <c r="E913" s="99"/>
      <c r="F913" s="124"/>
      <c r="G913" s="121"/>
      <c r="H913" s="132" t="b">
        <f aca="false">FALSE()</f>
        <v>0</v>
      </c>
      <c r="I913" s="132" t="b">
        <f aca="false">FALSE()</f>
        <v>0</v>
      </c>
      <c r="J913" s="126"/>
      <c r="K913" s="99"/>
      <c r="L913" s="83"/>
      <c r="M913" s="103"/>
      <c r="N913" s="103"/>
      <c r="O913" s="103"/>
      <c r="P913" s="103"/>
      <c r="Q913" s="103"/>
      <c r="R913" s="83"/>
      <c r="S913" s="103"/>
      <c r="T913" s="103"/>
      <c r="U913" s="103"/>
    </row>
    <row r="914" customFormat="false" ht="22.5" hidden="false" customHeight="true" outlineLevel="0" collapsed="false">
      <c r="A914" s="110"/>
      <c r="B914" s="110"/>
      <c r="C914" s="110"/>
      <c r="D914" s="122"/>
      <c r="E914" s="110"/>
      <c r="F914" s="128"/>
      <c r="G914" s="122"/>
      <c r="H914" s="131" t="b">
        <f aca="false">FALSE()</f>
        <v>0</v>
      </c>
      <c r="I914" s="131" t="b">
        <f aca="false">FALSE()</f>
        <v>0</v>
      </c>
      <c r="J914" s="130"/>
      <c r="K914" s="110"/>
      <c r="L914" s="83"/>
      <c r="M914" s="103"/>
      <c r="N914" s="103"/>
      <c r="O914" s="103"/>
      <c r="P914" s="103"/>
      <c r="Q914" s="103"/>
      <c r="R914" s="83"/>
      <c r="S914" s="103"/>
      <c r="T914" s="103"/>
      <c r="U914" s="103"/>
    </row>
    <row r="915" customFormat="false" ht="22.5" hidden="false" customHeight="true" outlineLevel="0" collapsed="false">
      <c r="A915" s="99"/>
      <c r="B915" s="99"/>
      <c r="C915" s="99"/>
      <c r="D915" s="121"/>
      <c r="E915" s="99"/>
      <c r="F915" s="124"/>
      <c r="G915" s="121"/>
      <c r="H915" s="132" t="b">
        <f aca="false">FALSE()</f>
        <v>0</v>
      </c>
      <c r="I915" s="132" t="b">
        <f aca="false">FALSE()</f>
        <v>0</v>
      </c>
      <c r="J915" s="126"/>
      <c r="K915" s="99"/>
      <c r="L915" s="83"/>
      <c r="M915" s="103"/>
      <c r="N915" s="103"/>
      <c r="O915" s="103"/>
      <c r="P915" s="103"/>
      <c r="Q915" s="103"/>
      <c r="R915" s="83"/>
      <c r="S915" s="103"/>
      <c r="T915" s="103"/>
      <c r="U915" s="103"/>
    </row>
    <row r="916" customFormat="false" ht="22.5" hidden="false" customHeight="true" outlineLevel="0" collapsed="false">
      <c r="A916" s="110"/>
      <c r="B916" s="110"/>
      <c r="C916" s="110"/>
      <c r="D916" s="122"/>
      <c r="E916" s="110"/>
      <c r="F916" s="128"/>
      <c r="G916" s="122"/>
      <c r="H916" s="131" t="b">
        <f aca="false">FALSE()</f>
        <v>0</v>
      </c>
      <c r="I916" s="131" t="b">
        <f aca="false">FALSE()</f>
        <v>0</v>
      </c>
      <c r="J916" s="130"/>
      <c r="K916" s="110"/>
      <c r="L916" s="83"/>
      <c r="M916" s="103"/>
      <c r="N916" s="103"/>
      <c r="O916" s="103"/>
      <c r="P916" s="103"/>
      <c r="Q916" s="103"/>
      <c r="R916" s="83"/>
      <c r="S916" s="103"/>
      <c r="T916" s="103"/>
      <c r="U916" s="103"/>
    </row>
    <row r="917" customFormat="false" ht="22.5" hidden="false" customHeight="true" outlineLevel="0" collapsed="false">
      <c r="A917" s="99"/>
      <c r="B917" s="99"/>
      <c r="C917" s="99"/>
      <c r="D917" s="121"/>
      <c r="E917" s="99"/>
      <c r="F917" s="124"/>
      <c r="G917" s="121"/>
      <c r="H917" s="132" t="b">
        <f aca="false">FALSE()</f>
        <v>0</v>
      </c>
      <c r="I917" s="132" t="b">
        <f aca="false">FALSE()</f>
        <v>0</v>
      </c>
      <c r="J917" s="126"/>
      <c r="K917" s="99"/>
      <c r="L917" s="83"/>
      <c r="M917" s="103"/>
      <c r="N917" s="103"/>
      <c r="O917" s="103"/>
      <c r="P917" s="103"/>
      <c r="Q917" s="103"/>
      <c r="R917" s="83"/>
      <c r="S917" s="103"/>
      <c r="T917" s="103"/>
      <c r="U917" s="103"/>
    </row>
    <row r="918" customFormat="false" ht="22.5" hidden="false" customHeight="true" outlineLevel="0" collapsed="false">
      <c r="A918" s="110"/>
      <c r="B918" s="110"/>
      <c r="C918" s="110"/>
      <c r="D918" s="122"/>
      <c r="E918" s="110"/>
      <c r="F918" s="128"/>
      <c r="G918" s="122"/>
      <c r="H918" s="131" t="b">
        <f aca="false">FALSE()</f>
        <v>0</v>
      </c>
      <c r="I918" s="131" t="b">
        <f aca="false">FALSE()</f>
        <v>0</v>
      </c>
      <c r="J918" s="130"/>
      <c r="K918" s="110"/>
      <c r="L918" s="83"/>
      <c r="M918" s="103"/>
      <c r="N918" s="103"/>
      <c r="O918" s="103"/>
      <c r="P918" s="103"/>
      <c r="Q918" s="103"/>
      <c r="R918" s="83"/>
      <c r="S918" s="103"/>
      <c r="T918" s="103"/>
      <c r="U918" s="103"/>
    </row>
    <row r="919" customFormat="false" ht="22.5" hidden="false" customHeight="true" outlineLevel="0" collapsed="false">
      <c r="A919" s="99"/>
      <c r="B919" s="99"/>
      <c r="C919" s="99"/>
      <c r="D919" s="121"/>
      <c r="E919" s="99"/>
      <c r="F919" s="124"/>
      <c r="G919" s="121"/>
      <c r="H919" s="132" t="b">
        <f aca="false">FALSE()</f>
        <v>0</v>
      </c>
      <c r="I919" s="132" t="b">
        <f aca="false">FALSE()</f>
        <v>0</v>
      </c>
      <c r="J919" s="126"/>
      <c r="K919" s="99"/>
      <c r="L919" s="83"/>
      <c r="M919" s="103"/>
      <c r="N919" s="103"/>
      <c r="O919" s="103"/>
      <c r="P919" s="103"/>
      <c r="Q919" s="103"/>
      <c r="R919" s="83"/>
      <c r="S919" s="103"/>
      <c r="T919" s="103"/>
      <c r="U919" s="103"/>
    </row>
    <row r="920" customFormat="false" ht="22.5" hidden="false" customHeight="true" outlineLevel="0" collapsed="false">
      <c r="A920" s="110"/>
      <c r="B920" s="110"/>
      <c r="C920" s="110"/>
      <c r="D920" s="122"/>
      <c r="E920" s="110"/>
      <c r="F920" s="128"/>
      <c r="G920" s="122"/>
      <c r="H920" s="131" t="b">
        <f aca="false">FALSE()</f>
        <v>0</v>
      </c>
      <c r="I920" s="131" t="b">
        <f aca="false">FALSE()</f>
        <v>0</v>
      </c>
      <c r="J920" s="130"/>
      <c r="K920" s="110"/>
      <c r="L920" s="83"/>
      <c r="M920" s="103"/>
      <c r="N920" s="103"/>
      <c r="O920" s="103"/>
      <c r="P920" s="103"/>
      <c r="Q920" s="103"/>
      <c r="R920" s="83"/>
      <c r="S920" s="103"/>
      <c r="T920" s="103"/>
      <c r="U920" s="103"/>
    </row>
    <row r="921" customFormat="false" ht="22.5" hidden="false" customHeight="true" outlineLevel="0" collapsed="false">
      <c r="A921" s="99"/>
      <c r="B921" s="99"/>
      <c r="C921" s="99"/>
      <c r="D921" s="121"/>
      <c r="E921" s="99"/>
      <c r="F921" s="124"/>
      <c r="G921" s="121"/>
      <c r="H921" s="132" t="b">
        <f aca="false">FALSE()</f>
        <v>0</v>
      </c>
      <c r="I921" s="132" t="b">
        <f aca="false">FALSE()</f>
        <v>0</v>
      </c>
      <c r="J921" s="126"/>
      <c r="K921" s="99"/>
      <c r="L921" s="83"/>
      <c r="M921" s="103"/>
      <c r="N921" s="103"/>
      <c r="O921" s="103"/>
      <c r="P921" s="103"/>
      <c r="Q921" s="103"/>
      <c r="R921" s="83"/>
      <c r="S921" s="103"/>
      <c r="T921" s="103"/>
      <c r="U921" s="103"/>
    </row>
    <row r="922" customFormat="false" ht="22.5" hidden="false" customHeight="true" outlineLevel="0" collapsed="false">
      <c r="A922" s="110"/>
      <c r="B922" s="110"/>
      <c r="C922" s="110"/>
      <c r="D922" s="122"/>
      <c r="E922" s="110"/>
      <c r="F922" s="128"/>
      <c r="G922" s="122"/>
      <c r="H922" s="131" t="b">
        <f aca="false">FALSE()</f>
        <v>0</v>
      </c>
      <c r="I922" s="131" t="b">
        <f aca="false">FALSE()</f>
        <v>0</v>
      </c>
      <c r="J922" s="130"/>
      <c r="K922" s="110"/>
      <c r="L922" s="83"/>
      <c r="M922" s="103"/>
      <c r="N922" s="103"/>
      <c r="O922" s="103"/>
      <c r="P922" s="103"/>
      <c r="Q922" s="103"/>
      <c r="R922" s="83"/>
      <c r="S922" s="103"/>
      <c r="T922" s="103"/>
      <c r="U922" s="103"/>
    </row>
    <row r="923" customFormat="false" ht="22.5" hidden="false" customHeight="true" outlineLevel="0" collapsed="false">
      <c r="A923" s="99"/>
      <c r="B923" s="99"/>
      <c r="C923" s="99"/>
      <c r="D923" s="121"/>
      <c r="E923" s="99"/>
      <c r="F923" s="124"/>
      <c r="G923" s="121"/>
      <c r="H923" s="132" t="b">
        <f aca="false">FALSE()</f>
        <v>0</v>
      </c>
      <c r="I923" s="132" t="b">
        <f aca="false">FALSE()</f>
        <v>0</v>
      </c>
      <c r="J923" s="126"/>
      <c r="K923" s="99"/>
      <c r="L923" s="83"/>
      <c r="M923" s="103"/>
      <c r="N923" s="103"/>
      <c r="O923" s="103"/>
      <c r="P923" s="103"/>
      <c r="Q923" s="103"/>
      <c r="R923" s="83"/>
      <c r="S923" s="103"/>
      <c r="T923" s="103"/>
      <c r="U923" s="103"/>
    </row>
    <row r="924" customFormat="false" ht="22.5" hidden="false" customHeight="true" outlineLevel="0" collapsed="false">
      <c r="A924" s="110"/>
      <c r="B924" s="110"/>
      <c r="C924" s="110"/>
      <c r="D924" s="122"/>
      <c r="E924" s="110"/>
      <c r="F924" s="128"/>
      <c r="G924" s="122"/>
      <c r="H924" s="131" t="b">
        <f aca="false">FALSE()</f>
        <v>0</v>
      </c>
      <c r="I924" s="131" t="b">
        <f aca="false">FALSE()</f>
        <v>0</v>
      </c>
      <c r="J924" s="130"/>
      <c r="K924" s="110"/>
      <c r="L924" s="83"/>
      <c r="M924" s="103"/>
      <c r="N924" s="103"/>
      <c r="O924" s="103"/>
      <c r="P924" s="103"/>
      <c r="Q924" s="103"/>
      <c r="R924" s="83"/>
      <c r="S924" s="103"/>
      <c r="T924" s="103"/>
      <c r="U924" s="103"/>
    </row>
    <row r="925" customFormat="false" ht="22.5" hidden="false" customHeight="true" outlineLevel="0" collapsed="false">
      <c r="A925" s="99"/>
      <c r="B925" s="99"/>
      <c r="C925" s="99"/>
      <c r="D925" s="121"/>
      <c r="E925" s="99"/>
      <c r="F925" s="124"/>
      <c r="G925" s="121"/>
      <c r="H925" s="132" t="b">
        <f aca="false">FALSE()</f>
        <v>0</v>
      </c>
      <c r="I925" s="132" t="b">
        <f aca="false">FALSE()</f>
        <v>0</v>
      </c>
      <c r="J925" s="126"/>
      <c r="K925" s="99"/>
      <c r="L925" s="83"/>
      <c r="M925" s="103"/>
      <c r="N925" s="103"/>
      <c r="O925" s="103"/>
      <c r="P925" s="103"/>
      <c r="Q925" s="103"/>
      <c r="R925" s="83"/>
      <c r="S925" s="103"/>
      <c r="T925" s="103"/>
      <c r="U925" s="103"/>
    </row>
    <row r="926" customFormat="false" ht="22.5" hidden="false" customHeight="true" outlineLevel="0" collapsed="false">
      <c r="A926" s="110"/>
      <c r="B926" s="110"/>
      <c r="C926" s="110"/>
      <c r="D926" s="122"/>
      <c r="E926" s="110"/>
      <c r="F926" s="128"/>
      <c r="G926" s="122"/>
      <c r="H926" s="131" t="b">
        <f aca="false">FALSE()</f>
        <v>0</v>
      </c>
      <c r="I926" s="131" t="b">
        <f aca="false">FALSE()</f>
        <v>0</v>
      </c>
      <c r="J926" s="130"/>
      <c r="K926" s="110"/>
      <c r="L926" s="83"/>
      <c r="M926" s="103"/>
      <c r="N926" s="103"/>
      <c r="O926" s="103"/>
      <c r="P926" s="103"/>
      <c r="Q926" s="103"/>
      <c r="R926" s="83"/>
      <c r="S926" s="103"/>
      <c r="T926" s="103"/>
      <c r="U926" s="103"/>
    </row>
    <row r="927" customFormat="false" ht="22.5" hidden="false" customHeight="true" outlineLevel="0" collapsed="false">
      <c r="A927" s="99"/>
      <c r="B927" s="99"/>
      <c r="C927" s="99"/>
      <c r="D927" s="121"/>
      <c r="E927" s="99"/>
      <c r="F927" s="124"/>
      <c r="G927" s="121"/>
      <c r="H927" s="132" t="b">
        <f aca="false">FALSE()</f>
        <v>0</v>
      </c>
      <c r="I927" s="132" t="b">
        <f aca="false">FALSE()</f>
        <v>0</v>
      </c>
      <c r="J927" s="126"/>
      <c r="K927" s="99"/>
      <c r="L927" s="83"/>
      <c r="M927" s="103"/>
      <c r="N927" s="103"/>
      <c r="O927" s="103"/>
      <c r="P927" s="103"/>
      <c r="Q927" s="103"/>
      <c r="R927" s="83"/>
      <c r="S927" s="103"/>
      <c r="T927" s="103"/>
      <c r="U927" s="103"/>
    </row>
    <row r="928" customFormat="false" ht="22.5" hidden="false" customHeight="true" outlineLevel="0" collapsed="false">
      <c r="A928" s="110"/>
      <c r="B928" s="110"/>
      <c r="C928" s="110"/>
      <c r="D928" s="122"/>
      <c r="E928" s="110"/>
      <c r="F928" s="128"/>
      <c r="G928" s="122"/>
      <c r="H928" s="131" t="b">
        <f aca="false">FALSE()</f>
        <v>0</v>
      </c>
      <c r="I928" s="131" t="b">
        <f aca="false">FALSE()</f>
        <v>0</v>
      </c>
      <c r="J928" s="130"/>
      <c r="K928" s="110"/>
      <c r="L928" s="83"/>
      <c r="M928" s="103"/>
      <c r="N928" s="103"/>
      <c r="O928" s="103"/>
      <c r="P928" s="103"/>
      <c r="Q928" s="103"/>
      <c r="R928" s="83"/>
      <c r="S928" s="103"/>
      <c r="T928" s="103"/>
      <c r="U928" s="103"/>
    </row>
    <row r="929" customFormat="false" ht="22.5" hidden="false" customHeight="true" outlineLevel="0" collapsed="false">
      <c r="A929" s="99"/>
      <c r="B929" s="99"/>
      <c r="C929" s="99"/>
      <c r="D929" s="121"/>
      <c r="E929" s="99"/>
      <c r="F929" s="124"/>
      <c r="G929" s="121"/>
      <c r="H929" s="132" t="b">
        <f aca="false">FALSE()</f>
        <v>0</v>
      </c>
      <c r="I929" s="132" t="b">
        <f aca="false">FALSE()</f>
        <v>0</v>
      </c>
      <c r="J929" s="126"/>
      <c r="K929" s="99"/>
      <c r="L929" s="83"/>
      <c r="M929" s="103"/>
      <c r="N929" s="103"/>
      <c r="O929" s="103"/>
      <c r="P929" s="103"/>
      <c r="Q929" s="103"/>
      <c r="R929" s="83"/>
      <c r="S929" s="103"/>
      <c r="T929" s="103"/>
      <c r="U929" s="103"/>
    </row>
    <row r="930" customFormat="false" ht="22.5" hidden="false" customHeight="true" outlineLevel="0" collapsed="false">
      <c r="A930" s="110"/>
      <c r="B930" s="110"/>
      <c r="C930" s="110"/>
      <c r="D930" s="122"/>
      <c r="E930" s="110"/>
      <c r="F930" s="128"/>
      <c r="G930" s="122"/>
      <c r="H930" s="131" t="b">
        <f aca="false">FALSE()</f>
        <v>0</v>
      </c>
      <c r="I930" s="131" t="b">
        <f aca="false">FALSE()</f>
        <v>0</v>
      </c>
      <c r="J930" s="130"/>
      <c r="K930" s="110"/>
      <c r="L930" s="83"/>
      <c r="M930" s="103"/>
      <c r="N930" s="103"/>
      <c r="O930" s="103"/>
      <c r="P930" s="103"/>
      <c r="Q930" s="103"/>
      <c r="R930" s="83"/>
      <c r="S930" s="103"/>
      <c r="T930" s="103"/>
      <c r="U930" s="103"/>
    </row>
    <row r="931" customFormat="false" ht="22.5" hidden="false" customHeight="true" outlineLevel="0" collapsed="false">
      <c r="A931" s="99"/>
      <c r="B931" s="99"/>
      <c r="C931" s="99"/>
      <c r="D931" s="121"/>
      <c r="E931" s="99"/>
      <c r="F931" s="124"/>
      <c r="G931" s="121"/>
      <c r="H931" s="132" t="b">
        <f aca="false">FALSE()</f>
        <v>0</v>
      </c>
      <c r="I931" s="132" t="b">
        <f aca="false">FALSE()</f>
        <v>0</v>
      </c>
      <c r="J931" s="126"/>
      <c r="K931" s="99"/>
      <c r="L931" s="83"/>
      <c r="M931" s="103"/>
      <c r="N931" s="103"/>
      <c r="O931" s="103"/>
      <c r="P931" s="103"/>
      <c r="Q931" s="103"/>
      <c r="R931" s="83"/>
      <c r="S931" s="103"/>
      <c r="T931" s="103"/>
      <c r="U931" s="103"/>
    </row>
    <row r="932" customFormat="false" ht="22.5" hidden="false" customHeight="true" outlineLevel="0" collapsed="false">
      <c r="A932" s="110"/>
      <c r="B932" s="110"/>
      <c r="C932" s="110"/>
      <c r="D932" s="122"/>
      <c r="E932" s="110"/>
      <c r="F932" s="128"/>
      <c r="G932" s="122"/>
      <c r="H932" s="131" t="b">
        <f aca="false">FALSE()</f>
        <v>0</v>
      </c>
      <c r="I932" s="131" t="b">
        <f aca="false">FALSE()</f>
        <v>0</v>
      </c>
      <c r="J932" s="130"/>
      <c r="K932" s="110"/>
      <c r="L932" s="83"/>
      <c r="M932" s="103"/>
      <c r="N932" s="103"/>
      <c r="O932" s="103"/>
      <c r="P932" s="103"/>
      <c r="Q932" s="103"/>
      <c r="R932" s="83"/>
      <c r="S932" s="103"/>
      <c r="T932" s="103"/>
      <c r="U932" s="103"/>
    </row>
    <row r="933" customFormat="false" ht="22.5" hidden="false" customHeight="true" outlineLevel="0" collapsed="false">
      <c r="A933" s="99"/>
      <c r="B933" s="99"/>
      <c r="C933" s="99"/>
      <c r="D933" s="121"/>
      <c r="E933" s="99"/>
      <c r="F933" s="124"/>
      <c r="G933" s="121"/>
      <c r="H933" s="132" t="b">
        <f aca="false">FALSE()</f>
        <v>0</v>
      </c>
      <c r="I933" s="132" t="b">
        <f aca="false">FALSE()</f>
        <v>0</v>
      </c>
      <c r="J933" s="126"/>
      <c r="K933" s="99"/>
      <c r="L933" s="83"/>
      <c r="M933" s="103"/>
      <c r="N933" s="103"/>
      <c r="O933" s="103"/>
      <c r="P933" s="103"/>
      <c r="Q933" s="103"/>
      <c r="R933" s="83"/>
      <c r="S933" s="103"/>
      <c r="T933" s="103"/>
      <c r="U933" s="103"/>
    </row>
    <row r="934" customFormat="false" ht="22.5" hidden="false" customHeight="true" outlineLevel="0" collapsed="false">
      <c r="A934" s="110"/>
      <c r="B934" s="110"/>
      <c r="C934" s="110"/>
      <c r="D934" s="122"/>
      <c r="E934" s="110"/>
      <c r="F934" s="128"/>
      <c r="G934" s="122"/>
      <c r="H934" s="131" t="b">
        <f aca="false">FALSE()</f>
        <v>0</v>
      </c>
      <c r="I934" s="131" t="b">
        <f aca="false">FALSE()</f>
        <v>0</v>
      </c>
      <c r="J934" s="130"/>
      <c r="K934" s="110"/>
      <c r="L934" s="83"/>
      <c r="M934" s="103"/>
      <c r="N934" s="103"/>
      <c r="O934" s="103"/>
      <c r="P934" s="103"/>
      <c r="Q934" s="103"/>
      <c r="R934" s="83"/>
      <c r="S934" s="103"/>
      <c r="T934" s="103"/>
      <c r="U934" s="103"/>
    </row>
    <row r="935" customFormat="false" ht="22.5" hidden="false" customHeight="true" outlineLevel="0" collapsed="false">
      <c r="A935" s="99"/>
      <c r="B935" s="99"/>
      <c r="C935" s="99"/>
      <c r="D935" s="121"/>
      <c r="E935" s="99"/>
      <c r="F935" s="124"/>
      <c r="G935" s="121"/>
      <c r="H935" s="132" t="b">
        <f aca="false">FALSE()</f>
        <v>0</v>
      </c>
      <c r="I935" s="132" t="b">
        <f aca="false">FALSE()</f>
        <v>0</v>
      </c>
      <c r="J935" s="126"/>
      <c r="K935" s="99"/>
      <c r="L935" s="83"/>
      <c r="M935" s="103"/>
      <c r="N935" s="103"/>
      <c r="O935" s="103"/>
      <c r="P935" s="103"/>
      <c r="Q935" s="103"/>
      <c r="R935" s="83"/>
      <c r="S935" s="103"/>
      <c r="T935" s="103"/>
      <c r="U935" s="103"/>
    </row>
    <row r="936" customFormat="false" ht="22.5" hidden="false" customHeight="true" outlineLevel="0" collapsed="false">
      <c r="A936" s="110"/>
      <c r="B936" s="110"/>
      <c r="C936" s="110"/>
      <c r="D936" s="122"/>
      <c r="E936" s="110"/>
      <c r="F936" s="128"/>
      <c r="G936" s="122"/>
      <c r="H936" s="131" t="b">
        <f aca="false">FALSE()</f>
        <v>0</v>
      </c>
      <c r="I936" s="131" t="b">
        <f aca="false">FALSE()</f>
        <v>0</v>
      </c>
      <c r="J936" s="130"/>
      <c r="K936" s="110"/>
      <c r="L936" s="83"/>
      <c r="M936" s="103"/>
      <c r="N936" s="103"/>
      <c r="O936" s="103"/>
      <c r="P936" s="103"/>
      <c r="Q936" s="103"/>
      <c r="R936" s="83"/>
      <c r="S936" s="103"/>
      <c r="T936" s="103"/>
      <c r="U936" s="103"/>
    </row>
    <row r="937" customFormat="false" ht="22.5" hidden="false" customHeight="true" outlineLevel="0" collapsed="false">
      <c r="A937" s="99"/>
      <c r="B937" s="99"/>
      <c r="C937" s="99"/>
      <c r="D937" s="121"/>
      <c r="E937" s="99"/>
      <c r="F937" s="124"/>
      <c r="G937" s="121"/>
      <c r="H937" s="132" t="b">
        <f aca="false">FALSE()</f>
        <v>0</v>
      </c>
      <c r="I937" s="132" t="b">
        <f aca="false">FALSE()</f>
        <v>0</v>
      </c>
      <c r="J937" s="126"/>
      <c r="K937" s="99"/>
      <c r="L937" s="83"/>
      <c r="M937" s="103"/>
      <c r="N937" s="103"/>
      <c r="O937" s="103"/>
      <c r="P937" s="103"/>
      <c r="Q937" s="103"/>
      <c r="R937" s="83"/>
      <c r="S937" s="103"/>
      <c r="T937" s="103"/>
      <c r="U937" s="103"/>
    </row>
    <row r="938" customFormat="false" ht="22.5" hidden="false" customHeight="true" outlineLevel="0" collapsed="false">
      <c r="A938" s="110"/>
      <c r="B938" s="110"/>
      <c r="C938" s="110"/>
      <c r="D938" s="122"/>
      <c r="E938" s="110"/>
      <c r="F938" s="128"/>
      <c r="G938" s="122"/>
      <c r="H938" s="131" t="b">
        <f aca="false">FALSE()</f>
        <v>0</v>
      </c>
      <c r="I938" s="131" t="b">
        <f aca="false">FALSE()</f>
        <v>0</v>
      </c>
      <c r="J938" s="130"/>
      <c r="K938" s="110"/>
      <c r="L938" s="83"/>
      <c r="M938" s="103"/>
      <c r="N938" s="103"/>
      <c r="O938" s="103"/>
      <c r="P938" s="103"/>
      <c r="Q938" s="103"/>
      <c r="R938" s="83"/>
      <c r="S938" s="103"/>
      <c r="T938" s="103"/>
      <c r="U938" s="103"/>
    </row>
    <row r="939" customFormat="false" ht="22.5" hidden="false" customHeight="true" outlineLevel="0" collapsed="false">
      <c r="A939" s="99"/>
      <c r="B939" s="99"/>
      <c r="C939" s="99"/>
      <c r="D939" s="121"/>
      <c r="E939" s="99"/>
      <c r="F939" s="124"/>
      <c r="G939" s="121"/>
      <c r="H939" s="132" t="b">
        <f aca="false">FALSE()</f>
        <v>0</v>
      </c>
      <c r="I939" s="132" t="b">
        <f aca="false">FALSE()</f>
        <v>0</v>
      </c>
      <c r="J939" s="126"/>
      <c r="K939" s="99"/>
      <c r="L939" s="83"/>
      <c r="M939" s="103"/>
      <c r="N939" s="103"/>
      <c r="O939" s="103"/>
      <c r="P939" s="103"/>
      <c r="Q939" s="103"/>
      <c r="R939" s="83"/>
      <c r="S939" s="103"/>
      <c r="T939" s="103"/>
      <c r="U939" s="103"/>
    </row>
    <row r="940" customFormat="false" ht="22.5" hidden="false" customHeight="true" outlineLevel="0" collapsed="false">
      <c r="A940" s="110"/>
      <c r="B940" s="110"/>
      <c r="C940" s="110"/>
      <c r="D940" s="122"/>
      <c r="E940" s="110"/>
      <c r="F940" s="128"/>
      <c r="G940" s="122"/>
      <c r="H940" s="131" t="b">
        <f aca="false">FALSE()</f>
        <v>0</v>
      </c>
      <c r="I940" s="131" t="b">
        <f aca="false">FALSE()</f>
        <v>0</v>
      </c>
      <c r="J940" s="130"/>
      <c r="K940" s="110"/>
      <c r="L940" s="83"/>
      <c r="M940" s="103"/>
      <c r="N940" s="103"/>
      <c r="O940" s="103"/>
      <c r="P940" s="103"/>
      <c r="Q940" s="103"/>
      <c r="R940" s="83"/>
      <c r="S940" s="103"/>
      <c r="T940" s="103"/>
      <c r="U940" s="103"/>
    </row>
    <row r="941" customFormat="false" ht="22.5" hidden="false" customHeight="true" outlineLevel="0" collapsed="false">
      <c r="A941" s="99"/>
      <c r="B941" s="99"/>
      <c r="C941" s="99"/>
      <c r="D941" s="121"/>
      <c r="E941" s="99"/>
      <c r="F941" s="124"/>
      <c r="G941" s="121"/>
      <c r="H941" s="132" t="b">
        <f aca="false">FALSE()</f>
        <v>0</v>
      </c>
      <c r="I941" s="132" t="b">
        <f aca="false">FALSE()</f>
        <v>0</v>
      </c>
      <c r="J941" s="126"/>
      <c r="K941" s="99"/>
      <c r="L941" s="83"/>
      <c r="M941" s="103"/>
      <c r="N941" s="103"/>
      <c r="O941" s="103"/>
      <c r="P941" s="103"/>
      <c r="Q941" s="103"/>
      <c r="R941" s="83"/>
      <c r="S941" s="103"/>
      <c r="T941" s="103"/>
      <c r="U941" s="103"/>
    </row>
    <row r="942" customFormat="false" ht="22.5" hidden="false" customHeight="true" outlineLevel="0" collapsed="false">
      <c r="A942" s="110"/>
      <c r="B942" s="110"/>
      <c r="C942" s="110"/>
      <c r="D942" s="122"/>
      <c r="E942" s="110"/>
      <c r="F942" s="128"/>
      <c r="G942" s="122"/>
      <c r="H942" s="131" t="b">
        <f aca="false">FALSE()</f>
        <v>0</v>
      </c>
      <c r="I942" s="131" t="b">
        <f aca="false">FALSE()</f>
        <v>0</v>
      </c>
      <c r="J942" s="130"/>
      <c r="K942" s="110"/>
      <c r="L942" s="83"/>
      <c r="M942" s="103"/>
      <c r="N942" s="103"/>
      <c r="O942" s="103"/>
      <c r="P942" s="103"/>
      <c r="Q942" s="103"/>
      <c r="R942" s="83"/>
      <c r="S942" s="103"/>
      <c r="T942" s="103"/>
      <c r="U942" s="103"/>
    </row>
    <row r="943" customFormat="false" ht="22.5" hidden="false" customHeight="true" outlineLevel="0" collapsed="false">
      <c r="A943" s="99"/>
      <c r="B943" s="99"/>
      <c r="C943" s="99"/>
      <c r="D943" s="121"/>
      <c r="E943" s="99"/>
      <c r="F943" s="124"/>
      <c r="G943" s="121"/>
      <c r="H943" s="132" t="b">
        <f aca="false">FALSE()</f>
        <v>0</v>
      </c>
      <c r="I943" s="132" t="b">
        <f aca="false">FALSE()</f>
        <v>0</v>
      </c>
      <c r="J943" s="126"/>
      <c r="K943" s="99"/>
      <c r="L943" s="83"/>
      <c r="M943" s="103"/>
      <c r="N943" s="103"/>
      <c r="O943" s="103"/>
      <c r="P943" s="103"/>
      <c r="Q943" s="103"/>
      <c r="R943" s="83"/>
      <c r="S943" s="103"/>
      <c r="T943" s="103"/>
      <c r="U943" s="103"/>
    </row>
    <row r="944" customFormat="false" ht="22.5" hidden="false" customHeight="true" outlineLevel="0" collapsed="false">
      <c r="A944" s="110"/>
      <c r="B944" s="110"/>
      <c r="C944" s="110"/>
      <c r="D944" s="122"/>
      <c r="E944" s="110"/>
      <c r="F944" s="128"/>
      <c r="G944" s="122"/>
      <c r="H944" s="131" t="b">
        <f aca="false">FALSE()</f>
        <v>0</v>
      </c>
      <c r="I944" s="131" t="b">
        <f aca="false">FALSE()</f>
        <v>0</v>
      </c>
      <c r="J944" s="130"/>
      <c r="K944" s="110"/>
      <c r="L944" s="83"/>
      <c r="M944" s="103"/>
      <c r="N944" s="103"/>
      <c r="O944" s="103"/>
      <c r="P944" s="103"/>
      <c r="Q944" s="103"/>
      <c r="R944" s="83"/>
      <c r="S944" s="103"/>
      <c r="T944" s="103"/>
      <c r="U944" s="103"/>
    </row>
    <row r="945" customFormat="false" ht="22.5" hidden="false" customHeight="true" outlineLevel="0" collapsed="false">
      <c r="A945" s="99"/>
      <c r="B945" s="99"/>
      <c r="C945" s="99"/>
      <c r="D945" s="121"/>
      <c r="E945" s="99"/>
      <c r="F945" s="124"/>
      <c r="G945" s="121"/>
      <c r="H945" s="132" t="b">
        <f aca="false">FALSE()</f>
        <v>0</v>
      </c>
      <c r="I945" s="132" t="b">
        <f aca="false">FALSE()</f>
        <v>0</v>
      </c>
      <c r="J945" s="126"/>
      <c r="K945" s="99"/>
      <c r="L945" s="83"/>
      <c r="M945" s="103"/>
      <c r="N945" s="103"/>
      <c r="O945" s="103"/>
      <c r="P945" s="103"/>
      <c r="Q945" s="103"/>
      <c r="R945" s="83"/>
      <c r="S945" s="103"/>
      <c r="T945" s="103"/>
      <c r="U945" s="103"/>
    </row>
    <row r="946" customFormat="false" ht="22.5" hidden="false" customHeight="true" outlineLevel="0" collapsed="false">
      <c r="A946" s="110"/>
      <c r="B946" s="110"/>
      <c r="C946" s="110"/>
      <c r="D946" s="122"/>
      <c r="E946" s="110"/>
      <c r="F946" s="128"/>
      <c r="G946" s="122"/>
      <c r="H946" s="131" t="b">
        <f aca="false">FALSE()</f>
        <v>0</v>
      </c>
      <c r="I946" s="131" t="b">
        <f aca="false">FALSE()</f>
        <v>0</v>
      </c>
      <c r="J946" s="130"/>
      <c r="K946" s="110"/>
      <c r="L946" s="83"/>
      <c r="M946" s="103"/>
      <c r="N946" s="103"/>
      <c r="O946" s="103"/>
      <c r="P946" s="103"/>
      <c r="Q946" s="103"/>
      <c r="R946" s="83"/>
      <c r="S946" s="103"/>
      <c r="T946" s="103"/>
      <c r="U946" s="103"/>
    </row>
    <row r="947" customFormat="false" ht="22.5" hidden="false" customHeight="true" outlineLevel="0" collapsed="false">
      <c r="A947" s="99"/>
      <c r="B947" s="99"/>
      <c r="C947" s="99"/>
      <c r="D947" s="121"/>
      <c r="E947" s="99"/>
      <c r="F947" s="124"/>
      <c r="G947" s="121"/>
      <c r="H947" s="132" t="b">
        <f aca="false">FALSE()</f>
        <v>0</v>
      </c>
      <c r="I947" s="132" t="b">
        <f aca="false">FALSE()</f>
        <v>0</v>
      </c>
      <c r="J947" s="126"/>
      <c r="K947" s="99"/>
      <c r="L947" s="83"/>
      <c r="M947" s="103"/>
      <c r="N947" s="103"/>
      <c r="O947" s="103"/>
      <c r="P947" s="103"/>
      <c r="Q947" s="103"/>
      <c r="R947" s="83"/>
      <c r="S947" s="103"/>
      <c r="T947" s="103"/>
      <c r="U947" s="103"/>
    </row>
    <row r="948" customFormat="false" ht="22.5" hidden="false" customHeight="true" outlineLevel="0" collapsed="false">
      <c r="A948" s="110"/>
      <c r="B948" s="110"/>
      <c r="C948" s="110"/>
      <c r="D948" s="122"/>
      <c r="E948" s="110"/>
      <c r="F948" s="128"/>
      <c r="G948" s="122"/>
      <c r="H948" s="131" t="b">
        <f aca="false">FALSE()</f>
        <v>0</v>
      </c>
      <c r="I948" s="131" t="b">
        <f aca="false">FALSE()</f>
        <v>0</v>
      </c>
      <c r="J948" s="130"/>
      <c r="K948" s="110"/>
      <c r="L948" s="83"/>
      <c r="M948" s="103"/>
      <c r="N948" s="103"/>
      <c r="O948" s="103"/>
      <c r="P948" s="103"/>
      <c r="Q948" s="103"/>
      <c r="R948" s="83"/>
      <c r="S948" s="103"/>
      <c r="T948" s="103"/>
      <c r="U948" s="103"/>
    </row>
    <row r="949" customFormat="false" ht="22.5" hidden="false" customHeight="true" outlineLevel="0" collapsed="false">
      <c r="A949" s="99"/>
      <c r="B949" s="99"/>
      <c r="C949" s="99"/>
      <c r="D949" s="121"/>
      <c r="E949" s="99"/>
      <c r="F949" s="124"/>
      <c r="G949" s="121"/>
      <c r="H949" s="132" t="b">
        <f aca="false">FALSE()</f>
        <v>0</v>
      </c>
      <c r="I949" s="132" t="b">
        <f aca="false">FALSE()</f>
        <v>0</v>
      </c>
      <c r="J949" s="126"/>
      <c r="K949" s="99"/>
      <c r="L949" s="83"/>
      <c r="M949" s="103"/>
      <c r="N949" s="103"/>
      <c r="O949" s="103"/>
      <c r="P949" s="103"/>
      <c r="Q949" s="103"/>
      <c r="R949" s="83"/>
      <c r="S949" s="103"/>
      <c r="T949" s="103"/>
      <c r="U949" s="103"/>
    </row>
    <row r="950" customFormat="false" ht="22.5" hidden="false" customHeight="true" outlineLevel="0" collapsed="false">
      <c r="A950" s="110"/>
      <c r="B950" s="110"/>
      <c r="C950" s="110"/>
      <c r="D950" s="122"/>
      <c r="E950" s="110"/>
      <c r="F950" s="128"/>
      <c r="G950" s="122"/>
      <c r="H950" s="131" t="b">
        <f aca="false">FALSE()</f>
        <v>0</v>
      </c>
      <c r="I950" s="131" t="b">
        <f aca="false">FALSE()</f>
        <v>0</v>
      </c>
      <c r="J950" s="130"/>
      <c r="K950" s="110"/>
      <c r="L950" s="83"/>
      <c r="M950" s="103"/>
      <c r="N950" s="103"/>
      <c r="O950" s="103"/>
      <c r="P950" s="103"/>
      <c r="Q950" s="103"/>
      <c r="R950" s="83"/>
      <c r="S950" s="103"/>
      <c r="T950" s="103"/>
      <c r="U950" s="103"/>
    </row>
    <row r="951" customFormat="false" ht="22.5" hidden="false" customHeight="true" outlineLevel="0" collapsed="false">
      <c r="A951" s="99"/>
      <c r="B951" s="99"/>
      <c r="C951" s="99"/>
      <c r="D951" s="121"/>
      <c r="E951" s="99"/>
      <c r="F951" s="124"/>
      <c r="G951" s="121"/>
      <c r="H951" s="132" t="b">
        <f aca="false">FALSE()</f>
        <v>0</v>
      </c>
      <c r="I951" s="132" t="b">
        <f aca="false">FALSE()</f>
        <v>0</v>
      </c>
      <c r="J951" s="126"/>
      <c r="K951" s="99"/>
      <c r="L951" s="83"/>
      <c r="M951" s="103"/>
      <c r="N951" s="103"/>
      <c r="O951" s="103"/>
      <c r="P951" s="103"/>
      <c r="Q951" s="103"/>
      <c r="R951" s="83"/>
      <c r="S951" s="103"/>
      <c r="T951" s="103"/>
      <c r="U951" s="103"/>
    </row>
    <row r="952" customFormat="false" ht="22.5" hidden="false" customHeight="true" outlineLevel="0" collapsed="false">
      <c r="A952" s="110"/>
      <c r="B952" s="110"/>
      <c r="C952" s="110"/>
      <c r="D952" s="122"/>
      <c r="E952" s="110"/>
      <c r="F952" s="128"/>
      <c r="G952" s="122"/>
      <c r="H952" s="131" t="b">
        <f aca="false">FALSE()</f>
        <v>0</v>
      </c>
      <c r="I952" s="131" t="b">
        <f aca="false">FALSE()</f>
        <v>0</v>
      </c>
      <c r="J952" s="130"/>
      <c r="K952" s="110"/>
      <c r="L952" s="83"/>
      <c r="M952" s="103"/>
      <c r="N952" s="103"/>
      <c r="O952" s="103"/>
      <c r="P952" s="103"/>
      <c r="Q952" s="103"/>
      <c r="R952" s="83"/>
      <c r="S952" s="103"/>
      <c r="T952" s="103"/>
      <c r="U952" s="103"/>
    </row>
    <row r="953" customFormat="false" ht="22.5" hidden="false" customHeight="true" outlineLevel="0" collapsed="false">
      <c r="A953" s="99"/>
      <c r="B953" s="99"/>
      <c r="C953" s="99"/>
      <c r="D953" s="121"/>
      <c r="E953" s="99"/>
      <c r="F953" s="124"/>
      <c r="G953" s="121"/>
      <c r="H953" s="132" t="b">
        <f aca="false">FALSE()</f>
        <v>0</v>
      </c>
      <c r="I953" s="132" t="b">
        <f aca="false">FALSE()</f>
        <v>0</v>
      </c>
      <c r="J953" s="126"/>
      <c r="K953" s="99"/>
      <c r="L953" s="83"/>
      <c r="M953" s="103"/>
      <c r="N953" s="103"/>
      <c r="O953" s="103"/>
      <c r="P953" s="103"/>
      <c r="Q953" s="103"/>
      <c r="R953" s="83"/>
      <c r="S953" s="103"/>
      <c r="T953" s="103"/>
      <c r="U953" s="103"/>
    </row>
    <row r="954" customFormat="false" ht="22.5" hidden="false" customHeight="true" outlineLevel="0" collapsed="false">
      <c r="A954" s="110"/>
      <c r="B954" s="110"/>
      <c r="C954" s="110"/>
      <c r="D954" s="122"/>
      <c r="E954" s="110"/>
      <c r="F954" s="128"/>
      <c r="G954" s="122"/>
      <c r="H954" s="131" t="b">
        <f aca="false">FALSE()</f>
        <v>0</v>
      </c>
      <c r="I954" s="131" t="b">
        <f aca="false">FALSE()</f>
        <v>0</v>
      </c>
      <c r="J954" s="130"/>
      <c r="K954" s="110"/>
      <c r="L954" s="83"/>
      <c r="M954" s="103"/>
      <c r="N954" s="103"/>
      <c r="O954" s="103"/>
      <c r="P954" s="103"/>
      <c r="Q954" s="103"/>
      <c r="R954" s="83"/>
      <c r="S954" s="103"/>
      <c r="T954" s="103"/>
      <c r="U954" s="103"/>
    </row>
    <row r="955" customFormat="false" ht="22.5" hidden="false" customHeight="true" outlineLevel="0" collapsed="false">
      <c r="A955" s="99"/>
      <c r="B955" s="99"/>
      <c r="C955" s="99"/>
      <c r="D955" s="121"/>
      <c r="E955" s="99"/>
      <c r="F955" s="124"/>
      <c r="G955" s="121"/>
      <c r="H955" s="132" t="b">
        <f aca="false">FALSE()</f>
        <v>0</v>
      </c>
      <c r="I955" s="132" t="b">
        <f aca="false">FALSE()</f>
        <v>0</v>
      </c>
      <c r="J955" s="126"/>
      <c r="K955" s="99"/>
      <c r="L955" s="83"/>
      <c r="M955" s="103"/>
      <c r="N955" s="103"/>
      <c r="O955" s="103"/>
      <c r="P955" s="103"/>
      <c r="Q955" s="103"/>
      <c r="R955" s="83"/>
      <c r="S955" s="103"/>
      <c r="T955" s="103"/>
      <c r="U955" s="103"/>
    </row>
    <row r="956" customFormat="false" ht="22.5" hidden="false" customHeight="true" outlineLevel="0" collapsed="false">
      <c r="A956" s="110"/>
      <c r="B956" s="110"/>
      <c r="C956" s="110"/>
      <c r="D956" s="122"/>
      <c r="E956" s="110"/>
      <c r="F956" s="128"/>
      <c r="G956" s="122"/>
      <c r="H956" s="131" t="b">
        <f aca="false">FALSE()</f>
        <v>0</v>
      </c>
      <c r="I956" s="131" t="b">
        <f aca="false">FALSE()</f>
        <v>0</v>
      </c>
      <c r="J956" s="130"/>
      <c r="K956" s="110"/>
      <c r="L956" s="83"/>
      <c r="M956" s="103"/>
      <c r="N956" s="103"/>
      <c r="O956" s="103"/>
      <c r="P956" s="103"/>
      <c r="Q956" s="103"/>
      <c r="R956" s="83"/>
      <c r="S956" s="103"/>
      <c r="T956" s="103"/>
      <c r="U956" s="103"/>
    </row>
    <row r="957" customFormat="false" ht="22.5" hidden="false" customHeight="true" outlineLevel="0" collapsed="false">
      <c r="A957" s="99"/>
      <c r="B957" s="99"/>
      <c r="C957" s="99"/>
      <c r="D957" s="121"/>
      <c r="E957" s="99"/>
      <c r="F957" s="124"/>
      <c r="G957" s="121"/>
      <c r="H957" s="132" t="b">
        <f aca="false">FALSE()</f>
        <v>0</v>
      </c>
      <c r="I957" s="132" t="b">
        <f aca="false">FALSE()</f>
        <v>0</v>
      </c>
      <c r="J957" s="126"/>
      <c r="K957" s="99"/>
      <c r="L957" s="83"/>
      <c r="M957" s="103"/>
      <c r="N957" s="103"/>
      <c r="O957" s="103"/>
      <c r="P957" s="103"/>
      <c r="Q957" s="103"/>
      <c r="R957" s="83"/>
      <c r="S957" s="103"/>
      <c r="T957" s="103"/>
      <c r="U957" s="103"/>
    </row>
    <row r="958" customFormat="false" ht="22.5" hidden="false" customHeight="true" outlineLevel="0" collapsed="false">
      <c r="A958" s="110"/>
      <c r="B958" s="110"/>
      <c r="C958" s="110"/>
      <c r="D958" s="122"/>
      <c r="E958" s="110"/>
      <c r="F958" s="128"/>
      <c r="G958" s="122"/>
      <c r="H958" s="131" t="b">
        <f aca="false">FALSE()</f>
        <v>0</v>
      </c>
      <c r="I958" s="131" t="b">
        <f aca="false">FALSE()</f>
        <v>0</v>
      </c>
      <c r="J958" s="130"/>
      <c r="K958" s="110"/>
      <c r="L958" s="83"/>
      <c r="M958" s="103"/>
      <c r="N958" s="103"/>
      <c r="O958" s="103"/>
      <c r="P958" s="103"/>
      <c r="Q958" s="103"/>
      <c r="R958" s="83"/>
      <c r="S958" s="103"/>
      <c r="T958" s="103"/>
      <c r="U958" s="103"/>
    </row>
    <row r="959" customFormat="false" ht="22.5" hidden="false" customHeight="true" outlineLevel="0" collapsed="false">
      <c r="A959" s="99"/>
      <c r="B959" s="99"/>
      <c r="C959" s="99"/>
      <c r="D959" s="121"/>
      <c r="E959" s="99"/>
      <c r="F959" s="124"/>
      <c r="G959" s="121"/>
      <c r="H959" s="132" t="b">
        <f aca="false">FALSE()</f>
        <v>0</v>
      </c>
      <c r="I959" s="132" t="b">
        <f aca="false">FALSE()</f>
        <v>0</v>
      </c>
      <c r="J959" s="126"/>
      <c r="K959" s="99"/>
      <c r="L959" s="83"/>
      <c r="M959" s="103"/>
      <c r="N959" s="103"/>
      <c r="O959" s="103"/>
      <c r="P959" s="103"/>
      <c r="Q959" s="103"/>
      <c r="R959" s="83"/>
      <c r="S959" s="103"/>
      <c r="T959" s="103"/>
      <c r="U959" s="103"/>
    </row>
    <row r="960" customFormat="false" ht="22.5" hidden="false" customHeight="true" outlineLevel="0" collapsed="false">
      <c r="A960" s="110"/>
      <c r="B960" s="110"/>
      <c r="C960" s="110"/>
      <c r="D960" s="122"/>
      <c r="E960" s="110"/>
      <c r="F960" s="128"/>
      <c r="G960" s="122"/>
      <c r="H960" s="131" t="b">
        <f aca="false">FALSE()</f>
        <v>0</v>
      </c>
      <c r="I960" s="131" t="b">
        <f aca="false">FALSE()</f>
        <v>0</v>
      </c>
      <c r="J960" s="130"/>
      <c r="K960" s="110"/>
      <c r="L960" s="83"/>
      <c r="M960" s="103"/>
      <c r="N960" s="103"/>
      <c r="O960" s="103"/>
      <c r="P960" s="103"/>
      <c r="Q960" s="103"/>
      <c r="R960" s="83"/>
      <c r="S960" s="103"/>
      <c r="T960" s="103"/>
      <c r="U960" s="103"/>
    </row>
    <row r="961" customFormat="false" ht="22.5" hidden="false" customHeight="true" outlineLevel="0" collapsed="false">
      <c r="A961" s="99"/>
      <c r="B961" s="99"/>
      <c r="C961" s="99"/>
      <c r="D961" s="121"/>
      <c r="E961" s="99"/>
      <c r="F961" s="124"/>
      <c r="G961" s="121"/>
      <c r="H961" s="132" t="b">
        <f aca="false">FALSE()</f>
        <v>0</v>
      </c>
      <c r="I961" s="132" t="b">
        <f aca="false">FALSE()</f>
        <v>0</v>
      </c>
      <c r="J961" s="126"/>
      <c r="K961" s="99"/>
      <c r="L961" s="83"/>
      <c r="M961" s="103"/>
      <c r="N961" s="103"/>
      <c r="O961" s="103"/>
      <c r="P961" s="103"/>
      <c r="Q961" s="103"/>
      <c r="R961" s="83"/>
      <c r="S961" s="103"/>
      <c r="T961" s="103"/>
      <c r="U961" s="103"/>
    </row>
    <row r="962" customFormat="false" ht="22.5" hidden="false" customHeight="true" outlineLevel="0" collapsed="false">
      <c r="A962" s="110"/>
      <c r="B962" s="110"/>
      <c r="C962" s="110"/>
      <c r="D962" s="122"/>
      <c r="E962" s="110"/>
      <c r="F962" s="128"/>
      <c r="G962" s="122"/>
      <c r="H962" s="131" t="b">
        <f aca="false">FALSE()</f>
        <v>0</v>
      </c>
      <c r="I962" s="131" t="b">
        <f aca="false">FALSE()</f>
        <v>0</v>
      </c>
      <c r="J962" s="130"/>
      <c r="K962" s="110"/>
      <c r="L962" s="83"/>
      <c r="M962" s="103"/>
      <c r="N962" s="103"/>
      <c r="O962" s="103"/>
      <c r="P962" s="103"/>
      <c r="Q962" s="103"/>
      <c r="R962" s="83"/>
      <c r="S962" s="103"/>
      <c r="T962" s="103"/>
      <c r="U962" s="103"/>
    </row>
    <row r="963" customFormat="false" ht="22.5" hidden="false" customHeight="true" outlineLevel="0" collapsed="false">
      <c r="A963" s="99"/>
      <c r="B963" s="99"/>
      <c r="C963" s="99"/>
      <c r="D963" s="121"/>
      <c r="E963" s="99"/>
      <c r="F963" s="124"/>
      <c r="G963" s="121"/>
      <c r="H963" s="132" t="b">
        <f aca="false">FALSE()</f>
        <v>0</v>
      </c>
      <c r="I963" s="132" t="b">
        <f aca="false">FALSE()</f>
        <v>0</v>
      </c>
      <c r="J963" s="126"/>
      <c r="K963" s="99"/>
      <c r="L963" s="83"/>
      <c r="M963" s="103"/>
      <c r="N963" s="103"/>
      <c r="O963" s="103"/>
      <c r="P963" s="103"/>
      <c r="Q963" s="103"/>
      <c r="R963" s="83"/>
      <c r="S963" s="103"/>
      <c r="T963" s="103"/>
      <c r="U963" s="103"/>
    </row>
    <row r="964" customFormat="false" ht="22.5" hidden="false" customHeight="true" outlineLevel="0" collapsed="false">
      <c r="A964" s="110"/>
      <c r="B964" s="110"/>
      <c r="C964" s="110"/>
      <c r="D964" s="122"/>
      <c r="E964" s="110"/>
      <c r="F964" s="128"/>
      <c r="G964" s="122"/>
      <c r="H964" s="131" t="b">
        <f aca="false">FALSE()</f>
        <v>0</v>
      </c>
      <c r="I964" s="131" t="b">
        <f aca="false">FALSE()</f>
        <v>0</v>
      </c>
      <c r="J964" s="130"/>
      <c r="K964" s="110"/>
      <c r="L964" s="83"/>
      <c r="M964" s="103"/>
      <c r="N964" s="103"/>
      <c r="O964" s="103"/>
      <c r="P964" s="103"/>
      <c r="Q964" s="103"/>
      <c r="R964" s="83"/>
      <c r="S964" s="103"/>
      <c r="T964" s="103"/>
      <c r="U964" s="103"/>
    </row>
    <row r="965" customFormat="false" ht="22.5" hidden="false" customHeight="true" outlineLevel="0" collapsed="false">
      <c r="A965" s="99"/>
      <c r="B965" s="99"/>
      <c r="C965" s="99"/>
      <c r="D965" s="121"/>
      <c r="E965" s="99"/>
      <c r="F965" s="124"/>
      <c r="G965" s="121"/>
      <c r="H965" s="132" t="b">
        <f aca="false">FALSE()</f>
        <v>0</v>
      </c>
      <c r="I965" s="132" t="b">
        <f aca="false">FALSE()</f>
        <v>0</v>
      </c>
      <c r="J965" s="126"/>
      <c r="K965" s="99"/>
      <c r="L965" s="83"/>
      <c r="M965" s="103"/>
      <c r="N965" s="103"/>
      <c r="O965" s="103"/>
      <c r="P965" s="103"/>
      <c r="Q965" s="103"/>
      <c r="R965" s="83"/>
      <c r="S965" s="103"/>
      <c r="T965" s="103"/>
      <c r="U965" s="103"/>
    </row>
    <row r="966" customFormat="false" ht="22.5" hidden="false" customHeight="true" outlineLevel="0" collapsed="false">
      <c r="A966" s="110"/>
      <c r="B966" s="110"/>
      <c r="C966" s="110"/>
      <c r="D966" s="122"/>
      <c r="E966" s="110"/>
      <c r="F966" s="128"/>
      <c r="G966" s="122"/>
      <c r="H966" s="131" t="b">
        <f aca="false">FALSE()</f>
        <v>0</v>
      </c>
      <c r="I966" s="131" t="b">
        <f aca="false">FALSE()</f>
        <v>0</v>
      </c>
      <c r="J966" s="130"/>
      <c r="K966" s="110"/>
      <c r="L966" s="83"/>
      <c r="M966" s="103"/>
      <c r="N966" s="103"/>
      <c r="O966" s="103"/>
      <c r="P966" s="103"/>
      <c r="Q966" s="103"/>
      <c r="R966" s="83"/>
      <c r="S966" s="103"/>
      <c r="T966" s="103"/>
      <c r="U966" s="103"/>
    </row>
    <row r="967" customFormat="false" ht="22.5" hidden="false" customHeight="true" outlineLevel="0" collapsed="false">
      <c r="A967" s="99"/>
      <c r="B967" s="99"/>
      <c r="C967" s="99"/>
      <c r="D967" s="121"/>
      <c r="E967" s="99"/>
      <c r="F967" s="124"/>
      <c r="G967" s="121"/>
      <c r="H967" s="132" t="b">
        <f aca="false">FALSE()</f>
        <v>0</v>
      </c>
      <c r="I967" s="132" t="b">
        <f aca="false">FALSE()</f>
        <v>0</v>
      </c>
      <c r="J967" s="126"/>
      <c r="K967" s="99"/>
      <c r="L967" s="83"/>
      <c r="M967" s="103"/>
      <c r="N967" s="103"/>
      <c r="O967" s="103"/>
      <c r="P967" s="103"/>
      <c r="Q967" s="103"/>
      <c r="R967" s="83"/>
      <c r="S967" s="103"/>
      <c r="T967" s="103"/>
      <c r="U967" s="103"/>
    </row>
    <row r="968" customFormat="false" ht="22.5" hidden="false" customHeight="true" outlineLevel="0" collapsed="false">
      <c r="A968" s="110"/>
      <c r="B968" s="110"/>
      <c r="C968" s="110"/>
      <c r="D968" s="122"/>
      <c r="E968" s="110"/>
      <c r="F968" s="128"/>
      <c r="G968" s="122"/>
      <c r="H968" s="131" t="b">
        <f aca="false">FALSE()</f>
        <v>0</v>
      </c>
      <c r="I968" s="131" t="b">
        <f aca="false">FALSE()</f>
        <v>0</v>
      </c>
      <c r="J968" s="130"/>
      <c r="K968" s="110"/>
      <c r="L968" s="83"/>
      <c r="M968" s="103"/>
      <c r="N968" s="103"/>
      <c r="O968" s="103"/>
      <c r="P968" s="103"/>
      <c r="Q968" s="103"/>
      <c r="R968" s="83"/>
      <c r="S968" s="103"/>
      <c r="T968" s="103"/>
      <c r="U968" s="103"/>
    </row>
    <row r="969" customFormat="false" ht="22.5" hidden="false" customHeight="true" outlineLevel="0" collapsed="false">
      <c r="A969" s="99"/>
      <c r="B969" s="99"/>
      <c r="C969" s="99"/>
      <c r="D969" s="121"/>
      <c r="E969" s="99"/>
      <c r="F969" s="124"/>
      <c r="G969" s="121"/>
      <c r="H969" s="132" t="b">
        <f aca="false">FALSE()</f>
        <v>0</v>
      </c>
      <c r="I969" s="132" t="b">
        <f aca="false">FALSE()</f>
        <v>0</v>
      </c>
      <c r="J969" s="126"/>
      <c r="K969" s="99"/>
      <c r="L969" s="83"/>
      <c r="M969" s="103"/>
      <c r="N969" s="103"/>
      <c r="O969" s="103"/>
      <c r="P969" s="103"/>
      <c r="Q969" s="103"/>
      <c r="R969" s="83"/>
      <c r="S969" s="103"/>
      <c r="T969" s="103"/>
      <c r="U969" s="103"/>
    </row>
    <row r="970" customFormat="false" ht="22.5" hidden="false" customHeight="true" outlineLevel="0" collapsed="false">
      <c r="A970" s="110"/>
      <c r="B970" s="110"/>
      <c r="C970" s="110"/>
      <c r="D970" s="122"/>
      <c r="E970" s="110"/>
      <c r="F970" s="128"/>
      <c r="G970" s="122"/>
      <c r="H970" s="131" t="b">
        <f aca="false">FALSE()</f>
        <v>0</v>
      </c>
      <c r="I970" s="131" t="b">
        <f aca="false">FALSE()</f>
        <v>0</v>
      </c>
      <c r="J970" s="130"/>
      <c r="K970" s="110"/>
      <c r="L970" s="83"/>
      <c r="M970" s="103"/>
      <c r="N970" s="103"/>
      <c r="O970" s="103"/>
      <c r="P970" s="103"/>
      <c r="Q970" s="103"/>
      <c r="R970" s="83"/>
      <c r="S970" s="103"/>
      <c r="T970" s="103"/>
      <c r="U970" s="103"/>
    </row>
    <row r="971" customFormat="false" ht="22.5" hidden="false" customHeight="true" outlineLevel="0" collapsed="false">
      <c r="A971" s="99"/>
      <c r="B971" s="99"/>
      <c r="C971" s="99"/>
      <c r="D971" s="121"/>
      <c r="E971" s="99"/>
      <c r="F971" s="124"/>
      <c r="G971" s="121"/>
      <c r="H971" s="132" t="b">
        <f aca="false">FALSE()</f>
        <v>0</v>
      </c>
      <c r="I971" s="132" t="b">
        <f aca="false">FALSE()</f>
        <v>0</v>
      </c>
      <c r="J971" s="126"/>
      <c r="K971" s="99"/>
      <c r="L971" s="83"/>
      <c r="M971" s="103"/>
      <c r="N971" s="103"/>
      <c r="O971" s="103"/>
      <c r="P971" s="103"/>
      <c r="Q971" s="103"/>
      <c r="R971" s="83"/>
      <c r="S971" s="103"/>
      <c r="T971" s="103"/>
      <c r="U971" s="103"/>
    </row>
    <row r="972" customFormat="false" ht="22.5" hidden="false" customHeight="true" outlineLevel="0" collapsed="false">
      <c r="A972" s="110"/>
      <c r="B972" s="110"/>
      <c r="C972" s="110"/>
      <c r="D972" s="122"/>
      <c r="E972" s="110"/>
      <c r="F972" s="128"/>
      <c r="G972" s="122"/>
      <c r="H972" s="131" t="b">
        <f aca="false">FALSE()</f>
        <v>0</v>
      </c>
      <c r="I972" s="131" t="b">
        <f aca="false">FALSE()</f>
        <v>0</v>
      </c>
      <c r="J972" s="130"/>
      <c r="K972" s="110"/>
      <c r="L972" s="83"/>
      <c r="M972" s="103"/>
      <c r="N972" s="103"/>
      <c r="O972" s="103"/>
      <c r="P972" s="103"/>
      <c r="Q972" s="103"/>
      <c r="R972" s="83"/>
      <c r="S972" s="103"/>
      <c r="T972" s="103"/>
      <c r="U972" s="103"/>
    </row>
    <row r="973" customFormat="false" ht="22.5" hidden="false" customHeight="true" outlineLevel="0" collapsed="false">
      <c r="A973" s="99"/>
      <c r="B973" s="99"/>
      <c r="C973" s="99"/>
      <c r="D973" s="121"/>
      <c r="E973" s="99"/>
      <c r="F973" s="124"/>
      <c r="G973" s="121"/>
      <c r="H973" s="132" t="b">
        <f aca="false">FALSE()</f>
        <v>0</v>
      </c>
      <c r="I973" s="132" t="b">
        <f aca="false">FALSE()</f>
        <v>0</v>
      </c>
      <c r="J973" s="126"/>
      <c r="K973" s="99"/>
      <c r="L973" s="83"/>
      <c r="M973" s="103"/>
      <c r="N973" s="103"/>
      <c r="O973" s="103"/>
      <c r="P973" s="103"/>
      <c r="Q973" s="103"/>
      <c r="R973" s="83"/>
      <c r="S973" s="103"/>
      <c r="T973" s="103"/>
      <c r="U973" s="103"/>
    </row>
    <row r="974" customFormat="false" ht="22.5" hidden="false" customHeight="true" outlineLevel="0" collapsed="false">
      <c r="A974" s="110"/>
      <c r="B974" s="110"/>
      <c r="C974" s="110"/>
      <c r="D974" s="122"/>
      <c r="E974" s="110"/>
      <c r="F974" s="128"/>
      <c r="G974" s="122"/>
      <c r="H974" s="131" t="b">
        <f aca="false">FALSE()</f>
        <v>0</v>
      </c>
      <c r="I974" s="131" t="b">
        <f aca="false">FALSE()</f>
        <v>0</v>
      </c>
      <c r="J974" s="130"/>
      <c r="K974" s="110"/>
      <c r="L974" s="83"/>
      <c r="M974" s="103"/>
      <c r="N974" s="103"/>
      <c r="O974" s="103"/>
      <c r="P974" s="103"/>
      <c r="Q974" s="103"/>
      <c r="R974" s="83"/>
      <c r="S974" s="103"/>
      <c r="T974" s="103"/>
      <c r="U974" s="103"/>
    </row>
    <row r="975" customFormat="false" ht="22.5" hidden="false" customHeight="true" outlineLevel="0" collapsed="false">
      <c r="A975" s="99"/>
      <c r="B975" s="99"/>
      <c r="C975" s="99"/>
      <c r="D975" s="121"/>
      <c r="E975" s="99"/>
      <c r="F975" s="124"/>
      <c r="G975" s="121"/>
      <c r="H975" s="132" t="b">
        <f aca="false">FALSE()</f>
        <v>0</v>
      </c>
      <c r="I975" s="132" t="b">
        <f aca="false">FALSE()</f>
        <v>0</v>
      </c>
      <c r="J975" s="126"/>
      <c r="K975" s="99"/>
      <c r="L975" s="83"/>
      <c r="M975" s="103"/>
      <c r="N975" s="103"/>
      <c r="O975" s="103"/>
      <c r="P975" s="103"/>
      <c r="Q975" s="103"/>
      <c r="R975" s="83"/>
      <c r="S975" s="103"/>
      <c r="T975" s="103"/>
      <c r="U975" s="103"/>
    </row>
    <row r="976" customFormat="false" ht="22.5" hidden="false" customHeight="true" outlineLevel="0" collapsed="false">
      <c r="A976" s="110"/>
      <c r="B976" s="110"/>
      <c r="C976" s="110"/>
      <c r="D976" s="122"/>
      <c r="E976" s="110"/>
      <c r="F976" s="128"/>
      <c r="G976" s="122"/>
      <c r="H976" s="131" t="b">
        <f aca="false">FALSE()</f>
        <v>0</v>
      </c>
      <c r="I976" s="131" t="b">
        <f aca="false">FALSE()</f>
        <v>0</v>
      </c>
      <c r="J976" s="130"/>
      <c r="K976" s="110"/>
      <c r="L976" s="83"/>
      <c r="M976" s="103"/>
      <c r="N976" s="103"/>
      <c r="O976" s="103"/>
      <c r="P976" s="103"/>
      <c r="Q976" s="103"/>
      <c r="R976" s="83"/>
      <c r="S976" s="103"/>
      <c r="T976" s="103"/>
      <c r="U976" s="103"/>
    </row>
    <row r="977" customFormat="false" ht="22.5" hidden="false" customHeight="true" outlineLevel="0" collapsed="false">
      <c r="A977" s="99"/>
      <c r="B977" s="99"/>
      <c r="C977" s="99"/>
      <c r="D977" s="121"/>
      <c r="E977" s="99"/>
      <c r="F977" s="124"/>
      <c r="G977" s="121"/>
      <c r="H977" s="132" t="b">
        <f aca="false">FALSE()</f>
        <v>0</v>
      </c>
      <c r="I977" s="132" t="b">
        <f aca="false">FALSE()</f>
        <v>0</v>
      </c>
      <c r="J977" s="126"/>
      <c r="K977" s="99"/>
      <c r="L977" s="83"/>
      <c r="M977" s="103"/>
      <c r="N977" s="103"/>
      <c r="O977" s="103"/>
      <c r="P977" s="103"/>
      <c r="Q977" s="103"/>
      <c r="R977" s="83"/>
      <c r="S977" s="103"/>
      <c r="T977" s="103"/>
      <c r="U977" s="103"/>
    </row>
    <row r="978" customFormat="false" ht="22.5" hidden="false" customHeight="true" outlineLevel="0" collapsed="false">
      <c r="A978" s="110"/>
      <c r="B978" s="110"/>
      <c r="C978" s="110"/>
      <c r="D978" s="122"/>
      <c r="E978" s="110"/>
      <c r="F978" s="128"/>
      <c r="G978" s="122"/>
      <c r="H978" s="131" t="b">
        <f aca="false">FALSE()</f>
        <v>0</v>
      </c>
      <c r="I978" s="131" t="b">
        <f aca="false">FALSE()</f>
        <v>0</v>
      </c>
      <c r="J978" s="130"/>
      <c r="K978" s="110"/>
      <c r="L978" s="83"/>
      <c r="M978" s="103"/>
      <c r="N978" s="103"/>
      <c r="O978" s="103"/>
      <c r="P978" s="103"/>
      <c r="Q978" s="103"/>
      <c r="R978" s="83"/>
      <c r="S978" s="103"/>
      <c r="T978" s="103"/>
      <c r="U978" s="103"/>
    </row>
    <row r="979" customFormat="false" ht="22.5" hidden="false" customHeight="true" outlineLevel="0" collapsed="false">
      <c r="A979" s="99"/>
      <c r="B979" s="99"/>
      <c r="C979" s="99"/>
      <c r="D979" s="121"/>
      <c r="E979" s="99"/>
      <c r="F979" s="124"/>
      <c r="G979" s="121"/>
      <c r="H979" s="132" t="b">
        <f aca="false">FALSE()</f>
        <v>0</v>
      </c>
      <c r="I979" s="132" t="b">
        <f aca="false">FALSE()</f>
        <v>0</v>
      </c>
      <c r="J979" s="126"/>
      <c r="K979" s="99"/>
      <c r="L979" s="83"/>
      <c r="M979" s="103"/>
      <c r="N979" s="103"/>
      <c r="O979" s="103"/>
      <c r="P979" s="103"/>
      <c r="Q979" s="103"/>
      <c r="R979" s="83"/>
      <c r="S979" s="103"/>
      <c r="T979" s="103"/>
      <c r="U979" s="103"/>
    </row>
    <row r="980" customFormat="false" ht="22.5" hidden="false" customHeight="true" outlineLevel="0" collapsed="false">
      <c r="A980" s="110"/>
      <c r="B980" s="110"/>
      <c r="C980" s="110"/>
      <c r="D980" s="122"/>
      <c r="E980" s="110"/>
      <c r="F980" s="128"/>
      <c r="G980" s="122"/>
      <c r="H980" s="131" t="b">
        <f aca="false">FALSE()</f>
        <v>0</v>
      </c>
      <c r="I980" s="131" t="b">
        <f aca="false">FALSE()</f>
        <v>0</v>
      </c>
      <c r="J980" s="130"/>
      <c r="K980" s="110"/>
      <c r="L980" s="83"/>
      <c r="M980" s="103"/>
      <c r="N980" s="103"/>
      <c r="O980" s="103"/>
      <c r="P980" s="103"/>
      <c r="Q980" s="103"/>
      <c r="R980" s="83"/>
      <c r="S980" s="103"/>
      <c r="T980" s="103"/>
      <c r="U980" s="103"/>
    </row>
    <row r="981" customFormat="false" ht="22.5" hidden="false" customHeight="true" outlineLevel="0" collapsed="false">
      <c r="A981" s="99"/>
      <c r="B981" s="99"/>
      <c r="C981" s="99"/>
      <c r="D981" s="121"/>
      <c r="E981" s="99"/>
      <c r="F981" s="124"/>
      <c r="G981" s="121"/>
      <c r="H981" s="132" t="b">
        <f aca="false">FALSE()</f>
        <v>0</v>
      </c>
      <c r="I981" s="132" t="b">
        <f aca="false">FALSE()</f>
        <v>0</v>
      </c>
      <c r="J981" s="126"/>
      <c r="K981" s="99"/>
      <c r="L981" s="83"/>
      <c r="M981" s="103"/>
      <c r="N981" s="103"/>
      <c r="O981" s="103"/>
      <c r="P981" s="103"/>
      <c r="Q981" s="103"/>
      <c r="R981" s="83"/>
      <c r="S981" s="103"/>
      <c r="T981" s="103"/>
      <c r="U981" s="103"/>
    </row>
    <row r="982" customFormat="false" ht="22.5" hidden="false" customHeight="true" outlineLevel="0" collapsed="false">
      <c r="A982" s="110"/>
      <c r="B982" s="110"/>
      <c r="C982" s="110"/>
      <c r="D982" s="122"/>
      <c r="E982" s="110"/>
      <c r="F982" s="128"/>
      <c r="G982" s="122"/>
      <c r="H982" s="131" t="b">
        <f aca="false">FALSE()</f>
        <v>0</v>
      </c>
      <c r="I982" s="131" t="b">
        <f aca="false">FALSE()</f>
        <v>0</v>
      </c>
      <c r="J982" s="130"/>
      <c r="K982" s="110"/>
      <c r="L982" s="83"/>
      <c r="M982" s="103"/>
      <c r="N982" s="103"/>
      <c r="O982" s="103"/>
      <c r="P982" s="103"/>
      <c r="Q982" s="103"/>
      <c r="R982" s="83"/>
      <c r="S982" s="103"/>
      <c r="T982" s="103"/>
      <c r="U982" s="103"/>
    </row>
    <row r="983" customFormat="false" ht="22.5" hidden="false" customHeight="true" outlineLevel="0" collapsed="false">
      <c r="A983" s="99"/>
      <c r="B983" s="99"/>
      <c r="C983" s="99"/>
      <c r="D983" s="121"/>
      <c r="E983" s="99"/>
      <c r="F983" s="124"/>
      <c r="G983" s="121"/>
      <c r="H983" s="132" t="b">
        <f aca="false">FALSE()</f>
        <v>0</v>
      </c>
      <c r="I983" s="132" t="b">
        <f aca="false">FALSE()</f>
        <v>0</v>
      </c>
      <c r="J983" s="126"/>
      <c r="K983" s="99"/>
      <c r="L983" s="83"/>
      <c r="M983" s="103"/>
      <c r="N983" s="103"/>
      <c r="O983" s="103"/>
      <c r="P983" s="103"/>
      <c r="Q983" s="103"/>
      <c r="R983" s="83"/>
      <c r="S983" s="103"/>
      <c r="T983" s="103"/>
      <c r="U983" s="103"/>
    </row>
    <row r="984" customFormat="false" ht="22.5" hidden="false" customHeight="true" outlineLevel="0" collapsed="false">
      <c r="A984" s="110"/>
      <c r="B984" s="110"/>
      <c r="C984" s="110"/>
      <c r="D984" s="122"/>
      <c r="E984" s="110"/>
      <c r="F984" s="128"/>
      <c r="G984" s="122"/>
      <c r="H984" s="131" t="b">
        <f aca="false">FALSE()</f>
        <v>0</v>
      </c>
      <c r="I984" s="131" t="b">
        <f aca="false">FALSE()</f>
        <v>0</v>
      </c>
      <c r="J984" s="130"/>
      <c r="K984" s="110"/>
      <c r="L984" s="83"/>
      <c r="M984" s="103"/>
      <c r="N984" s="103"/>
      <c r="O984" s="103"/>
      <c r="P984" s="103"/>
      <c r="Q984" s="103"/>
      <c r="R984" s="83"/>
      <c r="S984" s="103"/>
      <c r="T984" s="103"/>
      <c r="U984" s="103"/>
    </row>
    <row r="985" customFormat="false" ht="22.5" hidden="false" customHeight="true" outlineLevel="0" collapsed="false">
      <c r="A985" s="99"/>
      <c r="B985" s="99"/>
      <c r="C985" s="99"/>
      <c r="D985" s="121"/>
      <c r="E985" s="99"/>
      <c r="F985" s="124"/>
      <c r="G985" s="121"/>
      <c r="H985" s="132" t="b">
        <f aca="false">FALSE()</f>
        <v>0</v>
      </c>
      <c r="I985" s="132" t="b">
        <f aca="false">FALSE()</f>
        <v>0</v>
      </c>
      <c r="J985" s="126"/>
      <c r="K985" s="99"/>
      <c r="L985" s="83"/>
      <c r="M985" s="103"/>
      <c r="N985" s="103"/>
      <c r="O985" s="103"/>
      <c r="P985" s="103"/>
      <c r="Q985" s="103"/>
      <c r="R985" s="83"/>
      <c r="S985" s="103"/>
      <c r="T985" s="103"/>
      <c r="U985" s="103"/>
    </row>
    <row r="986" customFormat="false" ht="22.5" hidden="false" customHeight="true" outlineLevel="0" collapsed="false">
      <c r="A986" s="110"/>
      <c r="B986" s="110"/>
      <c r="C986" s="110"/>
      <c r="D986" s="122"/>
      <c r="E986" s="110"/>
      <c r="F986" s="128"/>
      <c r="G986" s="122"/>
      <c r="H986" s="131" t="b">
        <f aca="false">FALSE()</f>
        <v>0</v>
      </c>
      <c r="I986" s="131" t="b">
        <f aca="false">FALSE()</f>
        <v>0</v>
      </c>
      <c r="J986" s="130"/>
      <c r="K986" s="110"/>
      <c r="L986" s="83"/>
      <c r="M986" s="103"/>
      <c r="N986" s="103"/>
      <c r="O986" s="103"/>
      <c r="P986" s="103"/>
      <c r="Q986" s="103"/>
      <c r="R986" s="83"/>
      <c r="S986" s="103"/>
      <c r="T986" s="103"/>
      <c r="U986" s="103"/>
    </row>
    <row r="987" customFormat="false" ht="22.5" hidden="false" customHeight="true" outlineLevel="0" collapsed="false">
      <c r="A987" s="99"/>
      <c r="B987" s="99"/>
      <c r="C987" s="99"/>
      <c r="D987" s="121"/>
      <c r="E987" s="99"/>
      <c r="F987" s="124"/>
      <c r="G987" s="121"/>
      <c r="H987" s="132" t="b">
        <f aca="false">FALSE()</f>
        <v>0</v>
      </c>
      <c r="I987" s="132" t="b">
        <f aca="false">FALSE()</f>
        <v>0</v>
      </c>
      <c r="J987" s="126"/>
      <c r="K987" s="99"/>
      <c r="L987" s="83"/>
      <c r="M987" s="103"/>
      <c r="N987" s="103"/>
      <c r="O987" s="103"/>
      <c r="P987" s="103"/>
      <c r="Q987" s="103"/>
      <c r="R987" s="83"/>
      <c r="S987" s="103"/>
      <c r="T987" s="103"/>
      <c r="U987" s="103"/>
    </row>
    <row r="988" customFormat="false" ht="22.5" hidden="false" customHeight="true" outlineLevel="0" collapsed="false">
      <c r="A988" s="110"/>
      <c r="B988" s="110"/>
      <c r="C988" s="110"/>
      <c r="D988" s="122"/>
      <c r="E988" s="110"/>
      <c r="F988" s="128"/>
      <c r="G988" s="122"/>
      <c r="H988" s="131" t="b">
        <f aca="false">FALSE()</f>
        <v>0</v>
      </c>
      <c r="I988" s="131" t="b">
        <f aca="false">FALSE()</f>
        <v>0</v>
      </c>
      <c r="J988" s="130"/>
      <c r="K988" s="110"/>
      <c r="L988" s="83"/>
      <c r="M988" s="103"/>
      <c r="N988" s="103"/>
      <c r="O988" s="103"/>
      <c r="P988" s="103"/>
      <c r="Q988" s="103"/>
      <c r="R988" s="83"/>
      <c r="S988" s="103"/>
      <c r="T988" s="103"/>
      <c r="U988" s="103"/>
    </row>
    <row r="989" customFormat="false" ht="22.5" hidden="false" customHeight="true" outlineLevel="0" collapsed="false">
      <c r="A989" s="99"/>
      <c r="B989" s="99"/>
      <c r="C989" s="99"/>
      <c r="D989" s="121"/>
      <c r="E989" s="99"/>
      <c r="F989" s="124"/>
      <c r="G989" s="121"/>
      <c r="H989" s="132" t="b">
        <f aca="false">FALSE()</f>
        <v>0</v>
      </c>
      <c r="I989" s="132" t="b">
        <f aca="false">FALSE()</f>
        <v>0</v>
      </c>
      <c r="J989" s="126"/>
      <c r="K989" s="99"/>
      <c r="L989" s="83"/>
      <c r="M989" s="103"/>
      <c r="N989" s="103"/>
      <c r="O989" s="103"/>
      <c r="P989" s="103"/>
      <c r="Q989" s="103"/>
      <c r="R989" s="83"/>
      <c r="S989" s="103"/>
      <c r="T989" s="103"/>
      <c r="U989" s="103"/>
    </row>
    <row r="990" customFormat="false" ht="22.5" hidden="false" customHeight="true" outlineLevel="0" collapsed="false">
      <c r="A990" s="110"/>
      <c r="B990" s="110"/>
      <c r="C990" s="110"/>
      <c r="D990" s="122"/>
      <c r="E990" s="110"/>
      <c r="F990" s="128"/>
      <c r="G990" s="122"/>
      <c r="H990" s="131" t="b">
        <f aca="false">FALSE()</f>
        <v>0</v>
      </c>
      <c r="I990" s="131" t="b">
        <f aca="false">FALSE()</f>
        <v>0</v>
      </c>
      <c r="J990" s="130"/>
      <c r="K990" s="110"/>
      <c r="L990" s="83"/>
      <c r="M990" s="103"/>
      <c r="N990" s="103"/>
      <c r="O990" s="103"/>
      <c r="P990" s="103"/>
      <c r="Q990" s="103"/>
      <c r="R990" s="83"/>
      <c r="S990" s="103"/>
      <c r="T990" s="103"/>
      <c r="U990" s="103"/>
    </row>
    <row r="991" customFormat="false" ht="22.5" hidden="false" customHeight="true" outlineLevel="0" collapsed="false">
      <c r="A991" s="99"/>
      <c r="B991" s="99"/>
      <c r="C991" s="99"/>
      <c r="D991" s="121"/>
      <c r="E991" s="99"/>
      <c r="F991" s="124"/>
      <c r="G991" s="121"/>
      <c r="H991" s="132" t="b">
        <f aca="false">FALSE()</f>
        <v>0</v>
      </c>
      <c r="I991" s="132" t="b">
        <f aca="false">FALSE()</f>
        <v>0</v>
      </c>
      <c r="J991" s="126"/>
      <c r="K991" s="99"/>
      <c r="L991" s="83"/>
      <c r="M991" s="103"/>
      <c r="N991" s="103"/>
      <c r="O991" s="103"/>
      <c r="P991" s="103"/>
      <c r="Q991" s="103"/>
      <c r="R991" s="83"/>
      <c r="S991" s="103"/>
      <c r="T991" s="103"/>
      <c r="U991" s="103"/>
    </row>
    <row r="992" customFormat="false" ht="22.5" hidden="false" customHeight="true" outlineLevel="0" collapsed="false">
      <c r="A992" s="110"/>
      <c r="B992" s="110"/>
      <c r="C992" s="110"/>
      <c r="D992" s="122"/>
      <c r="E992" s="110"/>
      <c r="F992" s="128"/>
      <c r="G992" s="122"/>
      <c r="H992" s="131" t="b">
        <f aca="false">FALSE()</f>
        <v>0</v>
      </c>
      <c r="I992" s="131" t="b">
        <f aca="false">FALSE()</f>
        <v>0</v>
      </c>
      <c r="J992" s="130"/>
      <c r="K992" s="110"/>
      <c r="L992" s="83"/>
      <c r="M992" s="103"/>
      <c r="N992" s="103"/>
      <c r="O992" s="103"/>
      <c r="P992" s="103"/>
      <c r="Q992" s="103"/>
      <c r="R992" s="83"/>
      <c r="S992" s="103"/>
      <c r="T992" s="103"/>
      <c r="U992" s="103"/>
    </row>
    <row r="993" customFormat="false" ht="22.5" hidden="false" customHeight="true" outlineLevel="0" collapsed="false">
      <c r="A993" s="99"/>
      <c r="B993" s="99"/>
      <c r="C993" s="99"/>
      <c r="D993" s="121"/>
      <c r="E993" s="99"/>
      <c r="F993" s="124"/>
      <c r="G993" s="121"/>
      <c r="H993" s="132" t="b">
        <f aca="false">FALSE()</f>
        <v>0</v>
      </c>
      <c r="I993" s="132" t="b">
        <f aca="false">FALSE()</f>
        <v>0</v>
      </c>
      <c r="J993" s="126"/>
      <c r="K993" s="99"/>
      <c r="L993" s="83"/>
      <c r="M993" s="103"/>
      <c r="N993" s="103"/>
      <c r="O993" s="103"/>
      <c r="P993" s="103"/>
      <c r="Q993" s="103"/>
      <c r="R993" s="83"/>
      <c r="S993" s="103"/>
      <c r="T993" s="103"/>
      <c r="U993" s="103"/>
    </row>
    <row r="994" customFormat="false" ht="22.5" hidden="false" customHeight="true" outlineLevel="0" collapsed="false">
      <c r="A994" s="110"/>
      <c r="B994" s="110"/>
      <c r="C994" s="110"/>
      <c r="D994" s="122"/>
      <c r="E994" s="110"/>
      <c r="F994" s="128"/>
      <c r="G994" s="122"/>
      <c r="H994" s="131" t="b">
        <f aca="false">FALSE()</f>
        <v>0</v>
      </c>
      <c r="I994" s="131" t="b">
        <f aca="false">FALSE()</f>
        <v>0</v>
      </c>
      <c r="J994" s="130"/>
      <c r="K994" s="110"/>
      <c r="L994" s="83"/>
      <c r="M994" s="103"/>
      <c r="N994" s="103"/>
      <c r="O994" s="103"/>
      <c r="P994" s="103"/>
      <c r="Q994" s="103"/>
      <c r="R994" s="83"/>
      <c r="S994" s="103"/>
      <c r="T994" s="103"/>
      <c r="U994" s="103"/>
    </row>
    <row r="995" customFormat="false" ht="22.5" hidden="false" customHeight="true" outlineLevel="0" collapsed="false">
      <c r="A995" s="99"/>
      <c r="B995" s="99"/>
      <c r="C995" s="99"/>
      <c r="D995" s="121"/>
      <c r="E995" s="99"/>
      <c r="F995" s="124"/>
      <c r="G995" s="121"/>
      <c r="H995" s="132" t="b">
        <f aca="false">FALSE()</f>
        <v>0</v>
      </c>
      <c r="I995" s="132" t="b">
        <f aca="false">FALSE()</f>
        <v>0</v>
      </c>
      <c r="J995" s="126"/>
      <c r="K995" s="99"/>
      <c r="L995" s="83"/>
      <c r="M995" s="103"/>
      <c r="N995" s="103"/>
      <c r="O995" s="103"/>
      <c r="P995" s="103"/>
      <c r="Q995" s="103"/>
      <c r="R995" s="83"/>
      <c r="S995" s="103"/>
      <c r="T995" s="103"/>
      <c r="U995" s="103"/>
    </row>
    <row r="996" customFormat="false" ht="22.5" hidden="false" customHeight="true" outlineLevel="0" collapsed="false">
      <c r="A996" s="110"/>
      <c r="B996" s="110"/>
      <c r="C996" s="110"/>
      <c r="D996" s="122"/>
      <c r="E996" s="110"/>
      <c r="F996" s="128"/>
      <c r="G996" s="122"/>
      <c r="H996" s="131" t="b">
        <f aca="false">FALSE()</f>
        <v>0</v>
      </c>
      <c r="I996" s="131" t="b">
        <f aca="false">FALSE()</f>
        <v>0</v>
      </c>
      <c r="J996" s="130"/>
      <c r="K996" s="110"/>
      <c r="L996" s="83"/>
      <c r="M996" s="103"/>
      <c r="N996" s="103"/>
      <c r="O996" s="103"/>
      <c r="P996" s="103"/>
      <c r="Q996" s="103"/>
      <c r="R996" s="83"/>
      <c r="S996" s="103"/>
      <c r="T996" s="103"/>
      <c r="U996" s="103"/>
    </row>
    <row r="997" customFormat="false" ht="22.5" hidden="false" customHeight="true" outlineLevel="0" collapsed="false">
      <c r="A997" s="99"/>
      <c r="B997" s="99"/>
      <c r="C997" s="99"/>
      <c r="D997" s="121"/>
      <c r="E997" s="99"/>
      <c r="F997" s="124"/>
      <c r="G997" s="121"/>
      <c r="H997" s="132" t="b">
        <f aca="false">FALSE()</f>
        <v>0</v>
      </c>
      <c r="I997" s="132" t="b">
        <f aca="false">FALSE()</f>
        <v>0</v>
      </c>
      <c r="J997" s="126"/>
      <c r="K997" s="99"/>
      <c r="L997" s="83"/>
      <c r="M997" s="103"/>
      <c r="N997" s="103"/>
      <c r="O997" s="103"/>
      <c r="P997" s="103"/>
      <c r="Q997" s="103"/>
      <c r="R997" s="83"/>
      <c r="S997" s="103"/>
      <c r="T997" s="103"/>
      <c r="U997" s="103"/>
    </row>
    <row r="998" customFormat="false" ht="22.5" hidden="false" customHeight="true" outlineLevel="0" collapsed="false">
      <c r="A998" s="110"/>
      <c r="B998" s="110"/>
      <c r="C998" s="110"/>
      <c r="D998" s="122"/>
      <c r="E998" s="110"/>
      <c r="F998" s="128"/>
      <c r="G998" s="122"/>
      <c r="H998" s="131" t="b">
        <f aca="false">FALSE()</f>
        <v>0</v>
      </c>
      <c r="I998" s="131" t="b">
        <f aca="false">FALSE()</f>
        <v>0</v>
      </c>
      <c r="J998" s="130"/>
      <c r="K998" s="110"/>
      <c r="L998" s="83"/>
      <c r="M998" s="103"/>
      <c r="N998" s="103"/>
      <c r="O998" s="103"/>
      <c r="P998" s="103"/>
      <c r="Q998" s="103"/>
      <c r="R998" s="83"/>
      <c r="S998" s="103"/>
      <c r="T998" s="103"/>
      <c r="U998" s="103"/>
    </row>
    <row r="999" customFormat="false" ht="22.5" hidden="false" customHeight="true" outlineLevel="0" collapsed="false">
      <c r="A999" s="99"/>
      <c r="B999" s="99"/>
      <c r="C999" s="99"/>
      <c r="D999" s="121"/>
      <c r="E999" s="99"/>
      <c r="F999" s="124"/>
      <c r="G999" s="121"/>
      <c r="H999" s="132" t="b">
        <f aca="false">FALSE()</f>
        <v>0</v>
      </c>
      <c r="I999" s="132" t="b">
        <f aca="false">FALSE()</f>
        <v>0</v>
      </c>
      <c r="J999" s="126"/>
      <c r="K999" s="99"/>
      <c r="L999" s="83"/>
      <c r="M999" s="103"/>
      <c r="N999" s="103"/>
      <c r="O999" s="103"/>
      <c r="P999" s="103"/>
      <c r="Q999" s="103"/>
      <c r="R999" s="83"/>
      <c r="S999" s="103"/>
      <c r="T999" s="103"/>
      <c r="U999" s="103"/>
    </row>
    <row r="1000" customFormat="false" ht="22.5" hidden="false" customHeight="true" outlineLevel="0" collapsed="false">
      <c r="A1000" s="110"/>
      <c r="B1000" s="110"/>
      <c r="C1000" s="110"/>
      <c r="D1000" s="122"/>
      <c r="E1000" s="110"/>
      <c r="F1000" s="128"/>
      <c r="G1000" s="122"/>
      <c r="H1000" s="131" t="b">
        <f aca="false">FALSE()</f>
        <v>0</v>
      </c>
      <c r="I1000" s="131" t="b">
        <f aca="false">FALSE()</f>
        <v>0</v>
      </c>
      <c r="J1000" s="130"/>
      <c r="K1000" s="110"/>
      <c r="L1000" s="83"/>
      <c r="M1000" s="103"/>
      <c r="N1000" s="103"/>
      <c r="O1000" s="103"/>
      <c r="P1000" s="103"/>
      <c r="Q1000" s="103"/>
      <c r="R1000" s="83"/>
      <c r="S1000" s="103"/>
      <c r="T1000" s="103"/>
      <c r="U1000" s="103"/>
    </row>
    <row r="1001" customFormat="false" ht="22.5" hidden="false" customHeight="true" outlineLevel="0" collapsed="false">
      <c r="A1001" s="99"/>
      <c r="B1001" s="99"/>
      <c r="C1001" s="99"/>
      <c r="D1001" s="121"/>
      <c r="E1001" s="99"/>
      <c r="F1001" s="124"/>
      <c r="G1001" s="121"/>
      <c r="H1001" s="132" t="b">
        <f aca="false">FALSE()</f>
        <v>0</v>
      </c>
      <c r="I1001" s="132" t="b">
        <f aca="false">FALSE()</f>
        <v>0</v>
      </c>
      <c r="J1001" s="126"/>
      <c r="K1001" s="99"/>
      <c r="L1001" s="83"/>
      <c r="M1001" s="103"/>
      <c r="N1001" s="103"/>
      <c r="O1001" s="103"/>
      <c r="P1001" s="103"/>
      <c r="Q1001" s="103"/>
      <c r="R1001" s="83"/>
      <c r="S1001" s="103"/>
      <c r="T1001" s="103"/>
      <c r="U1001" s="103"/>
    </row>
    <row r="1002" customFormat="false" ht="22.5" hidden="false" customHeight="true" outlineLevel="0" collapsed="false">
      <c r="A1002" s="110"/>
      <c r="B1002" s="110"/>
      <c r="C1002" s="110"/>
      <c r="D1002" s="122"/>
      <c r="E1002" s="110"/>
      <c r="F1002" s="128"/>
      <c r="G1002" s="122"/>
      <c r="H1002" s="131" t="b">
        <f aca="false">FALSE()</f>
        <v>0</v>
      </c>
      <c r="I1002" s="131" t="b">
        <f aca="false">FALSE()</f>
        <v>0</v>
      </c>
      <c r="J1002" s="130"/>
      <c r="K1002" s="110"/>
      <c r="L1002" s="83"/>
      <c r="M1002" s="103"/>
      <c r="N1002" s="103"/>
      <c r="O1002" s="103"/>
      <c r="P1002" s="103"/>
      <c r="Q1002" s="103"/>
      <c r="R1002" s="83"/>
      <c r="S1002" s="103"/>
      <c r="T1002" s="103"/>
      <c r="U1002" s="103"/>
    </row>
    <row r="1003" customFormat="false" ht="22.5" hidden="false" customHeight="true" outlineLevel="0" collapsed="false">
      <c r="A1003" s="99"/>
      <c r="B1003" s="99"/>
      <c r="C1003" s="99"/>
      <c r="D1003" s="121"/>
      <c r="E1003" s="99"/>
      <c r="F1003" s="124"/>
      <c r="G1003" s="121"/>
      <c r="H1003" s="132" t="b">
        <f aca="false">FALSE()</f>
        <v>0</v>
      </c>
      <c r="I1003" s="132" t="b">
        <f aca="false">FALSE()</f>
        <v>0</v>
      </c>
      <c r="J1003" s="126"/>
      <c r="K1003" s="99"/>
      <c r="L1003" s="83"/>
      <c r="M1003" s="103"/>
      <c r="N1003" s="103"/>
      <c r="O1003" s="103"/>
      <c r="P1003" s="103"/>
      <c r="Q1003" s="103"/>
      <c r="R1003" s="83"/>
      <c r="S1003" s="103"/>
      <c r="T1003" s="103"/>
      <c r="U1003" s="103"/>
    </row>
    <row r="1004" customFormat="false" ht="22.5" hidden="false" customHeight="true" outlineLevel="0" collapsed="false">
      <c r="A1004" s="110"/>
      <c r="B1004" s="110"/>
      <c r="C1004" s="110"/>
      <c r="D1004" s="122"/>
      <c r="E1004" s="110"/>
      <c r="F1004" s="128"/>
      <c r="G1004" s="122"/>
      <c r="H1004" s="131" t="b">
        <f aca="false">FALSE()</f>
        <v>0</v>
      </c>
      <c r="I1004" s="131" t="b">
        <f aca="false">FALSE()</f>
        <v>0</v>
      </c>
      <c r="J1004" s="130"/>
      <c r="K1004" s="110"/>
      <c r="L1004" s="83"/>
      <c r="M1004" s="103"/>
      <c r="N1004" s="103"/>
      <c r="O1004" s="103"/>
      <c r="P1004" s="103"/>
      <c r="Q1004" s="103"/>
      <c r="R1004" s="83"/>
      <c r="S1004" s="103"/>
      <c r="T1004" s="103"/>
      <c r="U1004" s="103"/>
    </row>
    <row r="1005" customFormat="false" ht="22.5" hidden="false" customHeight="true" outlineLevel="0" collapsed="false">
      <c r="A1005" s="99"/>
      <c r="B1005" s="99"/>
      <c r="C1005" s="99"/>
      <c r="D1005" s="121"/>
      <c r="E1005" s="99"/>
      <c r="F1005" s="124"/>
      <c r="G1005" s="121"/>
      <c r="H1005" s="132" t="b">
        <f aca="false">FALSE()</f>
        <v>0</v>
      </c>
      <c r="I1005" s="132" t="b">
        <f aca="false">FALSE()</f>
        <v>0</v>
      </c>
      <c r="J1005" s="126"/>
      <c r="K1005" s="99"/>
      <c r="L1005" s="83"/>
      <c r="M1005" s="103"/>
      <c r="N1005" s="103"/>
      <c r="O1005" s="103"/>
      <c r="P1005" s="103"/>
      <c r="Q1005" s="103"/>
      <c r="R1005" s="83"/>
      <c r="S1005" s="103"/>
      <c r="T1005" s="103"/>
      <c r="U1005" s="103"/>
    </row>
    <row r="1006" customFormat="false" ht="22.5" hidden="false" customHeight="true" outlineLevel="0" collapsed="false">
      <c r="A1006" s="110"/>
      <c r="B1006" s="110"/>
      <c r="C1006" s="110"/>
      <c r="D1006" s="122"/>
      <c r="E1006" s="110"/>
      <c r="F1006" s="128"/>
      <c r="G1006" s="122"/>
      <c r="H1006" s="131" t="b">
        <f aca="false">FALSE()</f>
        <v>0</v>
      </c>
      <c r="I1006" s="131" t="b">
        <f aca="false">FALSE()</f>
        <v>0</v>
      </c>
      <c r="J1006" s="130"/>
      <c r="K1006" s="110"/>
      <c r="L1006" s="83"/>
      <c r="M1006" s="103"/>
      <c r="N1006" s="103"/>
      <c r="O1006" s="103"/>
      <c r="P1006" s="103"/>
      <c r="Q1006" s="103"/>
      <c r="R1006" s="83"/>
      <c r="S1006" s="103"/>
      <c r="T1006" s="103"/>
      <c r="U1006" s="103"/>
    </row>
    <row r="1007" customFormat="false" ht="22.5" hidden="false" customHeight="true" outlineLevel="0" collapsed="false">
      <c r="A1007" s="99"/>
      <c r="B1007" s="99"/>
      <c r="C1007" s="99"/>
      <c r="D1007" s="121"/>
      <c r="E1007" s="99"/>
      <c r="F1007" s="124"/>
      <c r="G1007" s="121"/>
      <c r="H1007" s="132" t="b">
        <f aca="false">FALSE()</f>
        <v>0</v>
      </c>
      <c r="I1007" s="132" t="b">
        <f aca="false">FALSE()</f>
        <v>0</v>
      </c>
      <c r="J1007" s="126"/>
      <c r="K1007" s="99"/>
      <c r="L1007" s="83"/>
      <c r="M1007" s="103"/>
      <c r="N1007" s="103"/>
      <c r="O1007" s="103"/>
      <c r="P1007" s="103"/>
      <c r="Q1007" s="103"/>
      <c r="R1007" s="83"/>
      <c r="S1007" s="103"/>
      <c r="T1007" s="103"/>
      <c r="U1007" s="103"/>
    </row>
    <row r="1008" customFormat="false" ht="22.5" hidden="false" customHeight="true" outlineLevel="0" collapsed="false">
      <c r="A1008" s="110"/>
      <c r="B1008" s="110"/>
      <c r="C1008" s="110"/>
      <c r="D1008" s="122"/>
      <c r="E1008" s="110"/>
      <c r="F1008" s="128"/>
      <c r="G1008" s="122"/>
      <c r="H1008" s="131" t="b">
        <f aca="false">FALSE()</f>
        <v>0</v>
      </c>
      <c r="I1008" s="131" t="b">
        <f aca="false">FALSE()</f>
        <v>0</v>
      </c>
      <c r="J1008" s="130"/>
      <c r="K1008" s="110"/>
      <c r="L1008" s="83"/>
      <c r="M1008" s="103"/>
      <c r="N1008" s="103"/>
      <c r="O1008" s="103"/>
      <c r="P1008" s="103"/>
      <c r="Q1008" s="103"/>
      <c r="R1008" s="83"/>
      <c r="S1008" s="103"/>
      <c r="T1008" s="103"/>
      <c r="U1008" s="103"/>
    </row>
    <row r="1009" customFormat="false" ht="22.5" hidden="false" customHeight="true" outlineLevel="0" collapsed="false">
      <c r="A1009" s="99"/>
      <c r="B1009" s="99"/>
      <c r="C1009" s="99"/>
      <c r="D1009" s="121"/>
      <c r="E1009" s="99"/>
      <c r="F1009" s="124"/>
      <c r="G1009" s="121"/>
      <c r="H1009" s="132" t="b">
        <f aca="false">FALSE()</f>
        <v>0</v>
      </c>
      <c r="I1009" s="132" t="b">
        <f aca="false">FALSE()</f>
        <v>0</v>
      </c>
      <c r="J1009" s="126"/>
      <c r="K1009" s="99"/>
      <c r="L1009" s="83"/>
      <c r="M1009" s="103"/>
      <c r="N1009" s="103"/>
      <c r="O1009" s="103"/>
      <c r="P1009" s="103"/>
      <c r="Q1009" s="103"/>
      <c r="R1009" s="83"/>
      <c r="S1009" s="103"/>
      <c r="T1009" s="103"/>
      <c r="U1009" s="103"/>
    </row>
    <row r="1010" customFormat="false" ht="22.5" hidden="false" customHeight="true" outlineLevel="0" collapsed="false">
      <c r="A1010" s="110"/>
      <c r="B1010" s="110"/>
      <c r="C1010" s="110"/>
      <c r="D1010" s="122"/>
      <c r="E1010" s="110"/>
      <c r="F1010" s="128"/>
      <c r="G1010" s="122"/>
      <c r="H1010" s="131" t="b">
        <f aca="false">FALSE()</f>
        <v>0</v>
      </c>
      <c r="I1010" s="131" t="b">
        <f aca="false">FALSE()</f>
        <v>0</v>
      </c>
      <c r="J1010" s="130"/>
      <c r="K1010" s="110"/>
      <c r="L1010" s="83"/>
      <c r="M1010" s="103"/>
      <c r="N1010" s="103"/>
      <c r="O1010" s="103"/>
      <c r="P1010" s="103"/>
      <c r="Q1010" s="103"/>
      <c r="R1010" s="83"/>
      <c r="S1010" s="103"/>
      <c r="T1010" s="103"/>
      <c r="U1010" s="103"/>
    </row>
    <row r="1011" customFormat="false" ht="22.5" hidden="false" customHeight="true" outlineLevel="0" collapsed="false">
      <c r="A1011" s="99"/>
      <c r="B1011" s="99"/>
      <c r="C1011" s="99"/>
      <c r="D1011" s="121"/>
      <c r="E1011" s="99"/>
      <c r="F1011" s="124"/>
      <c r="G1011" s="121"/>
      <c r="H1011" s="132" t="b">
        <f aca="false">FALSE()</f>
        <v>0</v>
      </c>
      <c r="I1011" s="132" t="b">
        <f aca="false">FALSE()</f>
        <v>0</v>
      </c>
      <c r="J1011" s="126"/>
      <c r="K1011" s="99"/>
      <c r="L1011" s="83"/>
      <c r="M1011" s="103"/>
      <c r="N1011" s="103"/>
      <c r="O1011" s="103"/>
      <c r="P1011" s="103"/>
      <c r="Q1011" s="103"/>
      <c r="R1011" s="83"/>
      <c r="S1011" s="103"/>
      <c r="T1011" s="103"/>
      <c r="U1011" s="103"/>
    </row>
    <row r="1012" customFormat="false" ht="22.5" hidden="false" customHeight="true" outlineLevel="0" collapsed="false">
      <c r="A1012" s="110"/>
      <c r="B1012" s="110"/>
      <c r="C1012" s="110"/>
      <c r="D1012" s="122"/>
      <c r="E1012" s="110"/>
      <c r="F1012" s="128"/>
      <c r="G1012" s="122"/>
      <c r="H1012" s="131" t="b">
        <f aca="false">FALSE()</f>
        <v>0</v>
      </c>
      <c r="I1012" s="131" t="b">
        <f aca="false">FALSE()</f>
        <v>0</v>
      </c>
      <c r="J1012" s="130"/>
      <c r="K1012" s="110"/>
      <c r="L1012" s="83"/>
      <c r="M1012" s="103"/>
      <c r="N1012" s="103"/>
      <c r="O1012" s="103"/>
      <c r="P1012" s="103"/>
      <c r="Q1012" s="103"/>
      <c r="R1012" s="83"/>
      <c r="S1012" s="103"/>
      <c r="T1012" s="103"/>
      <c r="U1012" s="103"/>
    </row>
    <row r="1013" customFormat="false" ht="22.5" hidden="false" customHeight="true" outlineLevel="0" collapsed="false">
      <c r="A1013" s="99"/>
      <c r="B1013" s="99"/>
      <c r="C1013" s="99"/>
      <c r="D1013" s="121"/>
      <c r="E1013" s="99"/>
      <c r="F1013" s="124"/>
      <c r="G1013" s="121"/>
      <c r="H1013" s="132" t="b">
        <f aca="false">FALSE()</f>
        <v>0</v>
      </c>
      <c r="I1013" s="132" t="b">
        <f aca="false">FALSE()</f>
        <v>0</v>
      </c>
      <c r="J1013" s="126"/>
      <c r="K1013" s="99"/>
      <c r="L1013" s="83"/>
      <c r="M1013" s="103"/>
      <c r="N1013" s="103"/>
      <c r="O1013" s="103"/>
      <c r="P1013" s="103"/>
      <c r="Q1013" s="103"/>
      <c r="R1013" s="83"/>
      <c r="S1013" s="103"/>
      <c r="T1013" s="103"/>
      <c r="U1013" s="103"/>
    </row>
    <row r="1014" customFormat="false" ht="22.5" hidden="false" customHeight="true" outlineLevel="0" collapsed="false">
      <c r="A1014" s="110"/>
      <c r="B1014" s="110"/>
      <c r="C1014" s="110"/>
      <c r="D1014" s="122"/>
      <c r="E1014" s="110"/>
      <c r="F1014" s="128"/>
      <c r="G1014" s="122"/>
      <c r="H1014" s="131" t="b">
        <f aca="false">FALSE()</f>
        <v>0</v>
      </c>
      <c r="I1014" s="131" t="b">
        <f aca="false">FALSE()</f>
        <v>0</v>
      </c>
      <c r="J1014" s="130"/>
      <c r="K1014" s="110"/>
      <c r="L1014" s="83"/>
      <c r="M1014" s="103"/>
      <c r="N1014" s="103"/>
      <c r="O1014" s="103"/>
      <c r="P1014" s="103"/>
      <c r="Q1014" s="103"/>
      <c r="R1014" s="83"/>
      <c r="S1014" s="103"/>
      <c r="T1014" s="103"/>
      <c r="U1014" s="103"/>
    </row>
    <row r="1015" customFormat="false" ht="22.5" hidden="false" customHeight="true" outlineLevel="0" collapsed="false">
      <c r="A1015" s="99"/>
      <c r="B1015" s="99"/>
      <c r="C1015" s="99"/>
      <c r="D1015" s="121"/>
      <c r="E1015" s="99"/>
      <c r="F1015" s="124"/>
      <c r="G1015" s="121"/>
      <c r="H1015" s="132" t="b">
        <f aca="false">FALSE()</f>
        <v>0</v>
      </c>
      <c r="I1015" s="132" t="b">
        <f aca="false">FALSE()</f>
        <v>0</v>
      </c>
      <c r="J1015" s="126"/>
      <c r="K1015" s="99"/>
      <c r="L1015" s="83"/>
      <c r="M1015" s="103"/>
      <c r="N1015" s="103"/>
      <c r="O1015" s="103"/>
      <c r="P1015" s="103"/>
      <c r="Q1015" s="103"/>
      <c r="R1015" s="83"/>
      <c r="S1015" s="103"/>
      <c r="T1015" s="103"/>
      <c r="U1015" s="103"/>
    </row>
    <row r="1016" customFormat="false" ht="22.5" hidden="false" customHeight="true" outlineLevel="0" collapsed="false">
      <c r="A1016" s="110"/>
      <c r="B1016" s="110"/>
      <c r="C1016" s="110"/>
      <c r="D1016" s="122"/>
      <c r="E1016" s="110"/>
      <c r="F1016" s="128"/>
      <c r="G1016" s="122"/>
      <c r="H1016" s="131" t="b">
        <f aca="false">FALSE()</f>
        <v>0</v>
      </c>
      <c r="I1016" s="131" t="b">
        <f aca="false">FALSE()</f>
        <v>0</v>
      </c>
      <c r="J1016" s="130"/>
      <c r="K1016" s="110"/>
      <c r="L1016" s="83"/>
      <c r="M1016" s="103"/>
      <c r="N1016" s="103"/>
      <c r="O1016" s="103"/>
      <c r="P1016" s="103"/>
      <c r="Q1016" s="103"/>
      <c r="R1016" s="83"/>
      <c r="S1016" s="103"/>
      <c r="T1016" s="103"/>
      <c r="U1016" s="103"/>
    </row>
    <row r="1017" customFormat="false" ht="22.5" hidden="false" customHeight="true" outlineLevel="0" collapsed="false">
      <c r="A1017" s="99"/>
      <c r="B1017" s="99"/>
      <c r="C1017" s="99"/>
      <c r="D1017" s="121"/>
      <c r="E1017" s="99"/>
      <c r="F1017" s="124"/>
      <c r="G1017" s="121"/>
      <c r="H1017" s="132" t="b">
        <f aca="false">FALSE()</f>
        <v>0</v>
      </c>
      <c r="I1017" s="132" t="b">
        <f aca="false">FALSE()</f>
        <v>0</v>
      </c>
      <c r="J1017" s="126"/>
      <c r="K1017" s="99"/>
      <c r="L1017" s="83"/>
      <c r="M1017" s="103"/>
      <c r="N1017" s="103"/>
      <c r="O1017" s="103"/>
      <c r="P1017" s="103"/>
      <c r="Q1017" s="103"/>
      <c r="R1017" s="83"/>
      <c r="S1017" s="103"/>
      <c r="T1017" s="103"/>
      <c r="U1017" s="103"/>
    </row>
    <row r="1018" customFormat="false" ht="22.5" hidden="false" customHeight="true" outlineLevel="0" collapsed="false">
      <c r="A1018" s="110"/>
      <c r="B1018" s="110"/>
      <c r="C1018" s="110"/>
      <c r="D1018" s="122"/>
      <c r="E1018" s="110"/>
      <c r="F1018" s="128"/>
      <c r="G1018" s="122"/>
      <c r="H1018" s="131" t="b">
        <f aca="false">FALSE()</f>
        <v>0</v>
      </c>
      <c r="I1018" s="131" t="b">
        <f aca="false">FALSE()</f>
        <v>0</v>
      </c>
      <c r="J1018" s="130"/>
      <c r="K1018" s="110"/>
      <c r="L1018" s="83"/>
      <c r="M1018" s="103"/>
      <c r="N1018" s="103"/>
      <c r="O1018" s="103"/>
      <c r="P1018" s="103"/>
      <c r="Q1018" s="103"/>
      <c r="R1018" s="83"/>
      <c r="S1018" s="103"/>
      <c r="T1018" s="103"/>
      <c r="U1018" s="103"/>
    </row>
    <row r="1019" customFormat="false" ht="22.5" hidden="false" customHeight="true" outlineLevel="0" collapsed="false">
      <c r="A1019" s="99"/>
      <c r="B1019" s="99"/>
      <c r="C1019" s="99"/>
      <c r="D1019" s="121"/>
      <c r="E1019" s="99"/>
      <c r="F1019" s="124"/>
      <c r="G1019" s="121"/>
      <c r="H1019" s="132" t="b">
        <f aca="false">FALSE()</f>
        <v>0</v>
      </c>
      <c r="I1019" s="132" t="b">
        <f aca="false">FALSE()</f>
        <v>0</v>
      </c>
      <c r="J1019" s="126"/>
      <c r="K1019" s="99"/>
      <c r="L1019" s="83"/>
      <c r="M1019" s="103"/>
      <c r="N1019" s="103"/>
      <c r="O1019" s="103"/>
      <c r="P1019" s="103"/>
      <c r="Q1019" s="103"/>
      <c r="R1019" s="83"/>
      <c r="S1019" s="103"/>
      <c r="T1019" s="103"/>
      <c r="U1019" s="103"/>
    </row>
    <row r="1020" customFormat="false" ht="22.5" hidden="false" customHeight="true" outlineLevel="0" collapsed="false">
      <c r="A1020" s="110"/>
      <c r="B1020" s="110"/>
      <c r="C1020" s="110"/>
      <c r="D1020" s="122"/>
      <c r="E1020" s="110"/>
      <c r="F1020" s="128"/>
      <c r="G1020" s="122"/>
      <c r="H1020" s="131" t="b">
        <f aca="false">FALSE()</f>
        <v>0</v>
      </c>
      <c r="I1020" s="131" t="b">
        <f aca="false">FALSE()</f>
        <v>0</v>
      </c>
      <c r="J1020" s="130"/>
      <c r="K1020" s="110"/>
      <c r="L1020" s="83"/>
      <c r="M1020" s="103"/>
      <c r="N1020" s="103"/>
      <c r="O1020" s="103"/>
      <c r="P1020" s="103"/>
      <c r="Q1020" s="103"/>
      <c r="R1020" s="83"/>
      <c r="S1020" s="103"/>
      <c r="T1020" s="103"/>
      <c r="U1020" s="103"/>
    </row>
    <row r="1021" customFormat="false" ht="22.5" hidden="false" customHeight="true" outlineLevel="0" collapsed="false">
      <c r="A1021" s="99"/>
      <c r="B1021" s="99"/>
      <c r="C1021" s="99"/>
      <c r="D1021" s="121"/>
      <c r="E1021" s="99"/>
      <c r="F1021" s="124"/>
      <c r="G1021" s="121"/>
      <c r="H1021" s="132" t="b">
        <f aca="false">FALSE()</f>
        <v>0</v>
      </c>
      <c r="I1021" s="132" t="b">
        <f aca="false">FALSE()</f>
        <v>0</v>
      </c>
      <c r="J1021" s="126"/>
      <c r="K1021" s="99"/>
      <c r="L1021" s="83"/>
      <c r="M1021" s="103"/>
      <c r="N1021" s="103"/>
      <c r="O1021" s="103"/>
      <c r="P1021" s="103"/>
      <c r="Q1021" s="103"/>
      <c r="R1021" s="83"/>
      <c r="S1021" s="103"/>
      <c r="T1021" s="103"/>
      <c r="U1021" s="103"/>
    </row>
    <row r="1022" customFormat="false" ht="22.5" hidden="false" customHeight="true" outlineLevel="0" collapsed="false">
      <c r="A1022" s="110"/>
      <c r="B1022" s="110"/>
      <c r="C1022" s="110"/>
      <c r="D1022" s="122"/>
      <c r="E1022" s="110"/>
      <c r="F1022" s="128"/>
      <c r="G1022" s="122"/>
      <c r="H1022" s="131" t="b">
        <f aca="false">FALSE()</f>
        <v>0</v>
      </c>
      <c r="I1022" s="131" t="b">
        <f aca="false">FALSE()</f>
        <v>0</v>
      </c>
      <c r="J1022" s="130"/>
      <c r="K1022" s="110"/>
      <c r="L1022" s="83"/>
      <c r="M1022" s="103"/>
      <c r="N1022" s="103"/>
      <c r="O1022" s="103"/>
      <c r="P1022" s="103"/>
      <c r="Q1022" s="103"/>
      <c r="R1022" s="83"/>
      <c r="S1022" s="103"/>
      <c r="T1022" s="103"/>
      <c r="U1022" s="103"/>
    </row>
    <row r="1023" customFormat="false" ht="22.5" hidden="false" customHeight="true" outlineLevel="0" collapsed="false">
      <c r="A1023" s="99"/>
      <c r="B1023" s="99"/>
      <c r="C1023" s="99"/>
      <c r="D1023" s="121"/>
      <c r="E1023" s="99"/>
      <c r="F1023" s="124"/>
      <c r="G1023" s="121"/>
      <c r="H1023" s="132" t="b">
        <f aca="false">FALSE()</f>
        <v>0</v>
      </c>
      <c r="I1023" s="132" t="b">
        <f aca="false">FALSE()</f>
        <v>0</v>
      </c>
      <c r="J1023" s="126"/>
      <c r="K1023" s="99"/>
      <c r="L1023" s="83"/>
      <c r="M1023" s="103"/>
      <c r="N1023" s="103"/>
      <c r="O1023" s="103"/>
      <c r="P1023" s="103"/>
      <c r="Q1023" s="103"/>
      <c r="R1023" s="83"/>
      <c r="S1023" s="103"/>
      <c r="T1023" s="103"/>
      <c r="U1023" s="103"/>
    </row>
    <row r="1024" customFormat="false" ht="22.5" hidden="false" customHeight="true" outlineLevel="0" collapsed="false">
      <c r="A1024" s="110"/>
      <c r="B1024" s="110"/>
      <c r="C1024" s="110"/>
      <c r="D1024" s="122"/>
      <c r="E1024" s="110"/>
      <c r="F1024" s="128"/>
      <c r="G1024" s="122"/>
      <c r="H1024" s="131" t="b">
        <f aca="false">FALSE()</f>
        <v>0</v>
      </c>
      <c r="I1024" s="131" t="b">
        <f aca="false">FALSE()</f>
        <v>0</v>
      </c>
      <c r="J1024" s="130"/>
      <c r="K1024" s="110"/>
      <c r="L1024" s="83"/>
      <c r="M1024" s="103"/>
      <c r="N1024" s="103"/>
      <c r="O1024" s="103"/>
      <c r="P1024" s="103"/>
      <c r="Q1024" s="103"/>
      <c r="R1024" s="83"/>
      <c r="S1024" s="103"/>
      <c r="T1024" s="103"/>
      <c r="U1024" s="103"/>
    </row>
    <row r="1025" customFormat="false" ht="22.5" hidden="false" customHeight="true" outlineLevel="0" collapsed="false">
      <c r="A1025" s="99"/>
      <c r="B1025" s="99"/>
      <c r="C1025" s="99"/>
      <c r="D1025" s="121"/>
      <c r="E1025" s="99"/>
      <c r="F1025" s="124"/>
      <c r="G1025" s="121"/>
      <c r="H1025" s="132" t="b">
        <f aca="false">FALSE()</f>
        <v>0</v>
      </c>
      <c r="I1025" s="132" t="b">
        <f aca="false">FALSE()</f>
        <v>0</v>
      </c>
      <c r="J1025" s="126"/>
      <c r="K1025" s="99"/>
      <c r="L1025" s="83"/>
      <c r="M1025" s="103"/>
      <c r="N1025" s="103"/>
      <c r="O1025" s="103"/>
      <c r="P1025" s="103"/>
      <c r="Q1025" s="103"/>
      <c r="R1025" s="83"/>
      <c r="S1025" s="103"/>
      <c r="T1025" s="103"/>
      <c r="U1025" s="103"/>
    </row>
    <row r="1026" customFormat="false" ht="22.5" hidden="false" customHeight="true" outlineLevel="0" collapsed="false">
      <c r="A1026" s="110"/>
      <c r="B1026" s="110"/>
      <c r="C1026" s="110"/>
      <c r="D1026" s="122"/>
      <c r="E1026" s="110"/>
      <c r="F1026" s="128"/>
      <c r="G1026" s="122"/>
      <c r="H1026" s="131" t="b">
        <f aca="false">FALSE()</f>
        <v>0</v>
      </c>
      <c r="I1026" s="131" t="b">
        <f aca="false">FALSE()</f>
        <v>0</v>
      </c>
      <c r="J1026" s="130"/>
      <c r="K1026" s="110"/>
      <c r="L1026" s="83"/>
      <c r="M1026" s="103"/>
      <c r="N1026" s="103"/>
      <c r="O1026" s="103"/>
      <c r="P1026" s="103"/>
      <c r="Q1026" s="103"/>
      <c r="R1026" s="83"/>
      <c r="S1026" s="103"/>
      <c r="T1026" s="103"/>
      <c r="U1026" s="103"/>
    </row>
    <row r="1027" customFormat="false" ht="22.5" hidden="false" customHeight="true" outlineLevel="0" collapsed="false">
      <c r="A1027" s="99"/>
      <c r="B1027" s="99"/>
      <c r="C1027" s="99"/>
      <c r="D1027" s="121"/>
      <c r="E1027" s="99"/>
      <c r="F1027" s="124"/>
      <c r="G1027" s="121"/>
      <c r="H1027" s="132" t="b">
        <f aca="false">FALSE()</f>
        <v>0</v>
      </c>
      <c r="I1027" s="132" t="b">
        <f aca="false">FALSE()</f>
        <v>0</v>
      </c>
      <c r="J1027" s="126"/>
      <c r="K1027" s="99"/>
      <c r="L1027" s="83"/>
      <c r="M1027" s="103"/>
      <c r="N1027" s="103"/>
      <c r="O1027" s="103"/>
      <c r="P1027" s="103"/>
      <c r="Q1027" s="103"/>
      <c r="R1027" s="83"/>
      <c r="S1027" s="103"/>
      <c r="T1027" s="103"/>
      <c r="U1027" s="103"/>
    </row>
    <row r="1028" customFormat="false" ht="22.5" hidden="false" customHeight="true" outlineLevel="0" collapsed="false">
      <c r="A1028" s="110"/>
      <c r="B1028" s="110"/>
      <c r="C1028" s="110"/>
      <c r="D1028" s="122"/>
      <c r="E1028" s="110"/>
      <c r="F1028" s="128"/>
      <c r="G1028" s="122"/>
      <c r="H1028" s="131" t="b">
        <f aca="false">FALSE()</f>
        <v>0</v>
      </c>
      <c r="I1028" s="131" t="b">
        <f aca="false">FALSE()</f>
        <v>0</v>
      </c>
      <c r="J1028" s="130"/>
      <c r="K1028" s="110"/>
      <c r="L1028" s="83"/>
      <c r="M1028" s="103"/>
      <c r="N1028" s="103"/>
      <c r="O1028" s="103"/>
      <c r="P1028" s="103"/>
      <c r="Q1028" s="103"/>
      <c r="R1028" s="83"/>
      <c r="S1028" s="103"/>
      <c r="T1028" s="103"/>
      <c r="U1028" s="103"/>
    </row>
    <row r="1029" customFormat="false" ht="22.5" hidden="false" customHeight="true" outlineLevel="0" collapsed="false">
      <c r="A1029" s="99"/>
      <c r="B1029" s="99"/>
      <c r="C1029" s="99"/>
      <c r="D1029" s="121"/>
      <c r="E1029" s="99"/>
      <c r="F1029" s="124"/>
      <c r="G1029" s="121"/>
      <c r="H1029" s="132" t="b">
        <f aca="false">FALSE()</f>
        <v>0</v>
      </c>
      <c r="I1029" s="132" t="b">
        <f aca="false">FALSE()</f>
        <v>0</v>
      </c>
      <c r="J1029" s="126"/>
      <c r="K1029" s="99"/>
      <c r="L1029" s="83"/>
      <c r="M1029" s="103"/>
      <c r="N1029" s="103"/>
      <c r="O1029" s="103"/>
      <c r="P1029" s="103"/>
      <c r="Q1029" s="103"/>
      <c r="R1029" s="83"/>
      <c r="S1029" s="103"/>
      <c r="T1029" s="103"/>
      <c r="U1029" s="103"/>
    </row>
    <row r="1030" customFormat="false" ht="22.5" hidden="false" customHeight="true" outlineLevel="0" collapsed="false">
      <c r="A1030" s="110"/>
      <c r="B1030" s="110"/>
      <c r="C1030" s="110"/>
      <c r="D1030" s="122"/>
      <c r="E1030" s="110"/>
      <c r="F1030" s="128"/>
      <c r="G1030" s="122"/>
      <c r="H1030" s="131" t="b">
        <f aca="false">FALSE()</f>
        <v>0</v>
      </c>
      <c r="I1030" s="131" t="b">
        <f aca="false">FALSE()</f>
        <v>0</v>
      </c>
      <c r="J1030" s="130"/>
      <c r="K1030" s="110"/>
      <c r="L1030" s="83"/>
      <c r="M1030" s="103"/>
      <c r="N1030" s="103"/>
      <c r="O1030" s="103"/>
      <c r="P1030" s="103"/>
      <c r="Q1030" s="103"/>
      <c r="R1030" s="83"/>
      <c r="S1030" s="103"/>
      <c r="T1030" s="103"/>
      <c r="U1030" s="103"/>
    </row>
    <row r="1031" customFormat="false" ht="22.5" hidden="false" customHeight="true" outlineLevel="0" collapsed="false">
      <c r="A1031" s="99"/>
      <c r="B1031" s="99"/>
      <c r="C1031" s="99"/>
      <c r="D1031" s="121"/>
      <c r="E1031" s="99"/>
      <c r="F1031" s="124"/>
      <c r="G1031" s="121"/>
      <c r="H1031" s="132" t="b">
        <f aca="false">FALSE()</f>
        <v>0</v>
      </c>
      <c r="I1031" s="132" t="b">
        <f aca="false">FALSE()</f>
        <v>0</v>
      </c>
      <c r="J1031" s="126"/>
      <c r="K1031" s="99"/>
      <c r="L1031" s="83"/>
      <c r="N1031" s="103"/>
      <c r="O1031" s="103"/>
      <c r="P1031" s="103"/>
      <c r="Q1031" s="103"/>
    </row>
    <row r="1032" customFormat="false" ht="22.5" hidden="false" customHeight="true" outlineLevel="0" collapsed="false">
      <c r="C1032" s="138"/>
      <c r="D1032" s="139"/>
      <c r="E1032" s="138"/>
      <c r="F1032" s="140"/>
      <c r="G1032" s="139"/>
      <c r="H1032" s="141" t="b">
        <f aca="false">FALSE()</f>
        <v>0</v>
      </c>
      <c r="I1032" s="141" t="b">
        <f aca="false">FALSE()</f>
        <v>0</v>
      </c>
      <c r="J1032" s="142"/>
      <c r="K1032" s="138"/>
      <c r="L1032" s="83"/>
      <c r="N1032" s="103"/>
      <c r="O1032" s="103"/>
      <c r="P1032" s="103"/>
      <c r="Q1032" s="103"/>
    </row>
    <row r="1033" customFormat="false" ht="22.5" hidden="false" customHeight="true" outlineLevel="0" collapsed="false">
      <c r="C1033" s="158"/>
      <c r="D1033" s="159"/>
      <c r="E1033" s="158"/>
      <c r="F1033" s="160"/>
      <c r="G1033" s="159"/>
      <c r="H1033" s="161" t="b">
        <f aca="false">FALSE()</f>
        <v>0</v>
      </c>
      <c r="I1033" s="161" t="b">
        <f aca="false">FALSE()</f>
        <v>0</v>
      </c>
      <c r="J1033" s="162"/>
      <c r="K1033" s="158"/>
      <c r="L1033" s="83"/>
      <c r="N1033" s="103"/>
      <c r="O1033" s="103"/>
      <c r="P1033" s="103"/>
      <c r="Q1033" s="103"/>
    </row>
  </sheetData>
  <mergeCells count="7">
    <mergeCell ref="A1:K1"/>
    <mergeCell ref="R1:S1"/>
    <mergeCell ref="T1:U1"/>
    <mergeCell ref="R5:S5"/>
    <mergeCell ref="T5:U5"/>
    <mergeCell ref="R6:S6"/>
    <mergeCell ref="T6:U6"/>
  </mergeCells>
  <dataValidations count="4">
    <dataValidation allowBlank="true" errorStyle="stop" operator="between" showDropDown="false" showErrorMessage="true" showInputMessage="false" sqref="K3:K1033" type="list">
      <formula1>"NUEVO,EXISTENTE"</formula1>
      <formula2>0</formula2>
    </dataValidation>
    <dataValidation allowBlank="true" errorStyle="stop" operator="between" showDropDown="true" showErrorMessage="true" showInputMessage="false" sqref="B3:B1031 J3:J1033" type="custom">
      <formula1>OR(NOT(ISERROR(DATEVALUE(B3))), AND(ISNUMBER(B3), LEFT(CELL("format", B3))="D"))</formula1>
      <formula2>0</formula2>
    </dataValidation>
    <dataValidation allowBlank="true" errorStyle="stop" operator="between" showDropDown="false" showErrorMessage="true" showInputMessage="false" sqref="M6" type="list">
      <formula1>BD!$H$2:$H1033</formula1>
      <formula2>0</formula2>
    </dataValidation>
    <dataValidation allowBlank="true" errorStyle="stop" operator="between" showDropDown="false" showErrorMessage="true" showInputMessage="false" sqref="E3:E1033" type="list">
      <formula1>"CONTADO,TARJETA / CHEQUE,FINANCIADO,MCP"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19.13"/>
    <col collapsed="false" customWidth="true" hidden="false" outlineLevel="0" max="3" min="3" style="0" width="12.13"/>
    <col collapsed="false" customWidth="true" hidden="false" outlineLevel="0" max="4" min="4" style="0" width="4.63"/>
    <col collapsed="false" customWidth="true" hidden="false" outlineLevel="0" max="5" min="5" style="0" width="8.13"/>
  </cols>
  <sheetData>
    <row r="1" customFormat="false" ht="15.75" hidden="false" customHeight="false" outlineLevel="0" collapsed="false">
      <c r="A1" s="179" t="s">
        <v>547</v>
      </c>
      <c r="B1" s="179" t="s">
        <v>548</v>
      </c>
      <c r="C1" s="179" t="s">
        <v>549</v>
      </c>
      <c r="D1" s="179" t="s">
        <v>381</v>
      </c>
      <c r="E1" s="179" t="s">
        <v>550</v>
      </c>
      <c r="H1" s="180" t="s">
        <v>551</v>
      </c>
      <c r="I1" s="180" t="s">
        <v>466</v>
      </c>
      <c r="J1" s="180" t="s">
        <v>552</v>
      </c>
    </row>
    <row r="2" customFormat="false" ht="15.75" hidden="false" customHeight="false" outlineLevel="0" collapsed="false">
      <c r="A2" s="179" t="s">
        <v>386</v>
      </c>
      <c r="B2" s="179" t="s">
        <v>22</v>
      </c>
      <c r="C2" s="179" t="s">
        <v>19</v>
      </c>
      <c r="D2" s="179" t="s">
        <v>19</v>
      </c>
      <c r="E2" s="179" t="s">
        <v>384</v>
      </c>
      <c r="H2" s="181" t="s">
        <v>553</v>
      </c>
      <c r="I2" s="182" t="s">
        <v>554</v>
      </c>
      <c r="J2" s="181" t="s">
        <v>555</v>
      </c>
    </row>
    <row r="3" customFormat="false" ht="15.75" hidden="false" customHeight="false" outlineLevel="0" collapsed="false">
      <c r="A3" s="179" t="s">
        <v>91</v>
      </c>
      <c r="B3" s="179" t="s">
        <v>383</v>
      </c>
      <c r="C3" s="179" t="s">
        <v>44</v>
      </c>
      <c r="D3" s="179" t="s">
        <v>44</v>
      </c>
      <c r="E3" s="179" t="s">
        <v>385</v>
      </c>
      <c r="H3" s="183" t="s">
        <v>556</v>
      </c>
      <c r="I3" s="180" t="s">
        <v>554</v>
      </c>
      <c r="J3" s="183" t="s">
        <v>555</v>
      </c>
    </row>
    <row r="4" customFormat="false" ht="15.75" hidden="false" customHeight="false" outlineLevel="0" collapsed="false">
      <c r="A4" s="179" t="s">
        <v>389</v>
      </c>
      <c r="B4" s="179" t="s">
        <v>74</v>
      </c>
      <c r="C4" s="33"/>
      <c r="D4" s="33"/>
      <c r="E4" s="33"/>
      <c r="H4" s="181" t="s">
        <v>557</v>
      </c>
      <c r="I4" s="182" t="s">
        <v>554</v>
      </c>
      <c r="J4" s="181" t="s">
        <v>555</v>
      </c>
    </row>
    <row r="5" customFormat="false" ht="15.75" hidden="false" customHeight="false" outlineLevel="0" collapsed="false">
      <c r="A5" s="33"/>
      <c r="B5" s="179" t="s">
        <v>387</v>
      </c>
      <c r="C5" s="33"/>
      <c r="D5" s="33"/>
      <c r="E5" s="33"/>
      <c r="H5" s="183" t="s">
        <v>558</v>
      </c>
      <c r="I5" s="180" t="s">
        <v>554</v>
      </c>
      <c r="J5" s="183" t="s">
        <v>555</v>
      </c>
    </row>
    <row r="6" customFormat="false" ht="15.75" hidden="false" customHeight="false" outlineLevel="0" collapsed="false">
      <c r="A6" s="33"/>
      <c r="B6" s="179" t="s">
        <v>388</v>
      </c>
      <c r="C6" s="33"/>
      <c r="D6" s="33"/>
      <c r="E6" s="33"/>
      <c r="H6" s="181" t="s">
        <v>559</v>
      </c>
      <c r="I6" s="182" t="s">
        <v>554</v>
      </c>
      <c r="J6" s="181" t="s">
        <v>555</v>
      </c>
    </row>
    <row r="7" customFormat="false" ht="15.75" hidden="false" customHeight="false" outlineLevel="0" collapsed="false">
      <c r="A7" s="33"/>
      <c r="B7" s="179" t="s">
        <v>560</v>
      </c>
      <c r="C7" s="33"/>
      <c r="D7" s="33"/>
      <c r="E7" s="33"/>
      <c r="H7" s="183" t="s">
        <v>561</v>
      </c>
      <c r="I7" s="180" t="s">
        <v>554</v>
      </c>
      <c r="J7" s="183" t="s">
        <v>555</v>
      </c>
    </row>
    <row r="8" customFormat="false" ht="15.75" hidden="false" customHeight="false" outlineLevel="0" collapsed="false">
      <c r="A8" s="33"/>
      <c r="B8" s="179" t="s">
        <v>91</v>
      </c>
      <c r="C8" s="33"/>
      <c r="D8" s="33"/>
      <c r="E8" s="33"/>
      <c r="H8" s="181" t="s">
        <v>292</v>
      </c>
      <c r="I8" s="182" t="s">
        <v>562</v>
      </c>
      <c r="J8" s="181" t="s">
        <v>563</v>
      </c>
    </row>
    <row r="9" customFormat="false" ht="15.75" hidden="false" customHeight="false" outlineLevel="0" collapsed="false">
      <c r="A9" s="33"/>
      <c r="B9" s="179" t="s">
        <v>564</v>
      </c>
      <c r="C9" s="33"/>
      <c r="D9" s="33"/>
      <c r="E9" s="33"/>
      <c r="H9" s="183" t="s">
        <v>565</v>
      </c>
      <c r="I9" s="180" t="s">
        <v>554</v>
      </c>
      <c r="J9" s="183" t="s">
        <v>555</v>
      </c>
    </row>
    <row r="10" customFormat="false" ht="15.75" hidden="false" customHeight="false" outlineLevel="0" collapsed="false">
      <c r="H10" s="181" t="s">
        <v>566</v>
      </c>
      <c r="I10" s="182" t="s">
        <v>562</v>
      </c>
      <c r="J10" s="181" t="s">
        <v>563</v>
      </c>
    </row>
    <row r="11" customFormat="false" ht="15.75" hidden="false" customHeight="false" outlineLevel="0" collapsed="false">
      <c r="H11" s="183" t="s">
        <v>567</v>
      </c>
      <c r="I11" s="180" t="s">
        <v>554</v>
      </c>
      <c r="J11" s="183" t="s">
        <v>555</v>
      </c>
    </row>
    <row r="12" customFormat="false" ht="15.75" hidden="false" customHeight="false" outlineLevel="0" collapsed="false">
      <c r="H12" s="181" t="s">
        <v>568</v>
      </c>
      <c r="I12" s="182" t="s">
        <v>562</v>
      </c>
      <c r="J12" s="181" t="s">
        <v>563</v>
      </c>
    </row>
    <row r="13" customFormat="false" ht="15.75" hidden="false" customHeight="false" outlineLevel="0" collapsed="false">
      <c r="H13" s="183" t="s">
        <v>569</v>
      </c>
      <c r="I13" s="180" t="s">
        <v>554</v>
      </c>
      <c r="J13" s="183" t="s">
        <v>555</v>
      </c>
    </row>
    <row r="14" customFormat="false" ht="15.75" hidden="false" customHeight="false" outlineLevel="0" collapsed="false">
      <c r="H14" s="181" t="s">
        <v>570</v>
      </c>
      <c r="I14" s="182" t="s">
        <v>554</v>
      </c>
      <c r="J14" s="181" t="s">
        <v>555</v>
      </c>
    </row>
    <row r="15" customFormat="false" ht="15.75" hidden="false" customHeight="false" outlineLevel="0" collapsed="false">
      <c r="H15" s="183" t="s">
        <v>571</v>
      </c>
      <c r="I15" s="180" t="s">
        <v>554</v>
      </c>
      <c r="J15" s="183" t="s">
        <v>555</v>
      </c>
    </row>
    <row r="16" customFormat="false" ht="15.75" hidden="false" customHeight="false" outlineLevel="0" collapsed="false">
      <c r="H16" s="181" t="s">
        <v>356</v>
      </c>
      <c r="I16" s="182" t="s">
        <v>562</v>
      </c>
      <c r="J16" s="181" t="s">
        <v>555</v>
      </c>
    </row>
    <row r="17" customFormat="false" ht="15.75" hidden="false" customHeight="false" outlineLevel="0" collapsed="false">
      <c r="H17" s="183" t="s">
        <v>572</v>
      </c>
      <c r="I17" s="180" t="s">
        <v>573</v>
      </c>
      <c r="J17" s="183" t="s">
        <v>563</v>
      </c>
    </row>
    <row r="18" customFormat="false" ht="15.75" hidden="false" customHeight="false" outlineLevel="0" collapsed="false">
      <c r="H18" s="181" t="s">
        <v>574</v>
      </c>
      <c r="I18" s="182" t="s">
        <v>554</v>
      </c>
      <c r="J18" s="181" t="s">
        <v>555</v>
      </c>
    </row>
    <row r="19" customFormat="false" ht="15.75" hidden="false" customHeight="false" outlineLevel="0" collapsed="false">
      <c r="H19" s="183" t="s">
        <v>575</v>
      </c>
      <c r="I19" s="180" t="s">
        <v>554</v>
      </c>
      <c r="J19" s="183" t="s">
        <v>555</v>
      </c>
    </row>
    <row r="20" customFormat="false" ht="15.75" hidden="false" customHeight="false" outlineLevel="0" collapsed="false">
      <c r="H20" s="181" t="s">
        <v>272</v>
      </c>
      <c r="I20" s="182" t="s">
        <v>562</v>
      </c>
      <c r="J20" s="181" t="s">
        <v>563</v>
      </c>
    </row>
    <row r="21" customFormat="false" ht="15.75" hidden="false" customHeight="false" outlineLevel="0" collapsed="false">
      <c r="H21" s="183" t="s">
        <v>576</v>
      </c>
      <c r="I21" s="180" t="s">
        <v>562</v>
      </c>
      <c r="J21" s="183" t="s">
        <v>563</v>
      </c>
    </row>
    <row r="22" customFormat="false" ht="15.75" hidden="false" customHeight="false" outlineLevel="0" collapsed="false">
      <c r="H22" s="181" t="s">
        <v>577</v>
      </c>
      <c r="I22" s="182" t="s">
        <v>554</v>
      </c>
      <c r="J22" s="181" t="s">
        <v>555</v>
      </c>
    </row>
    <row r="23" customFormat="false" ht="15.75" hidden="false" customHeight="false" outlineLevel="0" collapsed="false">
      <c r="H23" s="183" t="s">
        <v>578</v>
      </c>
      <c r="I23" s="180" t="s">
        <v>554</v>
      </c>
      <c r="J23" s="183" t="s">
        <v>555</v>
      </c>
    </row>
    <row r="24" customFormat="false" ht="15.75" hidden="false" customHeight="false" outlineLevel="0" collapsed="false">
      <c r="H24" s="181" t="s">
        <v>579</v>
      </c>
      <c r="I24" s="182" t="s">
        <v>554</v>
      </c>
      <c r="J24" s="181" t="s">
        <v>555</v>
      </c>
    </row>
    <row r="25" customFormat="false" ht="15.75" hidden="false" customHeight="false" outlineLevel="0" collapsed="false">
      <c r="H25" s="183" t="s">
        <v>580</v>
      </c>
      <c r="I25" s="180" t="s">
        <v>554</v>
      </c>
      <c r="J25" s="183" t="s">
        <v>555</v>
      </c>
    </row>
    <row r="26" customFormat="false" ht="15.75" hidden="false" customHeight="false" outlineLevel="0" collapsed="false">
      <c r="H26" s="181" t="s">
        <v>581</v>
      </c>
      <c r="I26" s="182" t="s">
        <v>562</v>
      </c>
      <c r="J26" s="181" t="s">
        <v>563</v>
      </c>
    </row>
    <row r="27" customFormat="false" ht="15.75" hidden="false" customHeight="false" outlineLevel="0" collapsed="false">
      <c r="H27" s="183" t="s">
        <v>582</v>
      </c>
      <c r="I27" s="180" t="s">
        <v>562</v>
      </c>
      <c r="J27" s="183" t="s">
        <v>563</v>
      </c>
    </row>
    <row r="28" customFormat="false" ht="15.75" hidden="false" customHeight="false" outlineLevel="0" collapsed="false">
      <c r="H28" s="181" t="s">
        <v>583</v>
      </c>
      <c r="I28" s="182" t="s">
        <v>554</v>
      </c>
      <c r="J28" s="181" t="s">
        <v>555</v>
      </c>
    </row>
    <row r="29" customFormat="false" ht="15.75" hidden="false" customHeight="false" outlineLevel="0" collapsed="false">
      <c r="H29" s="183" t="s">
        <v>584</v>
      </c>
      <c r="I29" s="180" t="s">
        <v>554</v>
      </c>
      <c r="J29" s="183" t="s">
        <v>555</v>
      </c>
    </row>
    <row r="30" customFormat="false" ht="15.75" hidden="false" customHeight="false" outlineLevel="0" collapsed="false">
      <c r="H30" s="181" t="s">
        <v>45</v>
      </c>
      <c r="I30" s="182" t="s">
        <v>554</v>
      </c>
      <c r="J30" s="181" t="s">
        <v>555</v>
      </c>
    </row>
    <row r="31" customFormat="false" ht="15.75" hidden="false" customHeight="false" outlineLevel="0" collapsed="false">
      <c r="H31" s="183" t="s">
        <v>585</v>
      </c>
      <c r="I31" s="180" t="s">
        <v>554</v>
      </c>
      <c r="J31" s="183" t="s">
        <v>555</v>
      </c>
    </row>
    <row r="32" customFormat="false" ht="15.75" hidden="false" customHeight="false" outlineLevel="0" collapsed="false">
      <c r="H32" s="181" t="s">
        <v>190</v>
      </c>
      <c r="I32" s="182" t="s">
        <v>573</v>
      </c>
      <c r="J32" s="181" t="s">
        <v>563</v>
      </c>
    </row>
    <row r="33" customFormat="false" ht="15.75" hidden="false" customHeight="false" outlineLevel="0" collapsed="false">
      <c r="H33" s="183" t="s">
        <v>54</v>
      </c>
      <c r="I33" s="180" t="s">
        <v>586</v>
      </c>
      <c r="J33" s="183" t="s">
        <v>563</v>
      </c>
    </row>
    <row r="34" customFormat="false" ht="15.75" hidden="false" customHeight="false" outlineLevel="0" collapsed="false">
      <c r="H34" s="181" t="s">
        <v>587</v>
      </c>
      <c r="I34" s="182" t="s">
        <v>554</v>
      </c>
      <c r="J34" s="181" t="s">
        <v>555</v>
      </c>
    </row>
    <row r="35" customFormat="false" ht="15.75" hidden="false" customHeight="false" outlineLevel="0" collapsed="false">
      <c r="H35" s="183" t="s">
        <v>588</v>
      </c>
      <c r="I35" s="180" t="s">
        <v>562</v>
      </c>
      <c r="J35" s="183" t="s">
        <v>563</v>
      </c>
    </row>
    <row r="36" customFormat="false" ht="15.75" hidden="false" customHeight="false" outlineLevel="0" collapsed="false">
      <c r="H36" s="181" t="s">
        <v>589</v>
      </c>
      <c r="I36" s="182" t="s">
        <v>554</v>
      </c>
      <c r="J36" s="181" t="s">
        <v>555</v>
      </c>
    </row>
    <row r="37" customFormat="false" ht="15.75" hidden="false" customHeight="false" outlineLevel="0" collapsed="false">
      <c r="H37" s="183" t="s">
        <v>590</v>
      </c>
      <c r="I37" s="180" t="s">
        <v>573</v>
      </c>
      <c r="J37" s="183" t="s">
        <v>563</v>
      </c>
    </row>
    <row r="38" customFormat="false" ht="15.75" hidden="false" customHeight="false" outlineLevel="0" collapsed="false">
      <c r="H38" s="181" t="s">
        <v>591</v>
      </c>
      <c r="I38" s="182" t="s">
        <v>554</v>
      </c>
      <c r="J38" s="181" t="s">
        <v>555</v>
      </c>
    </row>
    <row r="39" customFormat="false" ht="15.75" hidden="false" customHeight="false" outlineLevel="0" collapsed="false">
      <c r="H39" s="183" t="s">
        <v>33</v>
      </c>
      <c r="I39" s="180" t="s">
        <v>573</v>
      </c>
      <c r="J39" s="183" t="s">
        <v>563</v>
      </c>
    </row>
    <row r="40" customFormat="false" ht="15.75" hidden="false" customHeight="false" outlineLevel="0" collapsed="false">
      <c r="H40" s="181" t="s">
        <v>108</v>
      </c>
      <c r="I40" s="182" t="s">
        <v>562</v>
      </c>
      <c r="J40" s="181" t="s">
        <v>563</v>
      </c>
    </row>
    <row r="41" customFormat="false" ht="15.75" hidden="false" customHeight="false" outlineLevel="0" collapsed="false">
      <c r="H41" s="183" t="s">
        <v>592</v>
      </c>
      <c r="I41" s="180" t="s">
        <v>562</v>
      </c>
      <c r="J41" s="183" t="s">
        <v>563</v>
      </c>
    </row>
    <row r="42" customFormat="false" ht="15.75" hidden="false" customHeight="false" outlineLevel="0" collapsed="false">
      <c r="H42" s="181" t="s">
        <v>593</v>
      </c>
      <c r="I42" s="182" t="s">
        <v>554</v>
      </c>
      <c r="J42" s="181" t="s">
        <v>555</v>
      </c>
    </row>
    <row r="43" customFormat="false" ht="15.75" hidden="false" customHeight="false" outlineLevel="0" collapsed="false">
      <c r="H43" s="183" t="s">
        <v>594</v>
      </c>
      <c r="I43" s="180" t="s">
        <v>595</v>
      </c>
      <c r="J43" s="183" t="s">
        <v>563</v>
      </c>
    </row>
    <row r="44" customFormat="false" ht="15.75" hidden="false" customHeight="false" outlineLevel="0" collapsed="false">
      <c r="H44" s="181" t="s">
        <v>596</v>
      </c>
      <c r="I44" s="182" t="s">
        <v>562</v>
      </c>
      <c r="J44" s="181" t="s">
        <v>563</v>
      </c>
    </row>
    <row r="45" customFormat="false" ht="15.75" hidden="false" customHeight="false" outlineLevel="0" collapsed="false">
      <c r="H45" s="183" t="s">
        <v>62</v>
      </c>
      <c r="I45" s="180" t="s">
        <v>554</v>
      </c>
      <c r="J45" s="183" t="s">
        <v>555</v>
      </c>
    </row>
    <row r="46" customFormat="false" ht="15.75" hidden="false" customHeight="false" outlineLevel="0" collapsed="false">
      <c r="H46" s="181" t="s">
        <v>597</v>
      </c>
      <c r="I46" s="182" t="s">
        <v>595</v>
      </c>
      <c r="J46" s="181" t="s">
        <v>563</v>
      </c>
    </row>
    <row r="47" customFormat="false" ht="15.75" hidden="false" customHeight="false" outlineLevel="0" collapsed="false">
      <c r="H47" s="183" t="s">
        <v>598</v>
      </c>
      <c r="I47" s="180" t="s">
        <v>562</v>
      </c>
      <c r="J47" s="183" t="s">
        <v>563</v>
      </c>
    </row>
    <row r="48" customFormat="false" ht="15.75" hidden="false" customHeight="false" outlineLevel="0" collapsed="false">
      <c r="H48" s="181" t="s">
        <v>599</v>
      </c>
      <c r="I48" s="182" t="s">
        <v>554</v>
      </c>
      <c r="J48" s="181" t="s">
        <v>555</v>
      </c>
    </row>
    <row r="49" customFormat="false" ht="15.75" hidden="false" customHeight="false" outlineLevel="0" collapsed="false">
      <c r="H49" s="183" t="s">
        <v>600</v>
      </c>
      <c r="I49" s="180" t="s">
        <v>601</v>
      </c>
      <c r="J49" s="183" t="s">
        <v>563</v>
      </c>
    </row>
    <row r="50" customFormat="false" ht="15.75" hidden="false" customHeight="false" outlineLevel="0" collapsed="false">
      <c r="H50" s="181" t="s">
        <v>602</v>
      </c>
      <c r="I50" s="182" t="s">
        <v>586</v>
      </c>
      <c r="J50" s="181" t="s">
        <v>563</v>
      </c>
    </row>
    <row r="51" customFormat="false" ht="15.75" hidden="false" customHeight="false" outlineLevel="0" collapsed="false">
      <c r="H51" s="183" t="s">
        <v>469</v>
      </c>
      <c r="I51" s="180" t="s">
        <v>554</v>
      </c>
      <c r="J51" s="183" t="s">
        <v>555</v>
      </c>
    </row>
    <row r="52" customFormat="false" ht="15.75" hidden="false" customHeight="false" outlineLevel="0" collapsed="false">
      <c r="H52" s="181" t="s">
        <v>603</v>
      </c>
      <c r="I52" s="182" t="s">
        <v>554</v>
      </c>
      <c r="J52" s="181" t="s">
        <v>555</v>
      </c>
    </row>
    <row r="53" customFormat="false" ht="15.75" hidden="false" customHeight="false" outlineLevel="0" collapsed="false">
      <c r="H53" s="183" t="s">
        <v>142</v>
      </c>
      <c r="I53" s="180" t="s">
        <v>554</v>
      </c>
      <c r="J53" s="183" t="s">
        <v>555</v>
      </c>
    </row>
    <row r="54" customFormat="false" ht="15.75" hidden="false" customHeight="false" outlineLevel="0" collapsed="false">
      <c r="H54" s="181" t="s">
        <v>604</v>
      </c>
      <c r="I54" s="182" t="s">
        <v>573</v>
      </c>
      <c r="J54" s="181" t="s">
        <v>563</v>
      </c>
    </row>
    <row r="55" customFormat="false" ht="15.75" hidden="false" customHeight="false" outlineLevel="0" collapsed="false">
      <c r="H55" s="183" t="s">
        <v>605</v>
      </c>
      <c r="I55" s="180" t="s">
        <v>554</v>
      </c>
      <c r="J55" s="183" t="s">
        <v>555</v>
      </c>
    </row>
    <row r="56" customFormat="false" ht="15.75" hidden="false" customHeight="false" outlineLevel="0" collapsed="false">
      <c r="H56" s="181" t="s">
        <v>606</v>
      </c>
      <c r="I56" s="182" t="s">
        <v>554</v>
      </c>
      <c r="J56" s="181" t="s">
        <v>555</v>
      </c>
    </row>
    <row r="57" customFormat="false" ht="15.75" hidden="false" customHeight="false" outlineLevel="0" collapsed="false">
      <c r="H57" s="183" t="s">
        <v>607</v>
      </c>
      <c r="I57" s="180" t="s">
        <v>573</v>
      </c>
      <c r="J57" s="183" t="s">
        <v>563</v>
      </c>
    </row>
    <row r="58" customFormat="false" ht="15.75" hidden="false" customHeight="false" outlineLevel="0" collapsed="false">
      <c r="H58" s="181" t="s">
        <v>608</v>
      </c>
      <c r="I58" s="182" t="s">
        <v>573</v>
      </c>
      <c r="J58" s="181" t="s">
        <v>563</v>
      </c>
    </row>
    <row r="59" customFormat="false" ht="15.75" hidden="false" customHeight="false" outlineLevel="0" collapsed="false">
      <c r="H59" s="183" t="s">
        <v>609</v>
      </c>
      <c r="I59" s="180" t="s">
        <v>554</v>
      </c>
      <c r="J59" s="183" t="s">
        <v>555</v>
      </c>
    </row>
    <row r="60" customFormat="false" ht="15.75" hidden="false" customHeight="false" outlineLevel="0" collapsed="false">
      <c r="H60" s="181" t="s">
        <v>610</v>
      </c>
      <c r="I60" s="182" t="s">
        <v>554</v>
      </c>
      <c r="J60" s="181" t="s">
        <v>555</v>
      </c>
    </row>
    <row r="61" customFormat="false" ht="15.75" hidden="false" customHeight="false" outlineLevel="0" collapsed="false">
      <c r="H61" s="183" t="s">
        <v>611</v>
      </c>
      <c r="I61" s="180" t="s">
        <v>554</v>
      </c>
      <c r="J61" s="183" t="s">
        <v>555</v>
      </c>
    </row>
    <row r="62" customFormat="false" ht="15.75" hidden="false" customHeight="false" outlineLevel="0" collapsed="false">
      <c r="H62" s="181" t="s">
        <v>348</v>
      </c>
      <c r="I62" s="182" t="s">
        <v>562</v>
      </c>
      <c r="J62" s="181" t="s">
        <v>563</v>
      </c>
    </row>
    <row r="63" customFormat="false" ht="15.75" hidden="false" customHeight="false" outlineLevel="0" collapsed="false">
      <c r="H63" s="183" t="s">
        <v>612</v>
      </c>
      <c r="I63" s="180" t="s">
        <v>554</v>
      </c>
      <c r="J63" s="183" t="s">
        <v>555</v>
      </c>
    </row>
    <row r="64" customFormat="false" ht="15.75" hidden="false" customHeight="false" outlineLevel="0" collapsed="false">
      <c r="H64" s="181" t="s">
        <v>613</v>
      </c>
      <c r="I64" s="182" t="s">
        <v>562</v>
      </c>
      <c r="J64" s="181" t="s">
        <v>563</v>
      </c>
    </row>
    <row r="65" customFormat="false" ht="15.75" hidden="false" customHeight="false" outlineLevel="0" collapsed="false">
      <c r="H65" s="183" t="s">
        <v>614</v>
      </c>
      <c r="I65" s="180" t="s">
        <v>595</v>
      </c>
      <c r="J65" s="183" t="s">
        <v>563</v>
      </c>
    </row>
    <row r="66" customFormat="false" ht="15.75" hidden="false" customHeight="false" outlineLevel="0" collapsed="false">
      <c r="H66" s="181" t="s">
        <v>615</v>
      </c>
      <c r="I66" s="182" t="s">
        <v>554</v>
      </c>
      <c r="J66" s="181" t="s">
        <v>555</v>
      </c>
    </row>
    <row r="67" customFormat="false" ht="15.75" hidden="false" customHeight="false" outlineLevel="0" collapsed="false">
      <c r="H67" s="183" t="s">
        <v>174</v>
      </c>
      <c r="I67" s="180" t="s">
        <v>554</v>
      </c>
      <c r="J67" s="183" t="s">
        <v>555</v>
      </c>
    </row>
    <row r="68" customFormat="false" ht="15.75" hidden="false" customHeight="false" outlineLevel="0" collapsed="false">
      <c r="H68" s="181" t="s">
        <v>616</v>
      </c>
      <c r="I68" s="182" t="s">
        <v>562</v>
      </c>
      <c r="J68" s="181" t="s">
        <v>563</v>
      </c>
    </row>
    <row r="69" customFormat="false" ht="15.75" hidden="false" customHeight="false" outlineLevel="0" collapsed="false">
      <c r="H69" s="183" t="s">
        <v>617</v>
      </c>
      <c r="I69" s="180" t="s">
        <v>554</v>
      </c>
      <c r="J69" s="183" t="s">
        <v>555</v>
      </c>
    </row>
    <row r="70" customFormat="false" ht="15.75" hidden="false" customHeight="false" outlineLevel="0" collapsed="false">
      <c r="H70" s="181" t="s">
        <v>618</v>
      </c>
      <c r="I70" s="182" t="s">
        <v>554</v>
      </c>
      <c r="J70" s="181" t="s">
        <v>555</v>
      </c>
    </row>
    <row r="71" customFormat="false" ht="15.75" hidden="false" customHeight="false" outlineLevel="0" collapsed="false">
      <c r="H71" s="183" t="s">
        <v>619</v>
      </c>
      <c r="I71" s="180" t="s">
        <v>562</v>
      </c>
      <c r="J71" s="183" t="s">
        <v>563</v>
      </c>
    </row>
    <row r="72" customFormat="false" ht="15.75" hidden="false" customHeight="false" outlineLevel="0" collapsed="false">
      <c r="H72" s="181" t="s">
        <v>620</v>
      </c>
      <c r="I72" s="182" t="s">
        <v>562</v>
      </c>
      <c r="J72" s="181" t="s">
        <v>563</v>
      </c>
    </row>
    <row r="73" customFormat="false" ht="15.75" hidden="false" customHeight="false" outlineLevel="0" collapsed="false">
      <c r="H73" s="183" t="s">
        <v>621</v>
      </c>
      <c r="I73" s="180" t="s">
        <v>554</v>
      </c>
      <c r="J73" s="183" t="s">
        <v>555</v>
      </c>
    </row>
    <row r="74" customFormat="false" ht="15.75" hidden="false" customHeight="false" outlineLevel="0" collapsed="false">
      <c r="H74" s="182" t="s">
        <v>622</v>
      </c>
      <c r="I74" s="182" t="s">
        <v>623</v>
      </c>
      <c r="J74" s="181" t="s">
        <v>563</v>
      </c>
    </row>
    <row r="75" customFormat="false" ht="15.75" hidden="false" customHeight="false" outlineLevel="0" collapsed="false">
      <c r="H75" s="180" t="s">
        <v>624</v>
      </c>
      <c r="I75" s="180" t="s">
        <v>623</v>
      </c>
      <c r="J75" s="183" t="s">
        <v>563</v>
      </c>
    </row>
    <row r="76" customFormat="false" ht="15.75" hidden="false" customHeight="false" outlineLevel="0" collapsed="false">
      <c r="H76" s="182" t="s">
        <v>625</v>
      </c>
      <c r="I76" s="182" t="s">
        <v>554</v>
      </c>
      <c r="J76" s="181" t="s">
        <v>555</v>
      </c>
    </row>
    <row r="77" customFormat="false" ht="15.75" hidden="false" customHeight="false" outlineLevel="0" collapsed="false">
      <c r="H77" s="180" t="s">
        <v>542</v>
      </c>
      <c r="I77" s="180" t="s">
        <v>554</v>
      </c>
      <c r="J77" s="183" t="s">
        <v>555</v>
      </c>
    </row>
    <row r="78" customFormat="false" ht="15.75" hidden="false" customHeight="false" outlineLevel="0" collapsed="false">
      <c r="H78" s="182" t="s">
        <v>626</v>
      </c>
      <c r="I78" s="182" t="s">
        <v>562</v>
      </c>
      <c r="J78" s="181" t="s">
        <v>563</v>
      </c>
    </row>
    <row r="79" customFormat="false" ht="15.75" hidden="false" customHeight="false" outlineLevel="0" collapsed="false">
      <c r="H79" s="180" t="s">
        <v>627</v>
      </c>
      <c r="I79" s="180" t="s">
        <v>562</v>
      </c>
      <c r="J79" s="183" t="s">
        <v>563</v>
      </c>
    </row>
    <row r="80" customFormat="false" ht="15.75" hidden="false" customHeight="false" outlineLevel="0" collapsed="false">
      <c r="H80" s="182" t="s">
        <v>628</v>
      </c>
      <c r="I80" s="182" t="s">
        <v>562</v>
      </c>
      <c r="J80" s="181" t="s">
        <v>563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2026-07-23T16:09:39Z</dcterms:modified>
  <cp:revision>1</cp:revision>
  <dc:subject/>
  <dc:title/>
</cp:coreProperties>
</file>